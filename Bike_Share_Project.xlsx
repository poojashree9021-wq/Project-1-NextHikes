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20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19.xml"/>
  <Override ContentType="application/vnd.openxmlformats-officedocument.spreadsheetml.pivotTable+xml" PartName="/xl/pivotTables/pivotTable15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pivotTable+xml" PartName="/xl/pivotTables/pivotTable11.xml"/>
  <Override ContentType="application/vnd.openxmlformats-officedocument.spreadsheetml.pivotTable+xml" PartName="/xl/pivotTables/pivotTable1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18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16.xml"/>
  <Override ContentType="application/vnd.openxmlformats-officedocument.spreadsheetml.pivotTable+xml" PartName="/xl/pivotTables/pivotTable14.xml"/>
  <Override ContentType="application/vnd.openxmlformats-officedocument.spreadsheetml.pivotTable+xml" PartName="/xl/pivotTables/pivotTable1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_1" sheetId="1" r:id="rId5"/>
    <sheet state="visible" name="dataset_2" sheetId="2" r:id="rId6"/>
    <sheet state="visible" name="dataset_3" sheetId="3" r:id="rId7"/>
    <sheet state="visible" name="dataset_A" sheetId="4" r:id="rId8"/>
    <sheet state="visible" name="Analysis" sheetId="5" r:id="rId9"/>
    <sheet state="visible" name="Macro_Control" sheetId="6" r:id="rId10"/>
    <sheet state="visible" name="feature_engineering" sheetId="7" r:id="rId11"/>
    <sheet state="visible" name="Pivot Tables" sheetId="8" r:id="rId12"/>
    <sheet state="visible" name="Dashboard" sheetId="9" r:id="rId13"/>
    <sheet state="visible" name="Forecast_Anomaly" sheetId="10" r:id="rId14"/>
  </sheets>
  <definedNames>
    <definedName hidden="1" localSheetId="0" name="_xlnm._FilterDatabase">dataset_1!$A$1:$J$611</definedName>
    <definedName hidden="1" localSheetId="1" name="_xlnm._FilterDatabase">dataset_2!$A$1:$H$611</definedName>
    <definedName hidden="1" localSheetId="2" name="_xlnm._FilterDatabase">dataset_3!$A$1:$P$391</definedName>
    <definedName hidden="1" localSheetId="3" name="_xlnm._FilterDatabase">dataset_A!$A$1:$P$1001</definedName>
    <definedName hidden="1" localSheetId="6" name="_xlnm._FilterDatabase">feature_engineering!$A$1:$P$1001</definedName>
    <definedName hidden="1" localSheetId="3" name="Z_0219E367_7BBD_41BC_977E_22F69AA9EC65_.wvu.FilterData">dataset_A!$A$1:$P$1001</definedName>
  </definedNames>
  <calcPr/>
  <customWorkbookViews>
    <customWorkbookView activeSheetId="0" maximized="1" windowHeight="0" windowWidth="0" guid="{0219E367-7BBD-41BC-977E-22F69AA9EC65}" name="Filter 1"/>
  </customWorkbookViews>
  <pivotCaches>
    <pivotCache cacheId="0" r:id="rId15"/>
    <pivotCache cacheId="1" r:id="rId16"/>
  </pivotCaches>
</workbook>
</file>

<file path=xl/sharedStrings.xml><?xml version="1.0" encoding="utf-8"?>
<sst xmlns="http://schemas.openxmlformats.org/spreadsheetml/2006/main" count="245" uniqueCount="121">
  <si>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</si>
  <si>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</si>
  <si>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</si>
  <si>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</si>
  <si>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</si>
  <si>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</si>
  <si>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</si>
  <si>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</si>
  <si>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</si>
  <si>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</si>
  <si>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</si>
  <si>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</si>
  <si>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</si>
  <si>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</si>
  <si>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</si>
  <si>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</si>
  <si>
    <t>Check Total</t>
  </si>
  <si>
    <t>Total Errors</t>
  </si>
  <si>
    <t>Duplicate Check</t>
  </si>
  <si>
    <t>Missing Check</t>
  </si>
  <si>
    <t>Demand Check</t>
  </si>
  <si>
    <t>Demand Errors</t>
  </si>
  <si>
    <t>Instant Blank Count</t>
  </si>
  <si>
    <t>Merege_Check</t>
  </si>
  <si>
    <t>Merge_Errors</t>
  </si>
  <si>
    <t>Basic Statistics</t>
  </si>
  <si>
    <t>Statistical Analysis</t>
  </si>
  <si>
    <t>Value</t>
  </si>
  <si>
    <t>Total Bike Rentals</t>
  </si>
  <si>
    <t>Total Rentals</t>
  </si>
  <si>
    <t>Average Bike Rentals</t>
  </si>
  <si>
    <t>Average Rentals</t>
  </si>
  <si>
    <t>Number of Records</t>
  </si>
  <si>
    <t>Minimum Rentals</t>
  </si>
  <si>
    <t>Maximum Rentals</t>
  </si>
  <si>
    <t>Standard Deviation</t>
  </si>
  <si>
    <t>Temperature-Demand Correlation</t>
  </si>
  <si>
    <t>Text Functions</t>
  </si>
  <si>
    <t>Year</t>
  </si>
  <si>
    <t>Weekend Records</t>
  </si>
  <si>
    <t>Date</t>
  </si>
  <si>
    <t>Weekday Records</t>
  </si>
  <si>
    <t>Length</t>
  </si>
  <si>
    <t>Weekend Demad</t>
  </si>
  <si>
    <t>Data Quality Check</t>
  </si>
  <si>
    <t>Result</t>
  </si>
  <si>
    <t>Status</t>
  </si>
  <si>
    <t>Weekday Demand</t>
  </si>
  <si>
    <t>Total Records</t>
  </si>
  <si>
    <t>Total Columns</t>
  </si>
  <si>
    <t>Missing Values</t>
  </si>
  <si>
    <t>Duplicate Instant</t>
  </si>
  <si>
    <t>First Instant</t>
  </si>
  <si>
    <t>Last Instant</t>
  </si>
  <si>
    <t>Index-Match-Check</t>
  </si>
  <si>
    <t>Bike Sharing Automation Control</t>
  </si>
  <si>
    <t>Automation Task</t>
  </si>
  <si>
    <t>Completed</t>
  </si>
  <si>
    <t>Demand Validation</t>
  </si>
  <si>
    <t>1000 valid / 0 errors</t>
  </si>
  <si>
    <t>Dashboard Update</t>
  </si>
  <si>
    <t>Last Run</t>
  </si>
  <si>
    <t>27-09-2026 15:07:38</t>
  </si>
  <si>
    <t>Average Demand</t>
  </si>
  <si>
    <t>High Demand Records</t>
  </si>
  <si>
    <t>Medium Demand Records</t>
  </si>
  <si>
    <t>Low Demand Records</t>
  </si>
  <si>
    <t>workingday</t>
  </si>
  <si>
    <t>Day_Type</t>
  </si>
  <si>
    <t>Hour_Category</t>
  </si>
  <si>
    <t>Season</t>
  </si>
  <si>
    <t>Weather</t>
  </si>
  <si>
    <t>total_demand</t>
  </si>
  <si>
    <t>Demand_Check</t>
  </si>
  <si>
    <t>Demand_Category</t>
  </si>
  <si>
    <t>Saeson_Lookup</t>
  </si>
  <si>
    <t>Season_Code</t>
  </si>
  <si>
    <t>Season_Name</t>
  </si>
  <si>
    <t>Saeson_Index_Math</t>
  </si>
  <si>
    <t>Lookup_Check</t>
  </si>
  <si>
    <t>Spring</t>
  </si>
  <si>
    <t>Summer</t>
  </si>
  <si>
    <t>Fall</t>
  </si>
  <si>
    <t>Winter</t>
  </si>
  <si>
    <t>Demand by Hour</t>
  </si>
  <si>
    <t>Demand by Weekday</t>
  </si>
  <si>
    <t>Casual vs Registered Users by Hour</t>
  </si>
  <si>
    <t>Sum - cnt</t>
  </si>
  <si>
    <t>Sum - casual</t>
  </si>
  <si>
    <t>Sum - registered</t>
  </si>
  <si>
    <t>total demand by Hour Category.</t>
  </si>
  <si>
    <t>Demand by Category</t>
  </si>
  <si>
    <t>Sum - total_demand</t>
  </si>
  <si>
    <t>Afternoon</t>
  </si>
  <si>
    <t>High</t>
  </si>
  <si>
    <t>Evening</t>
  </si>
  <si>
    <t>Low</t>
  </si>
  <si>
    <t>Morning</t>
  </si>
  <si>
    <t>Medium</t>
  </si>
  <si>
    <t>Night</t>
  </si>
  <si>
    <t>Grand Total</t>
  </si>
  <si>
    <t>Bike Demand Trend Over Time</t>
  </si>
  <si>
    <t>Demand by Season</t>
  </si>
  <si>
    <t>Holiday vs Non-Holiday Demand</t>
  </si>
  <si>
    <t>Demand by Weather</t>
  </si>
  <si>
    <t>Bike Sharing Demand Analysis Dashboard</t>
  </si>
  <si>
    <t>Temperature Correlation</t>
  </si>
  <si>
    <t>Filters</t>
  </si>
  <si>
    <t>Total Demand</t>
  </si>
  <si>
    <t>Clear</t>
  </si>
  <si>
    <t>Mist / Cloudy</t>
  </si>
  <si>
    <t>Light Rain / Snow</t>
  </si>
  <si>
    <t>Heavy Rain / Snow</t>
  </si>
  <si>
    <t>SUM of cnt</t>
  </si>
  <si>
    <t>Number of Days</t>
  </si>
  <si>
    <t>Forecast</t>
  </si>
  <si>
    <t>Z-Score</t>
  </si>
  <si>
    <t>Anomaly</t>
  </si>
  <si>
    <t>Anomaly Count</t>
  </si>
  <si>
    <t>Average Daily Demand</t>
  </si>
  <si>
    <t>Maximum Daily Demand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</si>
</sst>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"/>
    <numFmt numFmtId="165" formatCode="dd\-mm\-yyyy"/>
  </numFmts>
  <fonts count="17">
    <font>
      <sz val="10.0"/>
      <color rgb="FF000000"/>
      <name val="Arial"/>
      <scheme val="minor"/>
    </font>
    <font>
      <b/>
      <sz val="11.0"/>
      <color rgb="FFFFFFFF"/>
      <name val="Arial"/>
    </font>
    <font>
      <b/>
      <sz val="10.0"/>
      <color theme="1"/>
      <name val="Arial"/>
    </font>
    <font>
      <sz val="11.0"/>
      <color rgb="FF000000"/>
      <name val="Arial"/>
    </font>
    <font>
      <b/>
      <sz val="10.0"/>
      <color rgb="FFFFFFFF"/>
      <name val="Arial"/>
    </font>
    <font>
      <sz val="10.0"/>
      <color theme="1"/>
      <name val="Arial"/>
    </font>
    <font>
      <sz val="11.0"/>
      <color theme="1"/>
      <name val="Arial"/>
    </font>
    <font/>
    <font>
      <sz val="10.0"/>
      <color rgb="FFFFFFFF"/>
      <name val="Arial"/>
    </font>
    <font>
      <b/>
      <sz val="14.0"/>
      <color rgb="FFFFFFFF"/>
      <name val="Arial"/>
    </font>
    <font>
      <color theme="1"/>
      <name val="Arial"/>
      <scheme val="minor"/>
    </font>
    <font>
      <sz val="11.0"/>
      <color rgb="FFFFFFFF"/>
      <name val="Arial"/>
    </font>
    <font>
      <b/>
      <sz val="11.0"/>
      <color theme="1"/>
      <name val="Arial"/>
    </font>
    <font>
      <b/>
      <sz val="20.0"/>
      <color rgb="FFFFFFFF"/>
      <name val="Arial"/>
    </font>
    <font>
      <b/>
      <sz val="14.0"/>
      <color rgb="FF000000"/>
      <name val="Arial"/>
    </font>
    <font>
      <sz val="18.0"/>
      <color rgb="FFFFFFFF"/>
      <name val="Arial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3465A4"/>
        <bgColor rgb="FF3465A4"/>
      </patternFill>
    </fill>
    <fill>
      <patternFill patternType="solid">
        <fgColor rgb="FFDEE6EF"/>
        <bgColor rgb="FFDEE6EF"/>
      </patternFill>
    </fill>
    <fill>
      <patternFill patternType="solid">
        <fgColor rgb="FF073763"/>
        <bgColor rgb="FF073763"/>
      </patternFill>
    </fill>
    <fill>
      <patternFill patternType="solid">
        <fgColor rgb="FFCFE2F3"/>
        <bgColor rgb="FFCFE2F3"/>
      </patternFill>
    </fill>
  </fills>
  <borders count="36">
    <border/>
    <border>
      <left/>
      <right/>
      <top/>
      <bottom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/>
      <top/>
      <bottom/>
    </border>
    <border>
      <left/>
      <right style="hair">
        <color rgb="FF000000"/>
      </right>
      <top/>
      <bottom/>
    </border>
    <border>
      <left style="hair">
        <color rgb="FF000000"/>
      </left>
      <right/>
      <top/>
      <bottom style="hair">
        <color rgb="FF000000"/>
      </bottom>
    </border>
    <border>
      <left/>
      <right style="hair">
        <color rgb="FF000000"/>
      </right>
      <top/>
      <bottom style="hair">
        <color rgb="FF000000"/>
      </bottom>
    </border>
    <border>
      <left style="hair">
        <color rgb="FF000000"/>
      </left>
      <right/>
      <top style="hair">
        <color rgb="FF000000"/>
      </top>
      <bottom/>
    </border>
    <border>
      <left/>
      <right/>
      <top style="hair">
        <color rgb="FF000000"/>
      </top>
      <bottom/>
    </border>
    <border>
      <left/>
      <right style="hair">
        <color rgb="FF000000"/>
      </right>
      <top style="hair">
        <color rgb="FF000000"/>
      </top>
      <bottom/>
    </border>
    <border>
      <left/>
      <right/>
      <top/>
      <bottom style="hair">
        <color rgb="FF000000"/>
      </bottom>
    </border>
    <border>
      <left/>
      <top/>
      <bottom/>
    </border>
    <border>
      <right/>
      <top/>
      <bottom/>
    </border>
    <border>
      <left style="hair">
        <color rgb="FF000000"/>
      </left>
      <top style="hair">
        <color rgb="FF000000"/>
      </top>
      <bottom/>
    </border>
    <border>
      <right style="hair">
        <color rgb="FF000000"/>
      </right>
      <top style="hair">
        <color rgb="FF000000"/>
      </top>
      <bottom/>
    </border>
    <border>
      <top style="hair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73763"/>
      </left>
      <top style="thin">
        <color rgb="FF073763"/>
      </top>
    </border>
    <border>
      <top style="thin">
        <color rgb="FF073763"/>
      </top>
    </border>
    <border>
      <right style="thin">
        <color rgb="FF073763"/>
      </right>
      <top style="thin">
        <color rgb="FF073763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73763"/>
      </left>
    </border>
    <border>
      <right style="thin">
        <color rgb="FF073763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73763"/>
      </left>
      <bottom style="thin">
        <color rgb="FF073763"/>
      </bottom>
    </border>
    <border>
      <bottom style="thin">
        <color rgb="FF073763"/>
      </bottom>
    </border>
    <border>
      <right style="thin">
        <color rgb="FF073763"/>
      </right>
      <bottom style="thin">
        <color rgb="FF073763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165" xfId="0" applyAlignment="1" applyFont="1" applyNumberFormat="1">
      <alignment shrinkToFit="0" vertical="bottom" wrapText="0"/>
    </xf>
    <xf borderId="1" fillId="2" fontId="4" numFmtId="0" xfId="0" applyAlignment="1" applyBorder="1" applyFill="1" applyFont="1">
      <alignment horizontal="center" shrinkToFit="0" vertical="bottom" wrapText="0"/>
    </xf>
    <xf borderId="2" fillId="2" fontId="1" numFmtId="0" xfId="0" applyAlignment="1" applyBorder="1" applyFill="1" applyFont="1">
      <alignment horizontal="center" shrinkToFit="0" vertical="bottom" wrapText="0"/>
    </xf>
    <xf borderId="2" fillId="2" fontId="1" numFmtId="164" xfId="0" applyAlignment="1" applyBorder="1" applyFill="1" applyFont="1" applyNumberFormat="1">
      <alignment horizontal="center" shrinkToFit="0" vertical="bottom" wrapText="0"/>
    </xf>
    <xf borderId="0" fillId="0" fontId="5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164" xfId="0" applyAlignment="1" applyFont="1" applyNumberFormat="1">
      <alignment shrinkToFit="0" vertical="bottom" wrapText="0"/>
    </xf>
    <xf borderId="0" fillId="0" fontId="3" numFmtId="164" xfId="0" applyAlignment="1" applyFont="1" applyNumberFormat="1">
      <alignment shrinkToFit="0" vertical="bottom" wrapText="0"/>
    </xf>
    <xf borderId="3" fillId="2" fontId="4" numFmtId="0" xfId="0" applyAlignment="1" applyBorder="1" applyFill="1" applyFont="1">
      <alignment shrinkToFit="0" vertical="bottom" wrapText="0"/>
    </xf>
    <xf borderId="4" fillId="0" fontId="7" numFmtId="0" xfId="0" applyBorder="1" applyFont="1"/>
    <xf borderId="5" fillId="2" fontId="4" numFmtId="0" xfId="0" applyAlignment="1" applyBorder="1" applyFill="1" applyFont="1">
      <alignment shrinkToFit="0" vertical="bottom" wrapText="1"/>
    </xf>
    <xf borderId="6" fillId="2" fontId="4" numFmtId="0" xfId="0" applyAlignment="1" applyBorder="1" applyFill="1" applyFont="1">
      <alignment horizontal="right" shrinkToFit="0" vertical="bottom" wrapText="0"/>
    </xf>
    <xf borderId="7" fillId="3" fontId="5" numFmtId="0" xfId="0" applyAlignment="1" applyBorder="1" applyFill="1" applyFont="1">
      <alignment shrinkToFit="0" vertical="bottom" wrapText="0"/>
    </xf>
    <xf borderId="8" fillId="3" fontId="5" numFmtId="0" xfId="0" applyAlignment="1" applyBorder="1" applyFill="1" applyFont="1">
      <alignment horizontal="right" shrinkToFit="0" vertical="bottom" wrapText="0"/>
    </xf>
    <xf borderId="7" fillId="3" fontId="5" numFmtId="0" xfId="0" applyAlignment="1" applyBorder="1" applyFill="1" applyFont="1">
      <alignment shrinkToFit="0" vertical="bottom" wrapText="1"/>
    </xf>
    <xf borderId="8" fillId="3" fontId="5" numFmtId="0" xfId="0" applyAlignment="1" applyBorder="1" applyFill="1" applyFont="1">
      <alignment horizontal="right" shrinkToFit="0" vertical="bottom" wrapText="1"/>
    </xf>
    <xf borderId="9" fillId="3" fontId="5" numFmtId="0" xfId="0" applyAlignment="1" applyBorder="1" applyFill="1" applyFont="1">
      <alignment shrinkToFit="0" vertical="bottom" wrapText="0"/>
    </xf>
    <xf borderId="10" fillId="3" fontId="5" numFmtId="0" xfId="0" applyAlignment="1" applyBorder="1" applyFill="1" applyFont="1">
      <alignment horizontal="right" shrinkToFit="0" vertical="bottom" wrapText="0"/>
    </xf>
    <xf borderId="0" fillId="0" fontId="8" numFmtId="0" xfId="0" applyAlignment="1" applyFont="1">
      <alignment shrinkToFit="0" vertical="bottom" wrapText="0"/>
    </xf>
    <xf borderId="0" fillId="0" fontId="8" numFmtId="0" xfId="0" applyAlignment="1" applyFont="1">
      <alignment horizontal="right" shrinkToFit="0" vertical="bottom" wrapText="0"/>
    </xf>
    <xf borderId="0" fillId="0" fontId="5" numFmtId="0" xfId="0" applyAlignment="1" applyFont="1">
      <alignment horizontal="right" shrinkToFit="0" vertical="bottom" wrapText="0"/>
    </xf>
    <xf borderId="11" fillId="2" fontId="4" numFmtId="0" xfId="0" applyAlignment="1" applyBorder="1" applyFill="1" applyFont="1">
      <alignment shrinkToFit="0" vertical="bottom" wrapText="0"/>
    </xf>
    <xf borderId="12" fillId="2" fontId="4" numFmtId="0" xfId="0" applyAlignment="1" applyBorder="1" applyFill="1" applyFont="1">
      <alignment horizontal="right" shrinkToFit="0" vertical="bottom" wrapText="0"/>
    </xf>
    <xf borderId="13" fillId="2" fontId="4" numFmtId="0" xfId="0" applyAlignment="1" applyBorder="1" applyFill="1" applyFont="1">
      <alignment horizontal="right" shrinkToFit="0" vertical="bottom" wrapText="0"/>
    </xf>
    <xf borderId="11" fillId="3" fontId="5" numFmtId="0" xfId="0" applyAlignment="1" applyBorder="1" applyFill="1" applyFont="1">
      <alignment shrinkToFit="0" vertical="bottom" wrapText="0"/>
    </xf>
    <xf borderId="12" fillId="3" fontId="5" numFmtId="0" xfId="0" applyAlignment="1" applyBorder="1" applyFill="1" applyFont="1">
      <alignment horizontal="right" shrinkToFit="0" vertical="bottom" wrapText="0"/>
    </xf>
    <xf borderId="13" fillId="3" fontId="5" numFmtId="0" xfId="0" applyAlignment="1" applyBorder="1" applyFill="1" applyFont="1">
      <alignment horizontal="right" shrinkToFit="0" vertical="bottom" wrapText="0"/>
    </xf>
    <xf borderId="1" fillId="3" fontId="5" numFmtId="0" xfId="0" applyAlignment="1" applyBorder="1" applyFill="1" applyFont="1">
      <alignment horizontal="right" shrinkToFit="0" vertical="bottom" wrapText="0"/>
    </xf>
    <xf borderId="14" fillId="3" fontId="5" numFmtId="0" xfId="0" applyAlignment="1" applyBorder="1" applyFill="1" applyFont="1">
      <alignment horizontal="right" shrinkToFit="0" vertical="bottom" wrapText="0"/>
    </xf>
    <xf borderId="15" fillId="2" fontId="9" numFmtId="0" xfId="0" applyAlignment="1" applyBorder="1" applyFill="1" applyFont="1">
      <alignment horizontal="center" shrinkToFit="0" vertical="center" wrapText="1"/>
    </xf>
    <xf borderId="16" fillId="0" fontId="7" numFmtId="0" xfId="0" applyBorder="1" applyFont="1"/>
    <xf borderId="1" fillId="3" fontId="5" numFmtId="0" xfId="0" applyAlignment="1" applyBorder="1" applyFill="1" applyFont="1">
      <alignment shrinkToFit="0" vertical="bottom" wrapText="0"/>
    </xf>
    <xf borderId="1" fillId="3" fontId="5" numFmtId="0" xfId="0" applyAlignment="1" applyBorder="1" applyFill="1" applyFont="1">
      <alignment shrinkToFit="0" vertical="bottom" wrapText="1"/>
    </xf>
    <xf borderId="0" fillId="0" fontId="10" numFmtId="0" xfId="0" applyFont="1"/>
    <xf borderId="0" fillId="0" fontId="5" numFmtId="164" xfId="0" applyAlignment="1" applyFont="1" applyNumberFormat="1">
      <alignment shrinkToFit="0" vertical="bottom" wrapText="0"/>
    </xf>
    <xf borderId="17" fillId="2" fontId="11" numFmtId="0" xfId="0" applyAlignment="1" applyBorder="1" applyFill="1" applyFont="1">
      <alignment horizontal="center" shrinkToFit="0" vertical="center" wrapText="1"/>
    </xf>
    <xf borderId="18" fillId="0" fontId="7" numFmtId="0" xfId="0" applyBorder="1" applyFont="1"/>
    <xf borderId="19" fillId="0" fontId="7" numFmtId="0" xfId="0" applyBorder="1" applyFont="1"/>
    <xf borderId="8" fillId="3" fontId="5" numFmtId="0" xfId="0" applyAlignment="1" applyBorder="1" applyFill="1" applyFont="1">
      <alignment shrinkToFit="0" vertical="bottom" wrapText="0"/>
    </xf>
    <xf borderId="7" fillId="3" fontId="6" numFmtId="0" xfId="0" applyAlignment="1" applyBorder="1" applyFill="1" applyFont="1">
      <alignment shrinkToFit="0" vertical="bottom" wrapText="0"/>
    </xf>
    <xf borderId="8" fillId="3" fontId="6" numFmtId="0" xfId="0" applyAlignment="1" applyBorder="1" applyFill="1" applyFont="1">
      <alignment shrinkToFit="0" vertical="bottom" wrapText="0"/>
    </xf>
    <xf borderId="1" fillId="3" fontId="6" numFmtId="0" xfId="0" applyAlignment="1" applyBorder="1" applyFill="1" applyFont="1">
      <alignment shrinkToFit="0" vertical="bottom" wrapText="0"/>
    </xf>
    <xf borderId="17" fillId="2" fontId="11" numFmtId="0" xfId="0" applyAlignment="1" applyBorder="1" applyFill="1" applyFont="1">
      <alignment horizontal="center" shrinkToFit="0" vertical="center" wrapText="0"/>
    </xf>
    <xf borderId="7" fillId="3" fontId="5" numFmtId="0" xfId="0" applyAlignment="1" applyBorder="1" applyFill="1" applyFont="1">
      <alignment horizontal="left" shrinkToFit="0" vertical="bottom" wrapText="0"/>
    </xf>
    <xf borderId="7" fillId="3" fontId="6" numFmtId="0" xfId="0" applyAlignment="1" applyBorder="1" applyFill="1" applyFont="1">
      <alignment horizontal="left" shrinkToFit="0" vertical="bottom" wrapText="0"/>
    </xf>
    <xf borderId="1" fillId="3" fontId="6" numFmtId="0" xfId="0" applyAlignment="1" applyBorder="1" applyFill="1" applyFont="1">
      <alignment horizontal="left" shrinkToFit="0" vertical="bottom" wrapText="0"/>
    </xf>
    <xf borderId="8" fillId="3" fontId="6" numFmtId="0" xfId="0" applyAlignment="1" applyBorder="1" applyFill="1" applyFont="1">
      <alignment horizontal="left" shrinkToFit="0" vertical="bottom" wrapText="0"/>
    </xf>
    <xf borderId="9" fillId="3" fontId="6" numFmtId="0" xfId="0" applyAlignment="1" applyBorder="1" applyFill="1" applyFont="1">
      <alignment horizontal="left" shrinkToFit="0" vertical="bottom" wrapText="0"/>
    </xf>
    <xf borderId="10" fillId="3" fontId="6" numFmtId="0" xfId="0" applyAlignment="1" applyBorder="1" applyFill="1" applyFont="1">
      <alignment shrinkToFit="0" vertical="bottom" wrapText="0"/>
    </xf>
    <xf borderId="7" fillId="3" fontId="6" numFmtId="164" xfId="0" applyAlignment="1" applyBorder="1" applyFill="1" applyFont="1" applyNumberFormat="1">
      <alignment shrinkToFit="0" vertical="bottom" wrapText="0"/>
    </xf>
    <xf borderId="7" fillId="3" fontId="6" numFmtId="164" xfId="0" applyAlignment="1" applyBorder="1" applyFill="1" applyFont="1" applyNumberFormat="1">
      <alignment horizontal="left" shrinkToFit="0" vertical="bottom" wrapText="0"/>
    </xf>
    <xf borderId="9" fillId="3" fontId="2" numFmtId="0" xfId="0" applyAlignment="1" applyBorder="1" applyFill="1" applyFont="1">
      <alignment horizontal="left" shrinkToFit="0" vertical="bottom" wrapText="0"/>
    </xf>
    <xf borderId="10" fillId="3" fontId="2" numFmtId="0" xfId="0" applyAlignment="1" applyBorder="1" applyFill="1" applyFont="1">
      <alignment shrinkToFit="0" vertical="bottom" wrapText="0"/>
    </xf>
    <xf borderId="14" fillId="3" fontId="6" numFmtId="0" xfId="0" applyAlignment="1" applyBorder="1" applyFill="1" applyFont="1">
      <alignment shrinkToFit="0" vertical="bottom" wrapText="0"/>
    </xf>
    <xf borderId="9" fillId="3" fontId="12" numFmtId="164" xfId="0" applyAlignment="1" applyBorder="1" applyFill="1" applyFont="1" applyNumberFormat="1">
      <alignment horizontal="left" shrinkToFit="0" vertical="bottom" wrapText="0"/>
    </xf>
    <xf borderId="10" fillId="3" fontId="12" numFmtId="0" xfId="0" applyAlignment="1" applyBorder="1" applyFill="1" applyFont="1">
      <alignment shrinkToFit="0" vertical="bottom" wrapText="0"/>
    </xf>
    <xf borderId="0" fillId="4" fontId="13" numFmtId="0" xfId="0" applyAlignment="1" applyFill="1" applyFont="1">
      <alignment horizontal="center" shrinkToFit="0" vertical="center" wrapText="1"/>
    </xf>
    <xf borderId="20" fillId="5" fontId="14" numFmtId="0" xfId="0" applyAlignment="1" applyBorder="1" applyFill="1" applyFont="1">
      <alignment horizontal="center" shrinkToFit="0" vertical="bottom" wrapText="1"/>
    </xf>
    <xf borderId="21" fillId="0" fontId="7" numFmtId="0" xfId="0" applyBorder="1" applyFont="1"/>
    <xf borderId="22" fillId="0" fontId="7" numFmtId="0" xfId="0" applyBorder="1" applyFont="1"/>
    <xf borderId="23" fillId="5" fontId="14" numFmtId="0" xfId="0" applyAlignment="1" applyBorder="1" applyFill="1" applyFont="1">
      <alignment horizontal="center" shrinkToFit="0" vertical="bottom" wrapText="1"/>
    </xf>
    <xf borderId="24" fillId="0" fontId="7" numFmtId="0" xfId="0" applyBorder="1" applyFont="1"/>
    <xf borderId="25" fillId="0" fontId="7" numFmtId="0" xfId="0" applyBorder="1" applyFont="1"/>
    <xf borderId="0" fillId="4" fontId="15" numFmtId="0" xfId="0" applyAlignment="1" applyFill="1" applyFont="1">
      <alignment horizontal="center" readingOrder="0" shrinkToFit="0" vertical="center" wrapText="0"/>
    </xf>
    <xf borderId="26" fillId="5" fontId="14" numFmtId="0" xfId="0" applyAlignment="1" applyBorder="1" applyFill="1" applyFont="1">
      <alignment horizontal="center" shrinkToFit="0" vertical="center" wrapText="0"/>
    </xf>
    <xf borderId="27" fillId="0" fontId="7" numFmtId="0" xfId="0" applyBorder="1" applyFont="1"/>
    <xf borderId="28" fillId="5" fontId="14" numFmtId="10" xfId="0" applyAlignment="1" applyBorder="1" applyFill="1" applyFont="1" applyNumberFormat="1">
      <alignment horizontal="center" shrinkToFit="0" vertical="center" wrapText="0"/>
    </xf>
    <xf borderId="29" fillId="0" fontId="7" numFmtId="0" xfId="0" applyBorder="1" applyFont="1"/>
    <xf borderId="30" fillId="0" fontId="7" numFmtId="0" xfId="0" applyBorder="1" applyFont="1"/>
    <xf borderId="31" fillId="0" fontId="7" numFmtId="0" xfId="0" applyBorder="1" applyFont="1"/>
    <xf borderId="32" fillId="0" fontId="7" numFmtId="0" xfId="0" applyBorder="1" applyFont="1"/>
    <xf borderId="33" fillId="0" fontId="7" numFmtId="0" xfId="0" applyBorder="1" applyFont="1"/>
    <xf borderId="34" fillId="0" fontId="7" numFmtId="0" xfId="0" applyBorder="1" applyFont="1"/>
    <xf borderId="35" fillId="0" fontId="7" numFmtId="0" xfId="0" applyBorder="1" applyFont="1"/>
    <xf borderId="0" fillId="4" fontId="5" numFmtId="0" xfId="0" applyAlignment="1" applyFill="1" applyFont="1">
      <alignment shrinkToFit="0" vertical="bottom" wrapText="0"/>
    </xf>
    <xf borderId="0" fillId="0" fontId="16" numFmtId="0" xfId="0" applyAlignment="1" applyFont="1">
      <alignment horizontal="center" readingOrder="0"/>
    </xf>
    <xf borderId="0" fillId="0" fontId="16" numFmtId="0" xfId="0" applyAlignment="1" applyFont="1">
      <alignment horizontal="right" readingOrder="0"/>
    </xf>
    <xf borderId="0" fillId="0" fontId="10" numFmtId="0" xfId="0" applyAlignment="1" applyFont="1">
      <alignment readingOrder="0"/>
    </xf>
    <xf borderId="0" fillId="0" fontId="10" numFmtId="0" xfId="0" applyAlignment="1" applyFont="1">
      <alignment horizontal="right"/>
    </xf>
    <xf borderId="0" fillId="0" fontId="10" numFmtId="164" xfId="0" applyFont="1" applyNumberFormat="1"/>
  </cellXfs>
  <cellStyles count="1">
    <cellStyle xfId="0" name="Normal" builtinId="0"/>
  </cellStyles>
  <dxfs count="2">
    <dxf>
      <font/>
      <fill>
        <patternFill patternType="none"/>
      </fill>
      <border/>
    </dxf>
    <dxf>
      <font>
        <b/>
        <sz val="10.0"/>
        <color rgb="FF00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0.xml"/><Relationship Id="rId16" Type="http://schemas.openxmlformats.org/officeDocument/2006/relationships/pivotCacheDefinition" Target="pivotCache/pivotCacheDefinition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Day wise Demand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Dashboard!$AH$130:$AH$131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Dashboard!$AG$132:$AG$176</c:f>
            </c:strRef>
          </c:cat>
          <c:val>
            <c:numRef>
              <c:f>Dashboard!$AH$132:$AH$176</c:f>
              <c:numCache/>
            </c:numRef>
          </c:val>
          <c:smooth val="0"/>
        </c:ser>
        <c:axId val="110919285"/>
        <c:axId val="1323276848"/>
      </c:lineChart>
      <c:catAx>
        <c:axId val="1109192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3276848"/>
      </c:catAx>
      <c:valAx>
        <c:axId val="13232768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Demand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9192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Casual vs Registered Rentals by Hour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Casual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Dashboard!$AC$122:$AC$145</c:f>
            </c:strRef>
          </c:cat>
          <c:val>
            <c:numRef>
              <c:f>Dashboard!$AD$122:$AD$145</c:f>
              <c:numCache/>
            </c:numRef>
          </c:val>
        </c:ser>
        <c:ser>
          <c:idx val="1"/>
          <c:order val="1"/>
          <c:tx>
            <c:v>Registered</c:v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Dashboard!$AC$122:$AC$145</c:f>
            </c:strRef>
          </c:cat>
          <c:val>
            <c:numRef>
              <c:f>Dashboard!$AE$122:$AE$145</c:f>
              <c:numCache/>
            </c:numRef>
          </c:val>
        </c:ser>
        <c:axId val="875808480"/>
        <c:axId val="130907249"/>
      </c:barChart>
      <c:catAx>
        <c:axId val="8758084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Hour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907249"/>
      </c:catAx>
      <c:valAx>
        <c:axId val="1309072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58084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Demand by Hour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Dashboard!$X$120:$X$121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Dashboard!$W$122:$W$145</c:f>
            </c:strRef>
          </c:cat>
          <c:val>
            <c:numRef>
              <c:f>Dashboard!$X$122:$X$145</c:f>
              <c:numCache/>
            </c:numRef>
          </c:val>
          <c:smooth val="0"/>
        </c:ser>
        <c:axId val="1941692839"/>
        <c:axId val="881786323"/>
      </c:lineChart>
      <c:catAx>
        <c:axId val="19416928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Hour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1786323"/>
      </c:catAx>
      <c:valAx>
        <c:axId val="8817863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Demand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16928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Demand by Weekday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Dashboard!$AA$120:$AA$121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Dashboard!$Z$122:$Z$128</c:f>
            </c:strRef>
          </c:cat>
          <c:val>
            <c:numRef>
              <c:f>Dashboard!$AA$122:$AA$128</c:f>
              <c:numCache/>
            </c:numRef>
          </c:val>
        </c:ser>
        <c:axId val="1471239143"/>
        <c:axId val="781539901"/>
      </c:barChart>
      <c:catAx>
        <c:axId val="14712391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weekday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1539901"/>
      </c:catAx>
      <c:valAx>
        <c:axId val="7815399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Demand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12391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Demand by Season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Dashboard!$Z$133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val>
            <c:numRef>
              <c:f>Dashboard!$Z$134</c:f>
              <c:numCache/>
            </c:numRef>
          </c:val>
        </c:ser>
        <c:ser>
          <c:idx val="1"/>
          <c:order val="1"/>
          <c:tx>
            <c:v>Total Demand</c:v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val>
            <c:numRef>
              <c:f>Dashboard!$AA$134</c:f>
              <c:numCache/>
            </c:numRef>
          </c:val>
        </c:ser>
        <c:axId val="1711707389"/>
        <c:axId val="1315110108"/>
      </c:barChart>
      <c:catAx>
        <c:axId val="17117073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5110108"/>
      </c:catAx>
      <c:valAx>
        <c:axId val="13151101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17073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Temperature vs Demand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Dashboard!$AA$155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Dashboard!$Z$156:$Z$178</c:f>
            </c:numRef>
          </c:xVal>
          <c:yVal>
            <c:numRef>
              <c:f>Dashboard!$AA$156:$AA$178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9713340"/>
        <c:axId val="2134042471"/>
      </c:scatterChart>
      <c:valAx>
        <c:axId val="106971334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Temperature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4042471"/>
      </c:valAx>
      <c:valAx>
        <c:axId val="21340424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Demand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97133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Humidity vs Demand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Dashboard!$AK$133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Dashboard!$AJ$134:$AJ$197</c:f>
            </c:numRef>
          </c:xVal>
          <c:yVal>
            <c:numRef>
              <c:f>Dashboard!$AK$134:$AK$197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7072494"/>
        <c:axId val="485055677"/>
      </c:scatterChart>
      <c:valAx>
        <c:axId val="129707249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Humidity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5055677"/>
      </c:valAx>
      <c:valAx>
        <c:axId val="4850556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Demand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70724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Demand by Weather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Dashboard!$X$148:$X$149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Dashboard!$W$150:$W$153</c:f>
            </c:strRef>
          </c:cat>
          <c:val>
            <c:numRef>
              <c:f>Dashboard!$X$150:$X$153</c:f>
              <c:numCache/>
            </c:numRef>
          </c:val>
        </c:ser>
        <c:axId val="2012818473"/>
        <c:axId val="847214022"/>
      </c:barChart>
      <c:catAx>
        <c:axId val="201281847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Weather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7214022"/>
      </c:catAx>
      <c:valAx>
        <c:axId val="84721402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Demand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281847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Daily Demand — Actual Trend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Forecast_Anomaly!$B$1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Forecast_Anomaly!$A$2:$A$46</c:f>
            </c:strRef>
          </c:cat>
          <c:val>
            <c:numRef>
              <c:f>Forecast_Anomaly!$B$2:$B$46</c:f>
              <c:numCache/>
            </c:numRef>
          </c:val>
          <c:smooth val="0"/>
        </c:ser>
        <c:axId val="1841648114"/>
        <c:axId val="350698640"/>
      </c:lineChart>
      <c:catAx>
        <c:axId val="18416481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0698640"/>
      </c:catAx>
      <c:valAx>
        <c:axId val="3506986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Demand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16481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133350</xdr:colOff>
      <xdr:row>25</xdr:row>
      <xdr:rowOff>28575</xdr:rowOff>
    </xdr:from>
    <xdr:ext cx="7743825" cy="30003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190500</xdr:colOff>
      <xdr:row>5</xdr:row>
      <xdr:rowOff>133350</xdr:rowOff>
    </xdr:from>
    <xdr:ext cx="7686675" cy="32289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5</xdr:row>
      <xdr:rowOff>133350</xdr:rowOff>
    </xdr:from>
    <xdr:ext cx="6324600" cy="32289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171450</xdr:colOff>
      <xdr:row>25</xdr:row>
      <xdr:rowOff>123825</xdr:rowOff>
    </xdr:from>
    <xdr:ext cx="5219700" cy="29051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25</xdr:row>
      <xdr:rowOff>123825</xdr:rowOff>
    </xdr:from>
    <xdr:ext cx="3676650" cy="290512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0</xdr:col>
      <xdr:colOff>0</xdr:colOff>
      <xdr:row>43</xdr:row>
      <xdr:rowOff>114300</xdr:rowOff>
    </xdr:from>
    <xdr:ext cx="5915025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6</xdr:col>
      <xdr:colOff>657225</xdr:colOff>
      <xdr:row>43</xdr:row>
      <xdr:rowOff>114300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13</xdr:col>
      <xdr:colOff>238125</xdr:colOff>
      <xdr:row>43</xdr:row>
      <xdr:rowOff>114300</xdr:rowOff>
    </xdr:from>
    <xdr:ext cx="501015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57150</xdr:colOff>
      <xdr:row>3</xdr:row>
      <xdr:rowOff>85725</xdr:rowOff>
    </xdr:from>
    <xdr:ext cx="57150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P1001" sheet="dataset_A"/>
  </cacheSource>
  <cacheFields>
    <cacheField name="instant" numFmtId="0">
      <sharedItems containsSemiMixedTypes="0" containsString="0" containsNumber="1" containsInteger="1">
        <n v="440.0"/>
        <n v="862.0"/>
        <n v="556.0"/>
        <n v="838.0"/>
        <n v="566.0"/>
        <n v="565.0"/>
        <n v="766.0"/>
        <n v="123.0"/>
        <n v="240.0"/>
        <n v="464.0"/>
        <n v="847.0"/>
        <n v="930.0"/>
        <n v="449.0"/>
        <n v="86.0"/>
        <n v="939.0"/>
        <n v="146.0"/>
        <n v="775.0"/>
        <n v="286.0"/>
        <n v="885.0"/>
        <n v="416.0"/>
        <n v="425.0"/>
        <n v="100.0"/>
        <n v="109.0"/>
        <n v="729.0"/>
        <n v="218.0"/>
        <n v="743.0"/>
        <n v="155.0"/>
        <n v="450.0"/>
        <n v="673.0"/>
        <n v="542.0"/>
        <n v="87.0"/>
        <n v="730.0"/>
        <n v="819.0"/>
        <n v="821.0"/>
        <n v="77.0"/>
        <n v="227.0"/>
        <n v="908.0"/>
        <n v="533.0"/>
        <n v="705.0"/>
        <n v="871.0"/>
        <n v="752.0"/>
        <n v="848.0"/>
        <n v="818.0"/>
        <n v="940.0"/>
        <n v="961.0"/>
        <n v="132.0"/>
        <n v="895.0"/>
        <n v="110.0"/>
        <n v="706.0"/>
        <n v="465.0"/>
        <n v="894.0"/>
        <n v="917.0"/>
        <n v="133.0"/>
        <n v="295.0"/>
        <n v="984.0"/>
        <n v="426.0"/>
        <n v="473.0"/>
        <n v="682.0"/>
        <n v="820.0"/>
        <n v="983.0"/>
        <n v="918.0"/>
        <n v="318.0"/>
        <n v="309.0"/>
        <n v="63.0"/>
        <n v="64.0"/>
        <n v="603.0"/>
        <n v="822.0"/>
        <n v="683.0"/>
        <n v="228.0"/>
        <n v="720.0"/>
        <n v="776.0"/>
        <n v="54.0"/>
        <n v="982.0"/>
        <n v="543.0"/>
        <n v="451.0"/>
        <n v="872.0"/>
        <n v="981.0"/>
        <n v="612.0"/>
        <n v="753.0"/>
        <n v="567.0"/>
        <n v="962.0"/>
        <n v="296.0"/>
        <n v="557.0"/>
        <n v="441.0"/>
        <n v="931.0"/>
        <n v="271.0"/>
        <n v="287.0"/>
        <n v="319.0"/>
        <n v="272.0"/>
        <n v="963.0"/>
        <n v="249.0"/>
        <n v="696.0"/>
        <n v="863.0"/>
        <n v="959.0"/>
        <n v="147.0"/>
        <n v="985.0"/>
        <n v="403.0"/>
        <n v="744.0"/>
        <n v="111.0"/>
        <n v="241.0"/>
        <n v="340.0"/>
        <n v="262.0"/>
        <n v="341.0"/>
        <n v="849.0"/>
        <n v="767.0"/>
        <n v="452.0"/>
        <n v="402.0"/>
        <n v="938.0"/>
        <n v="986.0"/>
        <n v="156.0"/>
        <n v="657.0"/>
        <n v="721.0"/>
        <n v="886.0"/>
        <n v="124.0"/>
        <n v="655.0"/>
        <n v="909.0"/>
        <n v="823.0"/>
        <n v="474.0"/>
        <n v="633.0"/>
        <n v="958.0"/>
        <n v="960.0"/>
        <n v="568.0"/>
        <n v="339.0"/>
        <n v="362.0"/>
        <n v="839.0"/>
        <n v="310.0"/>
        <n v="817.0"/>
        <n v="514.0"/>
        <n v="564.0"/>
        <n v="697.0"/>
        <n v="101.0"/>
        <n v="846.0"/>
        <n v="957.0"/>
        <n v="364.0"/>
        <n v="88.0"/>
        <n v="134.0"/>
        <n v="427.0"/>
        <n v="674.0"/>
        <n v="919.0"/>
        <n v="980.0"/>
        <n v="684.0"/>
        <n v="16.0"/>
        <n v="65.0"/>
        <n v="516.0"/>
        <n v="935.0"/>
        <n v="417.0"/>
        <n v="613.0"/>
        <n v="656.0"/>
        <n v="755.0"/>
        <n v="555.0"/>
        <n v="707.0"/>
        <n v="634.0"/>
        <n v="15.0"/>
        <n v="544.0"/>
        <n v="560.0"/>
        <n v="366.0"/>
        <n v="979.0"/>
        <n v="361.0"/>
        <n v="424.0"/>
        <n v="590.0"/>
        <n v="494.0"/>
        <n v="728.0"/>
        <n v="777.0"/>
        <n v="175.0"/>
        <n v="534.0"/>
        <n v="338.0"/>
        <n v="439.0"/>
        <n v="604.0"/>
        <n v="873.0"/>
        <n v="941.0"/>
        <n v="78.0"/>
        <n v="861.0"/>
        <n v="239.0"/>
        <n v="297.0"/>
        <n v="365.0"/>
        <n v="404.0"/>
        <n v="513.0"/>
        <n v="632.0"/>
        <n v="774.0"/>
        <n v="884.0"/>
        <n v="907.0"/>
        <n v="174.0"/>
        <n v="445.0"/>
        <n v="1000.0"/>
        <n v="82.0"/>
        <n v="472.0"/>
        <n v="653.0"/>
        <n v="920.0"/>
        <n v="475.0"/>
        <n v="754.0"/>
        <n v="122.0"/>
        <n v="157.0"/>
        <n v="176.0"/>
        <n v="229.0"/>
        <n v="250.0"/>
        <n v="837.0"/>
        <n v="987.0"/>
        <n v="14.0"/>
        <n v="76.0"/>
        <n v="219.0"/>
        <n v="17.0"/>
        <n v="36.0"/>
        <n v="360.0"/>
        <n v="386.0"/>
        <n v="388.0"/>
        <n v="561.0"/>
        <n v="202.0"/>
        <n v="320.0"/>
        <n v="391.0"/>
        <n v="363.0"/>
        <n v="448.0"/>
        <n v="635.0"/>
        <n v="731.0"/>
        <n v="772.0"/>
        <n v="317.0"/>
        <n v="415.0"/>
        <n v="773.0"/>
        <n v="108.0"/>
        <n v="112.0"/>
        <n v="337.0"/>
        <n v="614.0"/>
        <n v="816.0"/>
        <n v="55.0"/>
        <n v="99.0"/>
        <n v="850.0"/>
        <n v="896.0"/>
        <n v="154.0"/>
        <n v="515.0"/>
        <n v="742.0"/>
        <n v="765.0"/>
        <n v="131.0"/>
        <n v="387.0"/>
        <n v="679.0"/>
        <n v="681.0"/>
        <n v="770.0"/>
        <n v="13.0"/>
        <n v="127.0"/>
        <n v="145.0"/>
        <n v="343.0"/>
        <n v="444.0"/>
        <n v="492.0"/>
        <n v="532.0"/>
        <n v="563.0"/>
        <n v="589.0"/>
        <n v="654.0"/>
        <n v="801.0"/>
        <n v="897.0"/>
        <n v="936.0"/>
        <n v="956.0"/>
        <n v="85.0"/>
        <n v="198.0"/>
        <n v="273.0"/>
        <n v="291.0"/>
        <n v="342.0"/>
        <n v="405.0"/>
        <n v="495.0"/>
        <n v="800.0"/>
        <n v="870.0"/>
        <n v="898.0"/>
        <n v="201.0"/>
        <n v="389.0"/>
        <n v="423.0"/>
        <n v="771.0"/>
        <n v="263.0"/>
        <n v="446.0"/>
        <n v="545.0"/>
        <n v="385.0"/>
        <n v="611.0"/>
        <n v="916.0"/>
        <n v="104.0"/>
        <n v="359.0"/>
        <n v="591.0"/>
        <n v="893.0"/>
        <n v="81.0"/>
        <n v="294.0"/>
        <n v="421.0"/>
        <n v="468.0"/>
        <n v="630.0"/>
        <n v="685.0"/>
        <n v="751.0"/>
        <n v="799.0"/>
        <n v="824.0"/>
        <n v="851.0"/>
        <n v="60.0"/>
        <n v="217.0"/>
        <n v="314.0"/>
        <n v="517.0"/>
        <n v="658.0"/>
        <n v="40.0"/>
        <n v="62.0"/>
        <n v="178.0"/>
        <n v="248.0"/>
        <n v="428.0"/>
        <n v="727.0"/>
        <n v="37.0"/>
        <n v="199.0"/>
        <n v="422.0"/>
        <n v="493.0"/>
        <n v="725.0"/>
        <n v="732.0"/>
        <n v="39.0"/>
        <n v="177.0"/>
        <n v="226.0"/>
        <n v="230.0"/>
        <n v="344.0"/>
        <n v="708.0"/>
        <n v="929.0"/>
        <n v="937.0"/>
        <n v="151.0"/>
        <n v="469.0"/>
        <n v="61.0"/>
        <n v="153.0"/>
        <n v="200.0"/>
        <n v="285.0"/>
        <n v="336.0"/>
        <n v="578.0"/>
        <n v="672.0"/>
        <n v="795.0"/>
        <n v="921.0"/>
        <n v="105.0"/>
        <n v="390.0"/>
        <n v="778.0"/>
        <n v="798.0"/>
        <n v="934.0"/>
        <n v="35.0"/>
        <n v="129.0"/>
        <n v="308.0"/>
        <n v="420.0"/>
        <n v="447.0"/>
        <n v="491.0"/>
        <n v="541.0"/>
        <n v="135.0"/>
        <n v="179.0"/>
        <n v="675.0"/>
        <n v="747.0"/>
        <n v="802.0"/>
        <n v="890.0"/>
        <n v="912.0"/>
        <n v="270.0"/>
        <n v="316.0"/>
        <n v="321.0"/>
        <n v="443.0"/>
        <n v="463.0"/>
        <n v="562.0"/>
        <n v="636.0"/>
        <n v="677.0"/>
        <n v="18.0"/>
        <n v="128.0"/>
        <n v="149.0"/>
        <n v="367.0"/>
        <n v="496.0"/>
        <n v="842.0"/>
        <n v="41.0"/>
        <n v="84.0"/>
        <n v="471.0"/>
        <n v="518.0"/>
        <n v="631.0"/>
        <n v="659.0"/>
        <n v="866.0"/>
        <n v="53.0"/>
        <n v="298.0"/>
        <n v="315.0"/>
        <n v="384.0"/>
        <n v="629.0"/>
        <n v="651.0"/>
        <n v="704.0"/>
        <n v="709.0"/>
        <n v="724.0"/>
        <n v="746.0"/>
        <n v="769.0"/>
        <n v="843.0"/>
        <n v="868.0"/>
        <n v="892.0"/>
        <n v="933.0"/>
        <n v="964.0"/>
        <n v="83.0"/>
        <n v="148.0"/>
        <n v="246.0"/>
        <n v="466.0"/>
        <n v="490.0"/>
        <n v="537.0"/>
        <n v="726.0"/>
        <n v="733.0"/>
        <n v="942.0"/>
        <n v="106.0"/>
        <n v="107.0"/>
        <n v="130.0"/>
        <n v="173.0"/>
        <n v="203.0"/>
        <n v="470.0"/>
        <n v="615.0"/>
        <n v="828.0"/>
        <n v="913.0"/>
        <n v="58.0"/>
        <n v="59.0"/>
        <n v="172.0"/>
        <n v="313.0"/>
        <n v="368.0"/>
        <n v="401.0"/>
        <n v="559.0"/>
        <n v="722.0"/>
        <n v="889.0"/>
        <n v="988.0"/>
        <n v="293.0"/>
        <n v="392.0"/>
        <n v="538.0"/>
        <n v="602.0"/>
        <n v="750.0"/>
        <n v="797.0"/>
        <n v="844.0"/>
        <n v="38.0"/>
        <n v="126.0"/>
        <n v="150.0"/>
        <n v="335.0"/>
        <n v="429.0"/>
        <n v="430.0"/>
        <n v="467.0"/>
        <n v="498.0"/>
        <n v="546.0"/>
        <n v="592.0"/>
        <n v="652.0"/>
        <n v="805.0"/>
        <n v="887.0"/>
        <n v="512.0"/>
        <n v="579.0"/>
        <n v="616.0"/>
        <n v="637.0"/>
        <n v="891.0"/>
        <n v="80.0"/>
        <n v="102.0"/>
        <n v="244.0"/>
        <n v="275.0"/>
        <n v="346.0"/>
        <n v="369.0"/>
        <n v="383.0"/>
        <n v="442.0"/>
        <n v="453.0"/>
        <n v="540.0"/>
        <n v="12.0"/>
        <n v="274.0"/>
        <n v="454.0"/>
        <n v="686.0"/>
        <n v="803.0"/>
        <n v="874.0"/>
        <n v="180.0"/>
        <n v="266.0"/>
        <n v="519.0"/>
        <n v="558.0"/>
        <n v="628.0"/>
        <n v="660.0"/>
        <n v="700.0"/>
        <n v="796.0"/>
        <n v="840.0"/>
        <n v="89.0"/>
        <n v="223.0"/>
        <n v="242.0"/>
        <n v="261.0"/>
        <n v="497.0"/>
        <n v="678.0"/>
        <n v="702.0"/>
        <n v="756.0"/>
        <n v="875.0"/>
        <n v="34.0"/>
        <n v="42.0"/>
        <n v="312.0"/>
        <n v="476.0"/>
        <n v="489.0"/>
        <n v="570.0"/>
        <n v="945.0"/>
        <n v="66.0"/>
        <n v="67.0"/>
        <n v="137.0"/>
        <n v="222.0"/>
        <n v="245.0"/>
        <n v="290.0"/>
        <n v="322.0"/>
        <n v="419.0"/>
        <n v="695.0"/>
        <n v="701.0"/>
        <n v="703.0"/>
        <n v="723.0"/>
        <n v="745.0"/>
        <n v="794.0"/>
        <n v="57.0"/>
        <n v="158.0"/>
        <n v="251.0"/>
        <n v="699.0"/>
        <n v="748.0"/>
        <n v="768.0"/>
        <n v="869.0"/>
        <n v="922.0"/>
        <n v="967.0"/>
        <n v="990.0"/>
        <n v="152.0"/>
        <n v="521.0"/>
        <n v="845.0"/>
        <n v="865.0"/>
        <n v="867.0"/>
        <n v="915.0"/>
        <n v="196.0"/>
        <n v="197.0"/>
        <n v="267.0"/>
        <n v="269.0"/>
        <n v="520.0"/>
        <n v="605.0"/>
        <n v="719.0"/>
        <n v="90.0"/>
        <n v="136.0"/>
        <n v="204.0"/>
        <n v="582.0"/>
        <n v="676.0"/>
        <n v="864.0"/>
        <n v="914.0"/>
        <n v="224.0"/>
        <n v="247.0"/>
        <n v="382.0"/>
        <n v="418.0"/>
        <n v="583.0"/>
        <n v="698.0"/>
        <n v="749.0"/>
        <n v="793.0"/>
        <n v="841.0"/>
        <n v="943.0"/>
        <n v="978.0"/>
        <n v="989.0"/>
        <n v="103.0"/>
        <n v="536.0"/>
        <n v="780.0"/>
        <n v="899.0"/>
        <n v="125.0"/>
        <n v="225.0"/>
        <n v="499.0"/>
        <n v="539.0"/>
        <n v="569.0"/>
        <n v="804.0"/>
        <n v="815.0"/>
        <n v="911.0"/>
        <n v="968.0"/>
        <n v="56.0"/>
        <n v="268.0"/>
        <n v="311.0"/>
        <n v="348.0"/>
        <n v="680.0"/>
        <n v="807.0"/>
        <n v="932.0"/>
        <n v="113.0"/>
        <n v="585.0"/>
        <n v="638.0"/>
        <n v="779.0"/>
        <n v="883.0"/>
        <n v="944.0"/>
        <n v="955.0"/>
        <n v="79.0"/>
        <n v="114.0"/>
        <n v="292.0"/>
        <n v="205.0"/>
        <n v="345.0"/>
        <n v="406.0"/>
        <n v="477.0"/>
        <n v="581.0"/>
        <n v="610.0"/>
        <n v="757.0"/>
        <n v="888.0"/>
        <n v="965.0"/>
        <n v="2.0"/>
        <n v="299.0"/>
        <n v="488.0"/>
        <n v="535.0"/>
        <n v="571.0"/>
        <n v="734.0"/>
        <n v="966.0"/>
        <n v="24.0"/>
        <n v="159.0"/>
        <n v="264.0"/>
        <n v="349.0"/>
        <n v="500.0"/>
        <n v="741.0"/>
        <n v="782.0"/>
        <n v="806.0"/>
        <n v="860.0"/>
        <n v="970.0"/>
        <n v="206.0"/>
        <n v="231.0"/>
        <n v="288.0"/>
        <n v="593.0"/>
        <n v="609.0"/>
        <n v="650.0"/>
        <n v="758.0"/>
        <n v="20.0"/>
        <n v="183.0"/>
        <n v="289.0"/>
        <n v="671.0"/>
        <n v="852.0"/>
        <n v="900.0"/>
        <n v="11.0"/>
        <n v="21.0"/>
        <n v="75.0"/>
        <n v="121.0"/>
        <n v="160.0"/>
        <n v="323.0"/>
        <n v="554.0"/>
        <n v="584.0"/>
        <n v="586.0"/>
        <n v="639.0"/>
        <n v="710.0"/>
        <n v="991.0"/>
        <n v="19.0"/>
        <n v="91.0"/>
        <n v="243.0"/>
        <n v="265.0"/>
        <n v="400.0"/>
        <n v="438.0"/>
        <n v="522.0"/>
        <n v="547.0"/>
        <n v="910.0"/>
        <n v="22.0"/>
        <n v="144.0"/>
        <n v="184.0"/>
        <n v="478.0"/>
        <n v="626.0"/>
        <n v="627.0"/>
        <n v="687.0"/>
        <n v="792.0"/>
        <n v="923.0"/>
        <n v="98.0"/>
        <n v="276.0"/>
        <n v="334.0"/>
        <n v="381.0"/>
        <n v="393.0"/>
        <n v="407.0"/>
        <n v="502.0"/>
        <n v="641.0"/>
        <n v="642.0"/>
        <n v="661.0"/>
        <n v="3.0"/>
        <n v="252.0"/>
        <n v="358.0"/>
        <n v="414.0"/>
        <n v="640.0"/>
        <n v="735.0"/>
        <n v="969.0"/>
        <n v="45.0"/>
        <n v="216.0"/>
        <n v="220.0"/>
        <n v="455.0"/>
        <n v="608.0"/>
        <n v="781.0"/>
        <n v="43.0"/>
        <n v="52.0"/>
        <n v="181.0"/>
        <n v="221.0"/>
        <n v="300.0"/>
        <n v="501.0"/>
        <n v="577.0"/>
        <n v="606.0"/>
        <n v="829.0"/>
        <n v="836.0"/>
        <n v="946.0"/>
        <n v="954.0"/>
        <n v="992.0"/>
        <n v="254.0"/>
        <n v="607.0"/>
        <n v="643.0"/>
        <n v="876.0"/>
        <n v="23.0"/>
        <n v="182.0"/>
        <n v="284.0"/>
        <n v="325.0"/>
        <n v="370.0"/>
        <n v="399.0"/>
        <n v="431.0"/>
        <n v="511.0"/>
        <n v="524.0"/>
        <n v="580.0"/>
        <n v="619.0"/>
        <n v="662.0"/>
        <n v="764.0"/>
        <n v="238.0"/>
        <n v="324.0"/>
        <n v="394.0"/>
        <n v="462.0"/>
        <n v="479.0"/>
        <n v="487.0"/>
        <n v="594.0"/>
        <n v="827.0"/>
        <n v="347.0"/>
        <n v="587.0"/>
        <n v="617.0"/>
        <n v="826.0"/>
        <n v="906.0"/>
        <n v="999.0"/>
        <n v="162.0"/>
        <n v="186.0"/>
        <n v="523.0"/>
        <n v="853.0"/>
        <n v="232.0"/>
        <n v="548.0"/>
        <n v="588.0"/>
        <n v="928.0"/>
        <n v="947.0"/>
        <n v="971.0"/>
        <n v="138.0"/>
        <n v="333.0"/>
        <n v="350.0"/>
        <n v="618.0"/>
        <n v="814.0"/>
        <n v="44.0"/>
        <n v="185.0"/>
        <n v="398.0"/>
        <n v="503.0"/>
        <n v="694.0"/>
        <n v="371.0"/>
        <n v="456.0"/>
        <n v="525.0"/>
        <n v="663.0"/>
        <n v="664.0"/>
        <n v="825.0"/>
        <n v="33.0"/>
        <n v="68.0"/>
        <n v="171.0"/>
        <n v="207.0"/>
        <n v="253.0"/>
        <n v="277.0"/>
        <n v="326.0"/>
        <n v="408.0"/>
        <n v="620.0"/>
        <n v="791.0"/>
        <n v="808.0"/>
        <n v="972.0"/>
        <n v="115.0"/>
        <n v="195.0"/>
        <n v="255.0"/>
        <n v="510.0"/>
        <n v="233.0"/>
        <n v="357.0"/>
        <n v="372.0"/>
        <n v="505.0"/>
        <n v="718.0"/>
        <n v="783.0"/>
        <n v="25.0"/>
        <n v="26.0"/>
        <n v="139.0"/>
        <n v="307.0"/>
        <n v="373.0"/>
        <n v="572.0"/>
        <n v="688.0"/>
        <n v="784.0"/>
        <n v="878.0"/>
        <n v="1.0"/>
        <n v="163.0"/>
        <n v="164.0"/>
        <n v="260.0"/>
        <n v="351.0"/>
        <n v="374.0"/>
        <n v="595.0"/>
        <n v="601.0"/>
        <n v="711.0"/>
        <n v="901.0"/>
        <n v="161.0"/>
        <n v="170.0"/>
        <n v="208.0"/>
        <n v="301.0"/>
        <n v="352.0"/>
        <n v="531.0"/>
        <n v="621.0"/>
        <n v="830.0"/>
        <n v="948.0"/>
        <n v="10.0"/>
        <n v="302.0"/>
        <n v="924.0"/>
        <n v="4.0"/>
        <n v="380.0"/>
        <n v="395.0"/>
        <n v="432.0"/>
        <n v="480.0"/>
        <n v="504.0"/>
        <n v="759.0"/>
        <n v="809.0"/>
        <n v="69.0"/>
        <n v="187.0"/>
        <n v="234.0"/>
        <n v="327.0"/>
        <n v="481.0"/>
        <n v="649.0"/>
        <n v="736.0"/>
        <n v="877.0"/>
        <n v="973.0"/>
        <n v="977.0"/>
        <n v="92.0"/>
        <n v="116.0"/>
        <n v="188.0"/>
        <n v="482.0"/>
        <n v="644.0"/>
        <n v="785.0"/>
        <n v="953.0"/>
        <n v="993.0"/>
        <n v="194.0"/>
        <n v="332.0"/>
        <n v="574.0"/>
        <n v="790.0"/>
        <n v="835.0"/>
        <n v="854.0"/>
        <n v="949.0"/>
        <n v="27.0"/>
        <n v="46.0"/>
        <n v="169.0"/>
        <n v="549.0"/>
        <n v="553.0"/>
        <n v="596.0"/>
        <n v="787.0"/>
        <n v="9.0"/>
        <n v="32.0"/>
        <n v="47.0"/>
        <n v="306.0"/>
        <n v="328.0"/>
        <n v="375.0"/>
        <n v="486.0"/>
        <n v="576.0"/>
        <n v="622.0"/>
        <n v="645.0"/>
        <n v="670.0"/>
        <n v="689.0"/>
        <n v="786.0"/>
        <n v="813.0"/>
        <n v="140.0"/>
        <n v="165.0"/>
        <n v="256.0"/>
        <n v="278.0"/>
        <n v="410.0"/>
        <n v="413.0"/>
        <n v="483.0"/>
        <n v="526.0"/>
        <n v="665.0"/>
        <n v="666.0"/>
        <n v="760.0"/>
        <n v="763.0"/>
        <n v="879.0"/>
        <n v="882.0"/>
        <n v="902.0"/>
        <n v="925.0"/>
        <n v="994.0"/>
        <n v="28.0"/>
        <n v="93.0"/>
        <n v="94.0"/>
        <n v="193.0"/>
        <n v="209.0"/>
        <n v="237.0"/>
        <n v="257.0"/>
        <n v="437.0"/>
        <n v="457.0"/>
        <n v="905.0"/>
        <n v="48.0"/>
        <n v="70.0"/>
        <n v="143.0"/>
        <n v="167.0"/>
        <n v="210.0"/>
        <n v="259.0"/>
        <n v="303.0"/>
        <n v="329.0"/>
        <n v="379.0"/>
        <n v="433.0"/>
        <n v="461.0"/>
        <n v="506.0"/>
        <n v="530.0"/>
        <n v="550.0"/>
        <n v="573.0"/>
        <n v="625.0"/>
        <n v="737.0"/>
        <n v="831.0"/>
        <n v="975.0"/>
        <n v="74.0"/>
        <n v="117.0"/>
        <n v="120.0"/>
        <n v="189.0"/>
        <n v="282.0"/>
        <n v="396.0"/>
        <n v="600.0"/>
        <n v="714.0"/>
        <n v="788.0"/>
        <n v="789.0"/>
        <n v="855.0"/>
        <n v="927.0"/>
        <n v="950.0"/>
        <n v="8.0"/>
        <n v="29.0"/>
        <n v="51.0"/>
        <n v="97.0"/>
        <n v="212.0"/>
        <n v="214.0"/>
        <n v="215.0"/>
        <n v="235.0"/>
        <n v="236.0"/>
        <n v="281.0"/>
        <n v="283.0"/>
        <n v="331.0"/>
        <n v="356.0"/>
        <n v="377.0"/>
        <n v="397.0"/>
        <n v="409.0"/>
        <n v="411.0"/>
        <n v="484.0"/>
        <n v="507.0"/>
        <n v="597.0"/>
        <n v="623.0"/>
        <n v="647.0"/>
        <n v="648.0"/>
        <n v="690.0"/>
        <n v="693.0"/>
        <n v="713.0"/>
        <n v="717.0"/>
        <n v="832.0"/>
        <n v="858.0"/>
        <n v="880.0"/>
        <n v="903.0"/>
        <n v="926.0"/>
        <n v="976.0"/>
        <n v="998.0"/>
        <n v="7.0"/>
        <n v="30.0"/>
        <n v="49.0"/>
        <n v="71.0"/>
        <n v="73.0"/>
        <n v="95.0"/>
        <n v="96.0"/>
        <n v="118.0"/>
        <n v="168.0"/>
        <n v="279.0"/>
        <n v="280.0"/>
        <n v="354.0"/>
        <n v="376.0"/>
        <n v="412.0"/>
        <n v="434.0"/>
        <n v="458.0"/>
        <n v="485.0"/>
        <n v="509.0"/>
        <n v="551.0"/>
        <n v="598.0"/>
        <n v="624.0"/>
        <n v="668.0"/>
        <n v="669.0"/>
        <n v="691.0"/>
        <n v="692.0"/>
        <n v="712.0"/>
        <n v="738.0"/>
        <n v="740.0"/>
        <n v="810.0"/>
        <n v="834.0"/>
        <n v="856.0"/>
        <n v="859.0"/>
        <n v="881.0"/>
        <n v="952.0"/>
        <n v="974.0"/>
        <n v="995.0"/>
        <n v="996.0"/>
        <n v="997.0"/>
        <n v="5.0"/>
        <n v="6.0"/>
        <n v="31.0"/>
        <n v="50.0"/>
        <n v="72.0"/>
        <n v="119.0"/>
        <n v="141.0"/>
        <n v="142.0"/>
        <n v="166.0"/>
        <n v="190.0"/>
        <n v="191.0"/>
        <n v="192.0"/>
        <n v="211.0"/>
        <n v="213.0"/>
        <n v="258.0"/>
        <n v="304.0"/>
        <n v="305.0"/>
        <n v="330.0"/>
        <n v="353.0"/>
        <n v="355.0"/>
        <n v="378.0"/>
        <n v="435.0"/>
        <n v="436.0"/>
        <n v="459.0"/>
        <n v="460.0"/>
        <n v="508.0"/>
        <n v="527.0"/>
        <n v="528.0"/>
        <n v="529.0"/>
        <n v="552.0"/>
        <n v="575.0"/>
        <n v="599.0"/>
        <n v="646.0"/>
        <n v="667.0"/>
        <n v="715.0"/>
        <n v="716.0"/>
        <n v="739.0"/>
        <n v="761.0"/>
        <n v="762.0"/>
        <n v="811.0"/>
        <n v="812.0"/>
        <n v="833.0"/>
        <n v="857.0"/>
        <n v="904.0"/>
        <n v="951.0"/>
      </sharedItems>
    </cacheField>
    <cacheField name="dteday" numFmtId="164">
      <sharedItems containsSemiMixedTypes="0" containsDate="1" containsString="0">
        <d v="2011-01-20T00:00:00Z"/>
        <d v="2011-02-08T00:00:00Z"/>
        <d v="2011-01-25T00:00:00Z"/>
        <d v="2011-02-07T00:00:00Z"/>
        <d v="2011-02-04T00:00:00Z"/>
        <d v="2011-01-06T00:00:00Z"/>
        <d v="2011-01-11T00:00:00Z"/>
        <d v="2011-01-21T00:00:00Z"/>
        <d v="2011-02-11T00:00:00Z"/>
        <d v="2011-01-04T00:00:00Z"/>
        <d v="2011-01-07T00:00:00Z"/>
        <d v="2011-01-13T00:00:00Z"/>
        <d v="2011-02-09T00:00:00Z"/>
        <d v="2011-01-19T00:00:00Z"/>
        <d v="2011-01-05T00:00:00Z"/>
        <d v="2011-02-02T00:00:00Z"/>
        <d v="2011-01-10T00:00:00Z"/>
        <d v="2011-02-03T00:00:00Z"/>
        <d v="2011-01-31T00:00:00Z"/>
        <d v="2011-01-24T00:00:00Z"/>
        <d v="2011-02-06T00:00:00Z"/>
        <d v="2011-02-10T00:00:00Z"/>
        <d v="2011-02-01T00:00:00Z"/>
        <d v="2011-02-12T00:00:00Z"/>
        <d v="2011-02-13T00:00:00Z"/>
        <d v="2011-01-14T00:00:00Z"/>
        <d v="2011-01-03T00:00:00Z"/>
        <d v="2011-01-28T00:00:00Z"/>
        <d v="2011-01-12T00:00:00Z"/>
        <d v="2011-01-18T00:00:00Z"/>
        <d v="2011-01-15T00:00:00Z"/>
        <d v="2011-01-30T00:00:00Z"/>
        <d v="2011-01-29T00:00:00Z"/>
        <d v="2011-01-16T00:00:00Z"/>
        <d v="2011-01-23T00:00:00Z"/>
        <d v="2011-01-01T00:00:00Z"/>
        <d v="2011-01-27T00:00:00Z"/>
        <d v="2011-01-22T00:00:00Z"/>
        <d v="2011-01-08T00:00:00Z"/>
        <d v="2011-02-14T00:00:00Z"/>
        <d v="2011-01-02T00:00:00Z"/>
        <d v="2011-01-17T00:00:00Z"/>
        <d v="2011-01-09T00:00:00Z"/>
        <d v="2011-02-05T00:00:00Z"/>
        <d v="2011-01-26T00:00:00Z"/>
      </sharedItems>
    </cacheField>
    <cacheField name="season" numFmtId="0">
      <sharedItems containsSemiMixedTypes="0" containsString="0" containsNumber="1" containsInteger="1">
        <n v="1.0"/>
      </sharedItems>
    </cacheField>
    <cacheField name="yr" numFmtId="0">
      <sharedItems containsSemiMixedTypes="0" containsString="0" containsNumber="1" containsInteger="1">
        <n v="0.0"/>
      </sharedItems>
    </cacheField>
    <cacheField name="mnth" numFmtId="0">
      <sharedItems containsSemiMixedTypes="0" containsString="0" containsNumber="1" containsInteger="1">
        <n v="1.0"/>
        <n v="2.0"/>
      </sharedItems>
    </cacheField>
    <cacheField name="hr" numFmtId="0">
      <sharedItems containsSemiMixedTypes="0" containsString="0" containsNumber="1" containsInteger="1">
        <n v="8.0"/>
        <n v="18.0"/>
        <n v="17.0"/>
        <n v="13.0"/>
        <n v="15.0"/>
        <n v="12.0"/>
        <n v="9.0"/>
        <n v="14.0"/>
        <n v="16.0"/>
        <n v="19.0"/>
        <n v="20.0"/>
        <n v="11.0"/>
        <n v="7.0"/>
        <n v="10.0"/>
        <n v="21.0"/>
        <n v="22.0"/>
        <n v="23.0"/>
        <n v="1.0"/>
        <n v="6.0"/>
        <n v="0.0"/>
        <n v="2.0"/>
        <n v="3.0"/>
        <n v="5.0"/>
        <n v="4.0"/>
      </sharedItems>
    </cacheField>
    <cacheField name="holiday" numFmtId="0">
      <sharedItems>
        <b v="0"/>
        <b v="1"/>
      </sharedItems>
    </cacheField>
    <cacheField name="weekday" numFmtId="0">
      <sharedItems containsSemiMixedTypes="0" containsString="0" containsNumber="1" containsInteger="1">
        <n v="4.0"/>
        <n v="2.0"/>
        <n v="1.0"/>
        <n v="5.0"/>
        <n v="3.0"/>
        <n v="0.0"/>
        <n v="6.0"/>
      </sharedItems>
    </cacheField>
    <cacheField name="weathersit" numFmtId="0">
      <sharedItems containsSemiMixedTypes="0" containsString="0" containsNumber="1" containsInteger="1">
        <n v="1.0"/>
        <n v="2.0"/>
        <n v="3.0"/>
        <n v="4.0"/>
      </sharedItems>
    </cacheField>
    <cacheField name="temp" numFmtId="0">
      <sharedItems containsSemiMixedTypes="0" containsString="0" containsNumber="1">
        <n v="0.22"/>
        <n v="0.24"/>
        <n v="0.16"/>
        <n v="0.3"/>
        <n v="0.14"/>
        <n v="0.18"/>
        <n v="0.2"/>
        <n v="0.32"/>
        <n v="0.1"/>
        <n v="0.28"/>
        <n v="0.26"/>
        <n v="0.36"/>
        <n v="0.12"/>
        <n v="0.34"/>
        <n v="0.04"/>
        <n v="0.4"/>
        <n v="0.38"/>
        <n v="0.42"/>
        <n v="0.44"/>
        <n v="0.46"/>
        <n v="0.06"/>
        <n v="0.08"/>
        <n v="0.02"/>
      </sharedItems>
    </cacheField>
    <cacheField name="atemp" numFmtId="0">
      <sharedItems containsString="0" containsBlank="1" containsNumber="1">
        <n v="0.2121"/>
        <n v="0.197"/>
        <n v="0.1818"/>
        <n v="0.2273"/>
        <n v="0.3182"/>
        <n v="0.3333"/>
        <n v="0.1515"/>
        <n v="0.1212"/>
        <n v="0.2727"/>
        <n v="0.1364"/>
        <n v="0.2576"/>
        <n v="0.2879"/>
        <n v="0.3636"/>
        <n v="0.3485"/>
        <n v="0.0758"/>
        <n v="0.303"/>
        <n v="0.1667"/>
        <n v="0.2424"/>
        <n v="0.4091"/>
        <n v="0.3939"/>
        <n v="0.4242"/>
        <n v="0.1061"/>
        <n v="0.4394"/>
        <n v="0.4545"/>
        <m/>
        <n v="0.0909"/>
        <n v="0.0606"/>
        <n v="0.0303"/>
        <n v="0.0455"/>
        <n v="0.0"/>
        <n v="0.0152"/>
      </sharedItems>
    </cacheField>
    <cacheField name="hum" numFmtId="0">
      <sharedItems containsSemiMixedTypes="0" containsString="0" containsNumber="1">
        <n v="0.55"/>
        <n v="0.56"/>
        <n v="0.74"/>
        <n v="1.0"/>
        <n v="0.49"/>
        <n v="0.45"/>
        <n v="0.59"/>
        <n v="0.51"/>
        <n v="0.47"/>
        <n v="0.7"/>
        <n v="0.48"/>
        <n v="0.24"/>
        <n v="0.5"/>
        <n v="0.42"/>
        <n v="0.93"/>
        <n v="0.57"/>
        <n v="0.4"/>
        <n v="0.38"/>
        <n v="0.53"/>
        <n v="0.37"/>
        <n v="0.46"/>
        <n v="0.69"/>
        <n v="0.75"/>
        <n v="0.32"/>
        <n v="0.66"/>
        <n v="0.28"/>
        <n v="0.29"/>
        <n v="0.81"/>
        <n v="0.34"/>
        <n v="0.26"/>
        <n v="0.3"/>
        <n v="0.61"/>
        <n v="0.41"/>
        <n v="0.68"/>
        <n v="0.86"/>
        <n v="0.6"/>
        <n v="0.65"/>
        <n v="0.64"/>
        <n v="0.52"/>
        <n v="0.31"/>
        <n v="0.39"/>
        <n v="0.8"/>
        <n v="0.36"/>
        <n v="0.82"/>
        <n v="0.35"/>
        <n v="0.77"/>
        <n v="0.72"/>
        <n v="0.54"/>
        <n v="0.58"/>
        <n v="0.71"/>
        <n v="0.44"/>
        <n v="0.33"/>
        <n v="0.43"/>
        <n v="0.92"/>
        <n v="0.87"/>
        <n v="0.27"/>
        <n v="0.62"/>
        <n v="0.76"/>
        <n v="0.73"/>
        <n v="0.21"/>
        <n v="0.25"/>
        <n v="0.63"/>
        <n v="0.88"/>
        <n v="0.94"/>
      </sharedItems>
    </cacheField>
    <cacheField name="windspeed" numFmtId="0">
      <sharedItems containsSemiMixedTypes="0" containsString="0" containsNumber="1">
        <n v="0.2836"/>
        <n v="0.4925"/>
        <n v="0.1343"/>
        <n v="0.0"/>
        <n v="0.0896"/>
        <n v="0.3284"/>
        <n v="0.1642"/>
        <n v="0.1045"/>
        <n v="0.2239"/>
        <n v="0.2537"/>
        <n v="0.194"/>
        <n v="0.2985"/>
        <n v="0.5224"/>
        <n v="0.3582"/>
        <n v="0.5522"/>
        <n v="0.5821"/>
        <n v="0.4179"/>
        <n v="0.3881"/>
        <n v="0.4627"/>
        <n v="0.4478"/>
      </sharedItems>
    </cacheField>
    <cacheField name="casual" numFmtId="0">
      <sharedItems containsSemiMixedTypes="0" containsString="0" containsNumber="1" containsInteger="1">
        <n v="2.0"/>
        <n v="7.0"/>
        <n v="5.0"/>
        <n v="14.0"/>
        <n v="3.0"/>
        <n v="9.0"/>
        <n v="4.0"/>
        <n v="8.0"/>
        <n v="10.0"/>
        <n v="18.0"/>
        <n v="20.0"/>
        <n v="1.0"/>
        <n v="6.0"/>
        <n v="47.0"/>
        <n v="52.0"/>
        <n v="48.0"/>
        <n v="40.0"/>
        <n v="51.0"/>
        <n v="11.0"/>
        <n v="42.0"/>
        <n v="62.0"/>
        <n v="58.0"/>
        <n v="13.0"/>
        <n v="0.0"/>
        <n v="24.0"/>
        <n v="32.0"/>
        <n v="28.0"/>
        <n v="21.0"/>
        <n v="33.0"/>
        <n v="30.0"/>
        <n v="19.0"/>
        <n v="22.0"/>
        <n v="27.0"/>
        <n v="16.0"/>
        <n v="26.0"/>
        <n v="23.0"/>
        <n v="35.0"/>
        <n v="17.0"/>
        <n v="29.0"/>
        <n v="12.0"/>
        <n v="41.0"/>
        <n v="15.0"/>
      </sharedItems>
    </cacheField>
    <cacheField name="registered" numFmtId="0">
      <sharedItems containsSemiMixedTypes="0" containsString="0" containsNumber="1" containsInteger="1">
        <n v="247.0"/>
        <n v="236.0"/>
        <n v="233.0"/>
        <n v="223.0"/>
        <n v="218.0"/>
        <n v="208.0"/>
        <n v="217.0"/>
        <n v="216.0"/>
        <n v="214.0"/>
        <n v="210.0"/>
        <n v="207.0"/>
        <n v="212.0"/>
        <n v="202.0"/>
        <n v="193.0"/>
        <n v="190.0"/>
        <n v="195.0"/>
        <n v="197.0"/>
        <n v="198.0"/>
        <n v="196.0"/>
        <n v="192.0"/>
        <n v="186.0"/>
        <n v="183.0"/>
        <n v="184.0"/>
        <n v="178.0"/>
        <n v="182.0"/>
        <n v="179.0"/>
        <n v="175.0"/>
        <n v="135.0"/>
        <n v="130.0"/>
        <n v="177.0"/>
        <n v="174.0"/>
        <n v="173.0"/>
        <n v="171.0"/>
        <n v="172.0"/>
        <n v="170.0"/>
        <n v="126.0"/>
        <n v="165.0"/>
        <n v="127.0"/>
        <n v="163.0"/>
        <n v="168.0"/>
        <n v="166.0"/>
        <n v="159.0"/>
        <n v="157.0"/>
        <n v="158.0"/>
        <n v="122.0"/>
        <n v="156.0"/>
        <n v="151.0"/>
        <n v="155.0"/>
        <n v="114.0"/>
        <n v="110.0"/>
        <n v="146.0"/>
        <n v="148.0"/>
        <n v="115.0"/>
        <n v="153.0"/>
        <n v="154.0"/>
        <n v="152.0"/>
        <n v="92.0"/>
        <n v="145.0"/>
        <n v="94.0"/>
        <n v="147.0"/>
        <n v="133.0"/>
        <n v="103.0"/>
        <n v="141.0"/>
        <n v="134.0"/>
        <n v="140.0"/>
        <n v="132.0"/>
        <n v="139.0"/>
        <n v="137.0"/>
        <n v="113.0"/>
        <n v="128.0"/>
        <n v="125.0"/>
        <n v="106.0"/>
        <n v="108.0"/>
        <n v="95.0"/>
        <n v="123.0"/>
        <n v="124.0"/>
        <n v="111.0"/>
        <n v="116.0"/>
        <n v="104.0"/>
        <n v="119.0"/>
        <n v="121.0"/>
        <n v="97.0"/>
        <n v="98.0"/>
        <n v="93.0"/>
        <n v="90.0"/>
        <n v="117.0"/>
        <n v="89.0"/>
        <n v="102.0"/>
        <n v="109.0"/>
        <n v="84.0"/>
        <n v="78.0"/>
        <n v="112.0"/>
        <n v="86.0"/>
        <n v="70.0"/>
        <n v="107.0"/>
        <n v="105.0"/>
        <n v="88.0"/>
        <n v="71.0"/>
        <n v="101.0"/>
        <n v="85.0"/>
        <n v="82.0"/>
        <n v="75.0"/>
        <n v="80.0"/>
        <n v="100.0"/>
        <n v="77.0"/>
        <n v="91.0"/>
        <n v="99.0"/>
        <n v="96.0"/>
        <n v="79.0"/>
        <n v="87.0"/>
        <n v="83.0"/>
        <n v="47.0"/>
        <n v="52.0"/>
        <n v="73.0"/>
        <n v="72.0"/>
        <n v="69.0"/>
        <n v="76.0"/>
        <n v="81.0"/>
        <n v="74.0"/>
        <n v="55.0"/>
        <n v="63.0"/>
        <n v="67.0"/>
        <n v="68.0"/>
        <n v="54.0"/>
        <n v="66.0"/>
        <n v="64.0"/>
        <n v="65.0"/>
        <n v="60.0"/>
        <n v="62.0"/>
        <n v="58.0"/>
        <n v="59.0"/>
        <n v="57.0"/>
        <n v="48.0"/>
        <n v="56.0"/>
        <n v="61.0"/>
        <n v="53.0"/>
        <n v="50.0"/>
        <n v="49.0"/>
        <n v="51.0"/>
        <n v="30.0"/>
        <n v="46.0"/>
        <n v="43.0"/>
        <n v="45.0"/>
        <n v="42.0"/>
        <n v="41.0"/>
        <n v="44.0"/>
        <n v="39.0"/>
        <n v="36.0"/>
        <n v="35.0"/>
        <n v="32.0"/>
        <n v="34.0"/>
        <n v="40.0"/>
        <n v="38.0"/>
        <n v="33.0"/>
        <n v="37.0"/>
        <n v="24.0"/>
        <n v="31.0"/>
        <n v="25.0"/>
        <n v="26.0"/>
        <n v="29.0"/>
        <n v="27.0"/>
        <n v="28.0"/>
        <n v="20.0"/>
        <n v="23.0"/>
        <n v="22.0"/>
        <n v="17.0"/>
        <n v="21.0"/>
        <n v="19.0"/>
        <n v="16.0"/>
        <n v="18.0"/>
        <n v="15.0"/>
        <n v="13.0"/>
        <n v="14.0"/>
        <n v="12.0"/>
        <n v="10.0"/>
        <n v="6.0"/>
        <n v="9.0"/>
        <n v="8.0"/>
        <n v="11.0"/>
        <n v="7.0"/>
        <n v="5.0"/>
        <n v="4.0"/>
        <n v="3.0"/>
        <n v="0.0"/>
        <n v="2.0"/>
        <n v="1.0"/>
      </sharedItems>
    </cacheField>
    <cacheField name="cnt" numFmtId="0">
      <sharedItems containsSemiMixedTypes="0" containsString="0" containsNumber="1" containsInteger="1">
        <n v="249.0"/>
        <n v="243.0"/>
        <n v="238.0"/>
        <n v="230.0"/>
        <n v="225.0"/>
        <n v="222.0"/>
        <n v="220.0"/>
        <n v="219.0"/>
        <n v="217.0"/>
        <n v="216.0"/>
        <n v="215.0"/>
        <n v="212.0"/>
        <n v="211.0"/>
        <n v="210.0"/>
        <n v="205.0"/>
        <n v="202.0"/>
        <n v="199.0"/>
        <n v="197.0"/>
        <n v="195.0"/>
        <n v="190.0"/>
        <n v="188.0"/>
        <n v="187.0"/>
        <n v="185.0"/>
        <n v="184.0"/>
        <n v="182.0"/>
        <n v="179.0"/>
        <n v="178.0"/>
        <n v="177.0"/>
        <n v="176.0"/>
        <n v="175.0"/>
        <n v="174.0"/>
        <n v="172.0"/>
        <n v="170.0"/>
        <n v="169.0"/>
        <n v="168.0"/>
        <n v="166.0"/>
        <n v="165.0"/>
        <n v="163.0"/>
        <n v="162.0"/>
        <n v="161.0"/>
        <n v="160.0"/>
        <n v="159.0"/>
        <n v="158.0"/>
        <n v="157.0"/>
        <n v="156.0"/>
        <n v="155.0"/>
        <n v="154.0"/>
        <n v="153.0"/>
        <n v="152.0"/>
        <n v="149.0"/>
        <n v="147.0"/>
        <n v="146.0"/>
        <n v="145.0"/>
        <n v="144.0"/>
        <n v="143.0"/>
        <n v="140.0"/>
        <n v="139.0"/>
        <n v="137.0"/>
        <n v="136.0"/>
        <n v="135.0"/>
        <n v="134.0"/>
        <n v="133.0"/>
        <n v="132.0"/>
        <n v="130.0"/>
        <n v="129.0"/>
        <n v="128.0"/>
        <n v="127.0"/>
        <n v="126.0"/>
        <n v="125.0"/>
        <n v="123.0"/>
        <n v="122.0"/>
        <n v="121.0"/>
        <n v="120.0"/>
        <n v="119.0"/>
        <n v="118.0"/>
        <n v="117.0"/>
        <n v="116.0"/>
        <n v="115.0"/>
        <n v="114.0"/>
        <n v="113.0"/>
        <n v="112.0"/>
        <n v="111.0"/>
        <n v="110.0"/>
        <n v="109.0"/>
        <n v="108.0"/>
        <n v="107.0"/>
        <n v="106.0"/>
        <n v="105.0"/>
        <n v="104.0"/>
        <n v="103.0"/>
        <n v="102.0"/>
        <n v="101.0"/>
        <n v="100.0"/>
        <n v="99.0"/>
        <n v="98.0"/>
        <n v="97.0"/>
        <n v="96.0"/>
        <n v="95.0"/>
        <n v="94.0"/>
        <n v="93.0"/>
        <n v="92.0"/>
        <n v="91.0"/>
        <n v="90.0"/>
        <n v="89.0"/>
        <n v="88.0"/>
        <n v="87.0"/>
        <n v="86.0"/>
        <n v="84.0"/>
        <n v="83.0"/>
        <n v="82.0"/>
        <n v="81.0"/>
        <n v="80.0"/>
        <n v="79.0"/>
        <n v="78.0"/>
        <n v="77.0"/>
        <n v="76.0"/>
        <n v="75.0"/>
        <n v="74.0"/>
        <n v="73.0"/>
        <n v="72.0"/>
        <n v="71.0"/>
        <n v="70.0"/>
        <n v="69.0"/>
        <n v="68.0"/>
        <n v="67.0"/>
        <n v="66.0"/>
        <n v="65.0"/>
        <n v="64.0"/>
        <n v="63.0"/>
        <n v="62.0"/>
        <n v="61.0"/>
        <n v="60.0"/>
        <n v="59.0"/>
        <n v="58.0"/>
        <n v="57.0"/>
        <n v="56.0"/>
        <n v="55.0"/>
        <n v="54.0"/>
        <n v="53.0"/>
        <n v="52.0"/>
        <n v="51.0"/>
        <n v="50.0"/>
        <n v="49.0"/>
        <n v="48.0"/>
        <n v="47.0"/>
        <n v="46.0"/>
        <n v="45.0"/>
        <n v="44.0"/>
        <n v="43.0"/>
        <n v="42.0"/>
        <n v="41.0"/>
        <n v="40.0"/>
        <n v="39.0"/>
        <n v="38.0"/>
        <n v="37.0"/>
        <n v="36.0"/>
        <n v="35.0"/>
        <n v="34.0"/>
        <n v="33.0"/>
        <n v="32.0"/>
        <n v="31.0"/>
        <n v="30.0"/>
        <n v="29.0"/>
        <n v="28.0"/>
        <n v="27.0"/>
        <n v="26.0"/>
        <n v="25.0"/>
        <n v="24.0"/>
        <n v="23.0"/>
        <n v="22.0"/>
        <n v="21.0"/>
        <n v="20.0"/>
        <n v="19.0"/>
        <n v="18.0"/>
        <n v="17.0"/>
        <n v="16.0"/>
        <n v="15.0"/>
        <n v="14.0"/>
        <n v="13.0"/>
        <n v="12.0"/>
        <n v="11.0"/>
        <n v="10.0"/>
        <n v="9.0"/>
        <n v="8.0"/>
        <n v="7.0"/>
        <n v="6.0"/>
        <n v="5.0"/>
        <n v="4.0"/>
        <n v="3.0"/>
        <n v="2.0"/>
        <n v="1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P1001" sheet="feature_engineering"/>
  </cacheSource>
  <cacheFields>
    <cacheField name="instant" numFmtId="0">
      <sharedItems containsSemiMixedTypes="0" containsString="0" containsNumber="1" containsInteger="1">
        <n v="440.0"/>
        <n v="862.0"/>
        <n v="556.0"/>
        <n v="838.0"/>
        <n v="566.0"/>
        <n v="565.0"/>
        <n v="766.0"/>
        <n v="123.0"/>
        <n v="240.0"/>
        <n v="464.0"/>
        <n v="847.0"/>
        <n v="930.0"/>
        <n v="449.0"/>
        <n v="86.0"/>
        <n v="939.0"/>
        <n v="146.0"/>
        <n v="775.0"/>
        <n v="286.0"/>
        <n v="885.0"/>
        <n v="416.0"/>
        <n v="425.0"/>
        <n v="100.0"/>
        <n v="109.0"/>
        <n v="729.0"/>
        <n v="218.0"/>
        <n v="743.0"/>
        <n v="155.0"/>
        <n v="450.0"/>
        <n v="673.0"/>
        <n v="542.0"/>
        <n v="87.0"/>
        <n v="730.0"/>
        <n v="819.0"/>
        <n v="821.0"/>
        <n v="77.0"/>
        <n v="227.0"/>
        <n v="908.0"/>
        <n v="533.0"/>
        <n v="705.0"/>
        <n v="871.0"/>
        <n v="752.0"/>
        <n v="848.0"/>
        <n v="818.0"/>
        <n v="940.0"/>
        <n v="961.0"/>
        <n v="132.0"/>
        <n v="895.0"/>
        <n v="110.0"/>
        <n v="706.0"/>
        <n v="465.0"/>
        <n v="894.0"/>
        <n v="917.0"/>
        <n v="133.0"/>
        <n v="295.0"/>
        <n v="984.0"/>
        <n v="426.0"/>
        <n v="473.0"/>
        <n v="682.0"/>
        <n v="820.0"/>
        <n v="983.0"/>
        <n v="918.0"/>
        <n v="318.0"/>
        <n v="309.0"/>
        <n v="63.0"/>
        <n v="64.0"/>
        <n v="603.0"/>
        <n v="822.0"/>
        <n v="683.0"/>
        <n v="228.0"/>
        <n v="720.0"/>
        <n v="776.0"/>
        <n v="54.0"/>
        <n v="982.0"/>
        <n v="543.0"/>
        <n v="451.0"/>
        <n v="872.0"/>
        <n v="981.0"/>
        <n v="612.0"/>
        <n v="753.0"/>
        <n v="567.0"/>
        <n v="962.0"/>
        <n v="296.0"/>
        <n v="557.0"/>
        <n v="441.0"/>
        <n v="931.0"/>
        <n v="271.0"/>
        <n v="287.0"/>
        <n v="319.0"/>
        <n v="272.0"/>
        <n v="963.0"/>
        <n v="249.0"/>
        <n v="696.0"/>
        <n v="863.0"/>
        <n v="959.0"/>
        <n v="147.0"/>
        <n v="985.0"/>
        <n v="403.0"/>
        <n v="744.0"/>
        <n v="111.0"/>
        <n v="241.0"/>
        <n v="340.0"/>
        <n v="262.0"/>
        <n v="341.0"/>
        <n v="849.0"/>
        <n v="767.0"/>
        <n v="452.0"/>
        <n v="402.0"/>
        <n v="938.0"/>
        <n v="986.0"/>
        <n v="156.0"/>
        <n v="657.0"/>
        <n v="721.0"/>
        <n v="886.0"/>
        <n v="124.0"/>
        <n v="655.0"/>
        <n v="909.0"/>
        <n v="823.0"/>
        <n v="474.0"/>
        <n v="633.0"/>
        <n v="958.0"/>
        <n v="960.0"/>
        <n v="568.0"/>
        <n v="339.0"/>
        <n v="362.0"/>
        <n v="839.0"/>
        <n v="310.0"/>
        <n v="817.0"/>
        <n v="514.0"/>
        <n v="564.0"/>
        <n v="697.0"/>
        <n v="101.0"/>
        <n v="846.0"/>
        <n v="957.0"/>
        <n v="364.0"/>
        <n v="88.0"/>
        <n v="134.0"/>
        <n v="427.0"/>
        <n v="674.0"/>
        <n v="919.0"/>
        <n v="980.0"/>
        <n v="684.0"/>
        <n v="16.0"/>
        <n v="65.0"/>
        <n v="516.0"/>
        <n v="935.0"/>
        <n v="417.0"/>
        <n v="613.0"/>
        <n v="656.0"/>
        <n v="755.0"/>
        <n v="555.0"/>
        <n v="707.0"/>
        <n v="634.0"/>
        <n v="15.0"/>
        <n v="544.0"/>
        <n v="560.0"/>
        <n v="366.0"/>
        <n v="979.0"/>
        <n v="361.0"/>
        <n v="424.0"/>
        <n v="590.0"/>
        <n v="494.0"/>
        <n v="728.0"/>
        <n v="777.0"/>
        <n v="175.0"/>
        <n v="534.0"/>
        <n v="338.0"/>
        <n v="439.0"/>
        <n v="604.0"/>
        <n v="873.0"/>
        <n v="941.0"/>
        <n v="78.0"/>
        <n v="861.0"/>
        <n v="239.0"/>
        <n v="297.0"/>
        <n v="365.0"/>
        <n v="404.0"/>
        <n v="513.0"/>
        <n v="632.0"/>
        <n v="774.0"/>
        <n v="884.0"/>
        <n v="907.0"/>
        <n v="174.0"/>
        <n v="445.0"/>
        <n v="1000.0"/>
        <n v="82.0"/>
        <n v="472.0"/>
        <n v="653.0"/>
        <n v="920.0"/>
        <n v="475.0"/>
        <n v="754.0"/>
        <n v="122.0"/>
        <n v="157.0"/>
        <n v="176.0"/>
        <n v="229.0"/>
        <n v="250.0"/>
        <n v="837.0"/>
        <n v="987.0"/>
        <n v="14.0"/>
        <n v="76.0"/>
        <n v="219.0"/>
        <n v="17.0"/>
        <n v="36.0"/>
        <n v="360.0"/>
        <n v="386.0"/>
        <n v="388.0"/>
        <n v="561.0"/>
        <n v="202.0"/>
        <n v="320.0"/>
        <n v="391.0"/>
        <n v="363.0"/>
        <n v="448.0"/>
        <n v="635.0"/>
        <n v="731.0"/>
        <n v="772.0"/>
        <n v="317.0"/>
        <n v="415.0"/>
        <n v="773.0"/>
        <n v="108.0"/>
        <n v="112.0"/>
        <n v="337.0"/>
        <n v="614.0"/>
        <n v="816.0"/>
        <n v="55.0"/>
        <n v="99.0"/>
        <n v="850.0"/>
        <n v="896.0"/>
        <n v="154.0"/>
        <n v="515.0"/>
        <n v="742.0"/>
        <n v="765.0"/>
        <n v="131.0"/>
        <n v="387.0"/>
        <n v="679.0"/>
        <n v="681.0"/>
        <n v="770.0"/>
        <n v="13.0"/>
        <n v="127.0"/>
        <n v="145.0"/>
        <n v="343.0"/>
        <n v="444.0"/>
        <n v="492.0"/>
        <n v="532.0"/>
        <n v="563.0"/>
        <n v="589.0"/>
        <n v="654.0"/>
        <n v="801.0"/>
        <n v="897.0"/>
        <n v="936.0"/>
        <n v="956.0"/>
        <n v="85.0"/>
        <n v="198.0"/>
        <n v="273.0"/>
        <n v="291.0"/>
        <n v="342.0"/>
        <n v="405.0"/>
        <n v="495.0"/>
        <n v="800.0"/>
        <n v="870.0"/>
        <n v="898.0"/>
        <n v="201.0"/>
        <n v="389.0"/>
        <n v="423.0"/>
        <n v="771.0"/>
        <n v="263.0"/>
        <n v="446.0"/>
        <n v="545.0"/>
        <n v="385.0"/>
        <n v="611.0"/>
        <n v="916.0"/>
        <n v="104.0"/>
        <n v="359.0"/>
        <n v="591.0"/>
        <n v="893.0"/>
        <n v="81.0"/>
        <n v="294.0"/>
        <n v="421.0"/>
        <n v="468.0"/>
        <n v="630.0"/>
        <n v="685.0"/>
        <n v="751.0"/>
        <n v="799.0"/>
        <n v="824.0"/>
        <n v="851.0"/>
        <n v="60.0"/>
        <n v="217.0"/>
        <n v="314.0"/>
        <n v="517.0"/>
        <n v="658.0"/>
        <n v="40.0"/>
        <n v="62.0"/>
        <n v="178.0"/>
        <n v="248.0"/>
        <n v="428.0"/>
        <n v="727.0"/>
        <n v="37.0"/>
        <n v="199.0"/>
        <n v="422.0"/>
        <n v="493.0"/>
        <n v="725.0"/>
        <n v="732.0"/>
        <n v="39.0"/>
        <n v="177.0"/>
        <n v="226.0"/>
        <n v="230.0"/>
        <n v="344.0"/>
        <n v="708.0"/>
        <n v="929.0"/>
        <n v="937.0"/>
        <n v="151.0"/>
        <n v="469.0"/>
        <n v="61.0"/>
        <n v="153.0"/>
        <n v="200.0"/>
        <n v="285.0"/>
        <n v="336.0"/>
        <n v="578.0"/>
        <n v="672.0"/>
        <n v="795.0"/>
        <n v="921.0"/>
        <n v="105.0"/>
        <n v="390.0"/>
        <n v="778.0"/>
        <n v="798.0"/>
        <n v="934.0"/>
        <n v="35.0"/>
        <n v="129.0"/>
        <n v="308.0"/>
        <n v="420.0"/>
        <n v="447.0"/>
        <n v="491.0"/>
        <n v="541.0"/>
        <n v="135.0"/>
        <n v="179.0"/>
        <n v="675.0"/>
        <n v="747.0"/>
        <n v="802.0"/>
        <n v="890.0"/>
        <n v="912.0"/>
        <n v="270.0"/>
        <n v="316.0"/>
        <n v="321.0"/>
        <n v="443.0"/>
        <n v="463.0"/>
        <n v="562.0"/>
        <n v="636.0"/>
        <n v="677.0"/>
        <n v="18.0"/>
        <n v="128.0"/>
        <n v="149.0"/>
        <n v="367.0"/>
        <n v="496.0"/>
        <n v="842.0"/>
        <n v="41.0"/>
        <n v="84.0"/>
        <n v="471.0"/>
        <n v="518.0"/>
        <n v="631.0"/>
        <n v="659.0"/>
        <n v="866.0"/>
        <n v="53.0"/>
        <n v="298.0"/>
        <n v="315.0"/>
        <n v="384.0"/>
        <n v="629.0"/>
        <n v="651.0"/>
        <n v="704.0"/>
        <n v="709.0"/>
        <n v="724.0"/>
        <n v="746.0"/>
        <n v="769.0"/>
        <n v="843.0"/>
        <n v="868.0"/>
        <n v="892.0"/>
        <n v="933.0"/>
        <n v="964.0"/>
        <n v="83.0"/>
        <n v="148.0"/>
        <n v="246.0"/>
        <n v="466.0"/>
        <n v="490.0"/>
        <n v="537.0"/>
        <n v="726.0"/>
        <n v="733.0"/>
        <n v="942.0"/>
        <n v="106.0"/>
        <n v="107.0"/>
        <n v="130.0"/>
        <n v="173.0"/>
        <n v="203.0"/>
        <n v="470.0"/>
        <n v="615.0"/>
        <n v="828.0"/>
        <n v="913.0"/>
        <n v="58.0"/>
        <n v="59.0"/>
        <n v="172.0"/>
        <n v="313.0"/>
        <n v="368.0"/>
        <n v="401.0"/>
        <n v="559.0"/>
        <n v="722.0"/>
        <n v="889.0"/>
        <n v="988.0"/>
        <n v="293.0"/>
        <n v="392.0"/>
        <n v="538.0"/>
        <n v="602.0"/>
        <n v="750.0"/>
        <n v="797.0"/>
        <n v="844.0"/>
        <n v="38.0"/>
        <n v="126.0"/>
        <n v="150.0"/>
        <n v="335.0"/>
        <n v="429.0"/>
        <n v="430.0"/>
        <n v="467.0"/>
        <n v="498.0"/>
        <n v="546.0"/>
        <n v="592.0"/>
        <n v="652.0"/>
        <n v="805.0"/>
        <n v="887.0"/>
        <n v="512.0"/>
        <n v="579.0"/>
        <n v="616.0"/>
        <n v="637.0"/>
        <n v="891.0"/>
        <n v="80.0"/>
        <n v="102.0"/>
        <n v="244.0"/>
        <n v="275.0"/>
        <n v="346.0"/>
        <n v="369.0"/>
        <n v="383.0"/>
        <n v="442.0"/>
        <n v="453.0"/>
        <n v="540.0"/>
        <n v="12.0"/>
        <n v="274.0"/>
        <n v="454.0"/>
        <n v="686.0"/>
        <n v="803.0"/>
        <n v="874.0"/>
        <n v="180.0"/>
        <n v="266.0"/>
        <n v="519.0"/>
        <n v="558.0"/>
        <n v="628.0"/>
        <n v="660.0"/>
        <n v="700.0"/>
        <n v="796.0"/>
        <n v="840.0"/>
        <n v="89.0"/>
        <n v="223.0"/>
        <n v="242.0"/>
        <n v="261.0"/>
        <n v="497.0"/>
        <n v="678.0"/>
        <n v="702.0"/>
        <n v="756.0"/>
        <n v="875.0"/>
        <n v="34.0"/>
        <n v="42.0"/>
        <n v="312.0"/>
        <n v="476.0"/>
        <n v="489.0"/>
        <n v="570.0"/>
        <n v="945.0"/>
        <n v="66.0"/>
        <n v="67.0"/>
        <n v="137.0"/>
        <n v="222.0"/>
        <n v="245.0"/>
        <n v="290.0"/>
        <n v="322.0"/>
        <n v="419.0"/>
        <n v="695.0"/>
        <n v="701.0"/>
        <n v="703.0"/>
        <n v="723.0"/>
        <n v="745.0"/>
        <n v="794.0"/>
        <n v="57.0"/>
        <n v="158.0"/>
        <n v="251.0"/>
        <n v="699.0"/>
        <n v="748.0"/>
        <n v="768.0"/>
        <n v="869.0"/>
        <n v="922.0"/>
        <n v="967.0"/>
        <n v="990.0"/>
        <n v="152.0"/>
        <n v="521.0"/>
        <n v="845.0"/>
        <n v="865.0"/>
        <n v="867.0"/>
        <n v="915.0"/>
        <n v="196.0"/>
        <n v="197.0"/>
        <n v="267.0"/>
        <n v="269.0"/>
        <n v="520.0"/>
        <n v="605.0"/>
        <n v="719.0"/>
        <n v="90.0"/>
        <n v="136.0"/>
        <n v="204.0"/>
        <n v="582.0"/>
        <n v="676.0"/>
        <n v="864.0"/>
        <n v="914.0"/>
        <n v="224.0"/>
        <n v="247.0"/>
        <n v="382.0"/>
        <n v="418.0"/>
        <n v="583.0"/>
        <n v="698.0"/>
        <n v="749.0"/>
        <n v="793.0"/>
        <n v="841.0"/>
        <n v="943.0"/>
        <n v="978.0"/>
        <n v="989.0"/>
        <n v="103.0"/>
        <n v="536.0"/>
        <n v="780.0"/>
        <n v="899.0"/>
        <n v="125.0"/>
        <n v="225.0"/>
        <n v="499.0"/>
        <n v="539.0"/>
        <n v="569.0"/>
        <n v="804.0"/>
        <n v="815.0"/>
        <n v="911.0"/>
        <n v="968.0"/>
        <n v="56.0"/>
        <n v="268.0"/>
        <n v="311.0"/>
        <n v="348.0"/>
        <n v="680.0"/>
        <n v="807.0"/>
        <n v="932.0"/>
        <n v="113.0"/>
        <n v="585.0"/>
        <n v="638.0"/>
        <n v="779.0"/>
        <n v="883.0"/>
        <n v="944.0"/>
        <n v="955.0"/>
        <n v="79.0"/>
        <n v="114.0"/>
        <n v="292.0"/>
        <n v="205.0"/>
        <n v="345.0"/>
        <n v="406.0"/>
        <n v="477.0"/>
        <n v="581.0"/>
        <n v="610.0"/>
        <n v="757.0"/>
        <n v="888.0"/>
        <n v="965.0"/>
        <n v="2.0"/>
        <n v="299.0"/>
        <n v="488.0"/>
        <n v="535.0"/>
        <n v="571.0"/>
        <n v="734.0"/>
        <n v="966.0"/>
        <n v="24.0"/>
        <n v="159.0"/>
        <n v="264.0"/>
        <n v="349.0"/>
        <n v="500.0"/>
        <n v="741.0"/>
        <n v="782.0"/>
        <n v="806.0"/>
        <n v="860.0"/>
        <n v="970.0"/>
        <n v="206.0"/>
        <n v="231.0"/>
        <n v="288.0"/>
        <n v="593.0"/>
        <n v="609.0"/>
        <n v="650.0"/>
        <n v="758.0"/>
        <n v="20.0"/>
        <n v="183.0"/>
        <n v="289.0"/>
        <n v="671.0"/>
        <n v="852.0"/>
        <n v="900.0"/>
        <n v="11.0"/>
        <n v="21.0"/>
        <n v="75.0"/>
        <n v="121.0"/>
        <n v="160.0"/>
        <n v="323.0"/>
        <n v="554.0"/>
        <n v="584.0"/>
        <n v="586.0"/>
        <n v="639.0"/>
        <n v="710.0"/>
        <n v="991.0"/>
        <n v="19.0"/>
        <n v="91.0"/>
        <n v="243.0"/>
        <n v="265.0"/>
        <n v="400.0"/>
        <n v="438.0"/>
        <n v="522.0"/>
        <n v="547.0"/>
        <n v="910.0"/>
        <n v="22.0"/>
        <n v="144.0"/>
        <n v="184.0"/>
        <n v="478.0"/>
        <n v="626.0"/>
        <n v="627.0"/>
        <n v="687.0"/>
        <n v="792.0"/>
        <n v="923.0"/>
        <n v="98.0"/>
        <n v="276.0"/>
        <n v="334.0"/>
        <n v="381.0"/>
        <n v="393.0"/>
        <n v="407.0"/>
        <n v="502.0"/>
        <n v="641.0"/>
        <n v="642.0"/>
        <n v="661.0"/>
        <n v="3.0"/>
        <n v="252.0"/>
        <n v="358.0"/>
        <n v="414.0"/>
        <n v="640.0"/>
        <n v="735.0"/>
        <n v="969.0"/>
        <n v="45.0"/>
        <n v="216.0"/>
        <n v="220.0"/>
        <n v="455.0"/>
        <n v="608.0"/>
        <n v="781.0"/>
        <n v="43.0"/>
        <n v="52.0"/>
        <n v="181.0"/>
        <n v="221.0"/>
        <n v="300.0"/>
        <n v="501.0"/>
        <n v="577.0"/>
        <n v="606.0"/>
        <n v="829.0"/>
        <n v="836.0"/>
        <n v="946.0"/>
        <n v="954.0"/>
        <n v="992.0"/>
        <n v="254.0"/>
        <n v="607.0"/>
        <n v="643.0"/>
        <n v="876.0"/>
        <n v="23.0"/>
        <n v="182.0"/>
        <n v="284.0"/>
        <n v="325.0"/>
        <n v="370.0"/>
        <n v="399.0"/>
        <n v="431.0"/>
        <n v="511.0"/>
        <n v="524.0"/>
        <n v="580.0"/>
        <n v="619.0"/>
        <n v="662.0"/>
        <n v="764.0"/>
        <n v="238.0"/>
        <n v="324.0"/>
        <n v="394.0"/>
        <n v="462.0"/>
        <n v="479.0"/>
        <n v="487.0"/>
        <n v="594.0"/>
        <n v="827.0"/>
        <n v="347.0"/>
        <n v="587.0"/>
        <n v="617.0"/>
        <n v="826.0"/>
        <n v="906.0"/>
        <n v="999.0"/>
        <n v="162.0"/>
        <n v="186.0"/>
        <n v="523.0"/>
        <n v="853.0"/>
        <n v="232.0"/>
        <n v="548.0"/>
        <n v="588.0"/>
        <n v="928.0"/>
        <n v="947.0"/>
        <n v="971.0"/>
        <n v="138.0"/>
        <n v="333.0"/>
        <n v="350.0"/>
        <n v="618.0"/>
        <n v="814.0"/>
        <n v="44.0"/>
        <n v="185.0"/>
        <n v="398.0"/>
        <n v="503.0"/>
        <n v="694.0"/>
        <n v="371.0"/>
        <n v="456.0"/>
        <n v="525.0"/>
        <n v="663.0"/>
        <n v="664.0"/>
        <n v="825.0"/>
        <n v="33.0"/>
        <n v="68.0"/>
        <n v="171.0"/>
        <n v="207.0"/>
        <n v="253.0"/>
        <n v="277.0"/>
        <n v="326.0"/>
        <n v="408.0"/>
        <n v="620.0"/>
        <n v="791.0"/>
        <n v="808.0"/>
        <n v="972.0"/>
        <n v="115.0"/>
        <n v="195.0"/>
        <n v="255.0"/>
        <n v="510.0"/>
        <n v="233.0"/>
        <n v="357.0"/>
        <n v="372.0"/>
        <n v="505.0"/>
        <n v="718.0"/>
        <n v="783.0"/>
        <n v="25.0"/>
        <n v="26.0"/>
        <n v="139.0"/>
        <n v="307.0"/>
        <n v="373.0"/>
        <n v="572.0"/>
        <n v="688.0"/>
        <n v="784.0"/>
        <n v="878.0"/>
        <n v="1.0"/>
        <n v="163.0"/>
        <n v="164.0"/>
        <n v="260.0"/>
        <n v="351.0"/>
        <n v="374.0"/>
        <n v="595.0"/>
        <n v="601.0"/>
        <n v="711.0"/>
        <n v="901.0"/>
        <n v="161.0"/>
        <n v="170.0"/>
        <n v="208.0"/>
        <n v="301.0"/>
        <n v="352.0"/>
        <n v="531.0"/>
        <n v="621.0"/>
        <n v="830.0"/>
        <n v="948.0"/>
        <n v="10.0"/>
        <n v="302.0"/>
        <n v="924.0"/>
        <n v="4.0"/>
        <n v="380.0"/>
        <n v="395.0"/>
        <n v="432.0"/>
        <n v="480.0"/>
        <n v="504.0"/>
        <n v="759.0"/>
        <n v="809.0"/>
        <n v="69.0"/>
        <n v="187.0"/>
        <n v="234.0"/>
        <n v="327.0"/>
        <n v="481.0"/>
        <n v="649.0"/>
        <n v="736.0"/>
        <n v="877.0"/>
        <n v="973.0"/>
        <n v="977.0"/>
        <n v="92.0"/>
        <n v="116.0"/>
        <n v="188.0"/>
        <n v="482.0"/>
        <n v="644.0"/>
        <n v="785.0"/>
        <n v="953.0"/>
        <n v="993.0"/>
        <n v="194.0"/>
        <n v="332.0"/>
        <n v="574.0"/>
        <n v="790.0"/>
        <n v="835.0"/>
        <n v="854.0"/>
        <n v="949.0"/>
        <n v="27.0"/>
        <n v="46.0"/>
        <n v="169.0"/>
        <n v="549.0"/>
        <n v="553.0"/>
        <n v="596.0"/>
        <n v="787.0"/>
        <n v="9.0"/>
        <n v="32.0"/>
        <n v="47.0"/>
        <n v="306.0"/>
        <n v="328.0"/>
        <n v="375.0"/>
        <n v="486.0"/>
        <n v="576.0"/>
        <n v="622.0"/>
        <n v="645.0"/>
        <n v="670.0"/>
        <n v="689.0"/>
        <n v="786.0"/>
        <n v="813.0"/>
        <n v="140.0"/>
        <n v="165.0"/>
        <n v="256.0"/>
        <n v="278.0"/>
        <n v="410.0"/>
        <n v="413.0"/>
        <n v="483.0"/>
        <n v="526.0"/>
        <n v="665.0"/>
        <n v="666.0"/>
        <n v="760.0"/>
        <n v="763.0"/>
        <n v="879.0"/>
        <n v="882.0"/>
        <n v="902.0"/>
        <n v="925.0"/>
        <n v="994.0"/>
        <n v="28.0"/>
        <n v="93.0"/>
        <n v="94.0"/>
        <n v="193.0"/>
        <n v="209.0"/>
        <n v="237.0"/>
        <n v="257.0"/>
        <n v="437.0"/>
        <n v="457.0"/>
        <n v="905.0"/>
        <n v="48.0"/>
        <n v="70.0"/>
        <n v="143.0"/>
        <n v="167.0"/>
        <n v="210.0"/>
        <n v="259.0"/>
        <n v="303.0"/>
        <n v="329.0"/>
        <n v="379.0"/>
        <n v="433.0"/>
        <n v="461.0"/>
        <n v="506.0"/>
        <n v="530.0"/>
        <n v="550.0"/>
        <n v="573.0"/>
        <n v="625.0"/>
        <n v="737.0"/>
        <n v="831.0"/>
        <n v="975.0"/>
        <n v="74.0"/>
        <n v="117.0"/>
        <n v="120.0"/>
        <n v="189.0"/>
        <n v="282.0"/>
        <n v="396.0"/>
        <n v="600.0"/>
        <n v="714.0"/>
        <n v="788.0"/>
        <n v="789.0"/>
        <n v="855.0"/>
        <n v="927.0"/>
        <n v="950.0"/>
        <n v="8.0"/>
        <n v="29.0"/>
        <n v="51.0"/>
        <n v="97.0"/>
        <n v="212.0"/>
        <n v="214.0"/>
        <n v="215.0"/>
        <n v="235.0"/>
        <n v="236.0"/>
        <n v="281.0"/>
        <n v="283.0"/>
        <n v="331.0"/>
        <n v="356.0"/>
        <n v="377.0"/>
        <n v="397.0"/>
        <n v="409.0"/>
        <n v="411.0"/>
        <n v="484.0"/>
        <n v="507.0"/>
        <n v="597.0"/>
        <n v="623.0"/>
        <n v="647.0"/>
        <n v="648.0"/>
        <n v="690.0"/>
        <n v="693.0"/>
        <n v="713.0"/>
        <n v="717.0"/>
        <n v="832.0"/>
        <n v="858.0"/>
        <n v="880.0"/>
        <n v="903.0"/>
        <n v="926.0"/>
        <n v="976.0"/>
        <n v="998.0"/>
        <n v="7.0"/>
        <n v="30.0"/>
        <n v="49.0"/>
        <n v="71.0"/>
        <n v="73.0"/>
        <n v="95.0"/>
        <n v="96.0"/>
        <n v="118.0"/>
        <n v="168.0"/>
        <n v="279.0"/>
        <n v="280.0"/>
        <n v="354.0"/>
        <n v="376.0"/>
        <n v="412.0"/>
        <n v="434.0"/>
        <n v="458.0"/>
        <n v="485.0"/>
        <n v="509.0"/>
        <n v="551.0"/>
        <n v="598.0"/>
        <n v="624.0"/>
        <n v="668.0"/>
        <n v="669.0"/>
        <n v="691.0"/>
        <n v="692.0"/>
        <n v="712.0"/>
        <n v="738.0"/>
        <n v="740.0"/>
        <n v="810.0"/>
        <n v="834.0"/>
        <n v="856.0"/>
        <n v="859.0"/>
        <n v="881.0"/>
        <n v="952.0"/>
        <n v="974.0"/>
        <n v="995.0"/>
        <n v="996.0"/>
        <n v="997.0"/>
        <n v="5.0"/>
        <n v="6.0"/>
        <n v="31.0"/>
        <n v="50.0"/>
        <n v="72.0"/>
        <n v="119.0"/>
        <n v="141.0"/>
        <n v="142.0"/>
        <n v="166.0"/>
        <n v="190.0"/>
        <n v="191.0"/>
        <n v="192.0"/>
        <n v="211.0"/>
        <n v="213.0"/>
        <n v="258.0"/>
        <n v="304.0"/>
        <n v="305.0"/>
        <n v="330.0"/>
        <n v="353.0"/>
        <n v="355.0"/>
        <n v="378.0"/>
        <n v="435.0"/>
        <n v="436.0"/>
        <n v="459.0"/>
        <n v="460.0"/>
        <n v="508.0"/>
        <n v="527.0"/>
        <n v="528.0"/>
        <n v="529.0"/>
        <n v="552.0"/>
        <n v="575.0"/>
        <n v="599.0"/>
        <n v="646.0"/>
        <n v="667.0"/>
        <n v="715.0"/>
        <n v="716.0"/>
        <n v="739.0"/>
        <n v="761.0"/>
        <n v="762.0"/>
        <n v="811.0"/>
        <n v="812.0"/>
        <n v="833.0"/>
        <n v="857.0"/>
        <n v="904.0"/>
        <n v="951.0"/>
      </sharedItems>
    </cacheField>
    <cacheField name="dteday" numFmtId="164">
      <sharedItems containsSemiMixedTypes="0" containsDate="1" containsString="0">
        <d v="2011-01-20T00:00:00Z"/>
        <d v="2011-02-08T00:00:00Z"/>
        <d v="2011-01-25T00:00:00Z"/>
        <d v="2011-02-07T00:00:00Z"/>
        <d v="2011-02-04T00:00:00Z"/>
        <d v="2011-01-06T00:00:00Z"/>
        <d v="2011-01-11T00:00:00Z"/>
        <d v="2011-01-21T00:00:00Z"/>
        <d v="2011-02-11T00:00:00Z"/>
        <d v="2011-01-04T00:00:00Z"/>
        <d v="2011-01-07T00:00:00Z"/>
        <d v="2011-01-13T00:00:00Z"/>
        <d v="2011-02-09T00:00:00Z"/>
        <d v="2011-01-19T00:00:00Z"/>
        <d v="2011-01-05T00:00:00Z"/>
        <d v="2011-02-02T00:00:00Z"/>
        <d v="2011-01-10T00:00:00Z"/>
        <d v="2011-02-03T00:00:00Z"/>
        <d v="2011-01-31T00:00:00Z"/>
        <d v="2011-01-24T00:00:00Z"/>
        <d v="2011-02-06T00:00:00Z"/>
        <d v="2011-02-10T00:00:00Z"/>
        <d v="2011-02-01T00:00:00Z"/>
        <d v="2011-02-12T00:00:00Z"/>
        <d v="2011-02-13T00:00:00Z"/>
        <d v="2011-01-14T00:00:00Z"/>
        <d v="2011-01-03T00:00:00Z"/>
        <d v="2011-01-28T00:00:00Z"/>
        <d v="2011-01-12T00:00:00Z"/>
        <d v="2011-01-18T00:00:00Z"/>
        <d v="2011-01-15T00:00:00Z"/>
        <d v="2011-01-30T00:00:00Z"/>
        <d v="2011-01-29T00:00:00Z"/>
        <d v="2011-01-16T00:00:00Z"/>
        <d v="2011-01-23T00:00:00Z"/>
        <d v="2011-01-01T00:00:00Z"/>
        <d v="2011-01-27T00:00:00Z"/>
        <d v="2011-01-22T00:00:00Z"/>
        <d v="2011-01-08T00:00:00Z"/>
        <d v="2011-02-14T00:00:00Z"/>
        <d v="2011-01-02T00:00:00Z"/>
        <d v="2011-01-17T00:00:00Z"/>
        <d v="2011-01-09T00:00:00Z"/>
        <d v="2011-02-05T00:00:00Z"/>
        <d v="2011-01-26T00:00:00Z"/>
      </sharedItems>
    </cacheField>
    <cacheField name="hr" numFmtId="0">
      <sharedItems containsSemiMixedTypes="0" containsString="0" containsNumber="1" containsInteger="1">
        <n v="8.0"/>
        <n v="18.0"/>
        <n v="17.0"/>
        <n v="13.0"/>
        <n v="15.0"/>
        <n v="12.0"/>
        <n v="9.0"/>
        <n v="14.0"/>
        <n v="16.0"/>
        <n v="19.0"/>
        <n v="20.0"/>
        <n v="11.0"/>
        <n v="7.0"/>
        <n v="10.0"/>
        <n v="21.0"/>
        <n v="22.0"/>
        <n v="23.0"/>
        <n v="1.0"/>
        <n v="6.0"/>
        <n v="0.0"/>
        <n v="2.0"/>
        <n v="3.0"/>
        <n v="5.0"/>
        <n v="4.0"/>
      </sharedItems>
    </cacheField>
    <cacheField name="weekday" numFmtId="0">
      <sharedItems containsSemiMixedTypes="0" containsString="0" containsNumber="1" containsInteger="1">
        <n v="4.0"/>
        <n v="2.0"/>
        <n v="1.0"/>
        <n v="5.0"/>
        <n v="3.0"/>
        <n v="0.0"/>
        <n v="6.0"/>
      </sharedItems>
    </cacheField>
    <cacheField name="holiday" numFmtId="0">
      <sharedItems>
        <b v="0"/>
        <b v="1"/>
      </sharedItems>
    </cacheField>
    <cacheField name="workingday" numFmtId="0">
      <sharedItems>
        <b v="0"/>
        <b v="1"/>
      </sharedItems>
    </cacheField>
    <cacheField name="Day_Type" numFmtId="0">
      <sharedItems>
        <s v="Weekday"/>
        <s v="Weekend"/>
      </sharedItems>
    </cacheField>
    <cacheField name="Hour_Category" numFmtId="0">
      <sharedItems>
        <s v="Morning"/>
        <s v="Evening"/>
        <s v="Afternoon"/>
        <s v="Night"/>
      </sharedItems>
    </cacheField>
    <cacheField name="Season" numFmtId="0">
      <sharedItems>
        <s v="Spring"/>
      </sharedItems>
    </cacheField>
    <cacheField name="Weather" numFmtId="0">
      <sharedItems>
        <s v="Clear"/>
        <s v="Mist/Cloudy"/>
      </sharedItems>
    </cacheField>
    <cacheField name="casual" numFmtId="0">
      <sharedItems containsSemiMixedTypes="0" containsString="0" containsNumber="1" containsInteger="1">
        <n v="2.0"/>
        <n v="7.0"/>
        <n v="5.0"/>
        <n v="14.0"/>
        <n v="3.0"/>
        <n v="9.0"/>
        <n v="4.0"/>
        <n v="8.0"/>
        <n v="10.0"/>
        <n v="18.0"/>
        <n v="20.0"/>
        <n v="1.0"/>
        <n v="6.0"/>
        <n v="47.0"/>
        <n v="52.0"/>
        <n v="48.0"/>
        <n v="40.0"/>
        <n v="51.0"/>
        <n v="11.0"/>
        <n v="42.0"/>
        <n v="62.0"/>
        <n v="58.0"/>
        <n v="13.0"/>
        <n v="0.0"/>
        <n v="24.0"/>
        <n v="32.0"/>
        <n v="28.0"/>
        <n v="21.0"/>
        <n v="33.0"/>
        <n v="30.0"/>
        <n v="19.0"/>
        <n v="22.0"/>
        <n v="27.0"/>
        <n v="16.0"/>
        <n v="26.0"/>
        <n v="23.0"/>
        <n v="35.0"/>
        <n v="17.0"/>
        <n v="29.0"/>
        <n v="12.0"/>
        <n v="41.0"/>
        <n v="15.0"/>
      </sharedItems>
    </cacheField>
    <cacheField name="registered" numFmtId="0">
      <sharedItems containsSemiMixedTypes="0" containsString="0" containsNumber="1" containsInteger="1">
        <n v="247.0"/>
        <n v="236.0"/>
        <n v="233.0"/>
        <n v="223.0"/>
        <n v="218.0"/>
        <n v="208.0"/>
        <n v="217.0"/>
        <n v="216.0"/>
        <n v="214.0"/>
        <n v="210.0"/>
        <n v="207.0"/>
        <n v="212.0"/>
        <n v="202.0"/>
        <n v="193.0"/>
        <n v="190.0"/>
        <n v="195.0"/>
        <n v="197.0"/>
        <n v="198.0"/>
        <n v="196.0"/>
        <n v="192.0"/>
        <n v="186.0"/>
        <n v="183.0"/>
        <n v="184.0"/>
        <n v="178.0"/>
        <n v="182.0"/>
        <n v="179.0"/>
        <n v="175.0"/>
        <n v="135.0"/>
        <n v="130.0"/>
        <n v="177.0"/>
        <n v="174.0"/>
        <n v="173.0"/>
        <n v="171.0"/>
        <n v="172.0"/>
        <n v="170.0"/>
        <n v="126.0"/>
        <n v="165.0"/>
        <n v="127.0"/>
        <n v="163.0"/>
        <n v="168.0"/>
        <n v="166.0"/>
        <n v="159.0"/>
        <n v="157.0"/>
        <n v="158.0"/>
        <n v="122.0"/>
        <n v="156.0"/>
        <n v="151.0"/>
        <n v="155.0"/>
        <n v="114.0"/>
        <n v="110.0"/>
        <n v="146.0"/>
        <n v="148.0"/>
        <n v="115.0"/>
        <n v="153.0"/>
        <n v="154.0"/>
        <n v="152.0"/>
        <n v="92.0"/>
        <n v="145.0"/>
        <n v="94.0"/>
        <n v="147.0"/>
        <n v="133.0"/>
        <n v="103.0"/>
        <n v="141.0"/>
        <n v="134.0"/>
        <n v="140.0"/>
        <n v="132.0"/>
        <n v="139.0"/>
        <n v="137.0"/>
        <n v="113.0"/>
        <n v="128.0"/>
        <n v="125.0"/>
        <n v="106.0"/>
        <n v="108.0"/>
        <n v="95.0"/>
        <n v="123.0"/>
        <n v="124.0"/>
        <n v="111.0"/>
        <n v="116.0"/>
        <n v="104.0"/>
        <n v="119.0"/>
        <n v="121.0"/>
        <n v="97.0"/>
        <n v="98.0"/>
        <n v="93.0"/>
        <n v="90.0"/>
        <n v="117.0"/>
        <n v="89.0"/>
        <n v="102.0"/>
        <n v="109.0"/>
        <n v="84.0"/>
        <n v="78.0"/>
        <n v="112.0"/>
        <n v="86.0"/>
        <n v="70.0"/>
        <n v="107.0"/>
        <n v="105.0"/>
        <n v="88.0"/>
        <n v="71.0"/>
        <n v="101.0"/>
        <n v="85.0"/>
        <n v="82.0"/>
        <n v="75.0"/>
        <n v="80.0"/>
        <n v="100.0"/>
        <n v="77.0"/>
        <n v="91.0"/>
        <n v="99.0"/>
        <n v="96.0"/>
        <n v="79.0"/>
        <n v="87.0"/>
        <n v="83.0"/>
        <n v="47.0"/>
        <n v="52.0"/>
        <n v="73.0"/>
        <n v="72.0"/>
        <n v="69.0"/>
        <n v="76.0"/>
        <n v="81.0"/>
        <n v="74.0"/>
        <n v="55.0"/>
        <n v="63.0"/>
        <n v="67.0"/>
        <n v="68.0"/>
        <n v="54.0"/>
        <n v="66.0"/>
        <n v="64.0"/>
        <n v="65.0"/>
        <n v="60.0"/>
        <n v="62.0"/>
        <n v="58.0"/>
        <n v="59.0"/>
        <n v="57.0"/>
        <n v="48.0"/>
        <n v="56.0"/>
        <n v="61.0"/>
        <n v="53.0"/>
        <n v="50.0"/>
        <n v="49.0"/>
        <n v="51.0"/>
        <n v="30.0"/>
        <n v="46.0"/>
        <n v="43.0"/>
        <n v="45.0"/>
        <n v="42.0"/>
        <n v="41.0"/>
        <n v="44.0"/>
        <n v="39.0"/>
        <n v="36.0"/>
        <n v="35.0"/>
        <n v="32.0"/>
        <n v="34.0"/>
        <n v="40.0"/>
        <n v="38.0"/>
        <n v="33.0"/>
        <n v="37.0"/>
        <n v="24.0"/>
        <n v="31.0"/>
        <n v="25.0"/>
        <n v="26.0"/>
        <n v="29.0"/>
        <n v="27.0"/>
        <n v="28.0"/>
        <n v="20.0"/>
        <n v="23.0"/>
        <n v="22.0"/>
        <n v="17.0"/>
        <n v="21.0"/>
        <n v="19.0"/>
        <n v="16.0"/>
        <n v="18.0"/>
        <n v="15.0"/>
        <n v="13.0"/>
        <n v="14.0"/>
        <n v="12.0"/>
        <n v="10.0"/>
        <n v="6.0"/>
        <n v="9.0"/>
        <n v="8.0"/>
        <n v="11.0"/>
        <n v="7.0"/>
        <n v="5.0"/>
        <n v="4.0"/>
        <n v="3.0"/>
        <n v="0.0"/>
        <n v="2.0"/>
        <n v="1.0"/>
      </sharedItems>
    </cacheField>
    <cacheField name="total_demand" numFmtId="0">
      <sharedItems containsSemiMixedTypes="0" containsString="0" containsNumber="1" containsInteger="1">
        <n v="249.0"/>
        <n v="243.0"/>
        <n v="238.0"/>
        <n v="230.0"/>
        <n v="225.0"/>
        <n v="222.0"/>
        <n v="220.0"/>
        <n v="219.0"/>
        <n v="217.0"/>
        <n v="216.0"/>
        <n v="215.0"/>
        <n v="212.0"/>
        <n v="211.0"/>
        <n v="210.0"/>
        <n v="205.0"/>
        <n v="202.0"/>
        <n v="199.0"/>
        <n v="197.0"/>
        <n v="195.0"/>
        <n v="190.0"/>
        <n v="188.0"/>
        <n v="187.0"/>
        <n v="185.0"/>
        <n v="184.0"/>
        <n v="182.0"/>
        <n v="179.0"/>
        <n v="178.0"/>
        <n v="177.0"/>
        <n v="176.0"/>
        <n v="175.0"/>
        <n v="174.0"/>
        <n v="172.0"/>
        <n v="170.0"/>
        <n v="169.0"/>
        <n v="168.0"/>
        <n v="166.0"/>
        <n v="165.0"/>
        <n v="163.0"/>
        <n v="162.0"/>
        <n v="161.0"/>
        <n v="160.0"/>
        <n v="159.0"/>
        <n v="158.0"/>
        <n v="157.0"/>
        <n v="156.0"/>
        <n v="155.0"/>
        <n v="154.0"/>
        <n v="153.0"/>
        <n v="152.0"/>
        <n v="149.0"/>
        <n v="147.0"/>
        <n v="146.0"/>
        <n v="145.0"/>
        <n v="144.0"/>
        <n v="143.0"/>
        <n v="140.0"/>
        <n v="139.0"/>
        <n v="137.0"/>
        <n v="136.0"/>
        <n v="135.0"/>
        <n v="134.0"/>
        <n v="133.0"/>
        <n v="132.0"/>
        <n v="130.0"/>
        <n v="129.0"/>
        <n v="128.0"/>
        <n v="127.0"/>
        <n v="126.0"/>
        <n v="125.0"/>
        <n v="123.0"/>
        <n v="122.0"/>
        <n v="121.0"/>
        <n v="120.0"/>
        <n v="119.0"/>
        <n v="118.0"/>
        <n v="117.0"/>
        <n v="116.0"/>
        <n v="115.0"/>
        <n v="114.0"/>
        <n v="113.0"/>
        <n v="112.0"/>
        <n v="111.0"/>
        <n v="110.0"/>
        <n v="109.0"/>
        <n v="108.0"/>
        <n v="107.0"/>
        <n v="106.0"/>
        <n v="105.0"/>
        <n v="104.0"/>
        <n v="103.0"/>
        <n v="102.0"/>
        <n v="101.0"/>
        <n v="100.0"/>
        <n v="99.0"/>
        <n v="98.0"/>
        <n v="97.0"/>
        <n v="96.0"/>
        <n v="95.0"/>
        <n v="94.0"/>
        <n v="93.0"/>
        <n v="92.0"/>
        <n v="91.0"/>
        <n v="90.0"/>
        <n v="89.0"/>
        <n v="88.0"/>
        <n v="87.0"/>
        <n v="86.0"/>
        <n v="84.0"/>
        <n v="83.0"/>
        <n v="82.0"/>
        <n v="81.0"/>
        <n v="80.0"/>
        <n v="79.0"/>
        <n v="78.0"/>
        <n v="77.0"/>
        <n v="76.0"/>
        <n v="75.0"/>
        <n v="74.0"/>
        <n v="73.0"/>
        <n v="72.0"/>
        <n v="71.0"/>
        <n v="70.0"/>
        <n v="69.0"/>
        <n v="68.0"/>
        <n v="67.0"/>
        <n v="66.0"/>
        <n v="65.0"/>
        <n v="64.0"/>
        <n v="63.0"/>
        <n v="62.0"/>
        <n v="61.0"/>
        <n v="60.0"/>
        <n v="59.0"/>
        <n v="58.0"/>
        <n v="57.0"/>
        <n v="56.0"/>
        <n v="55.0"/>
        <n v="54.0"/>
        <n v="53.0"/>
        <n v="52.0"/>
        <n v="51.0"/>
        <n v="50.0"/>
        <n v="49.0"/>
        <n v="48.0"/>
        <n v="47.0"/>
        <n v="46.0"/>
        <n v="45.0"/>
        <n v="44.0"/>
        <n v="43.0"/>
        <n v="42.0"/>
        <n v="41.0"/>
        <n v="40.0"/>
        <n v="39.0"/>
        <n v="38.0"/>
        <n v="37.0"/>
        <n v="36.0"/>
        <n v="35.0"/>
        <n v="34.0"/>
        <n v="33.0"/>
        <n v="32.0"/>
        <n v="31.0"/>
        <n v="30.0"/>
        <n v="29.0"/>
        <n v="28.0"/>
        <n v="27.0"/>
        <n v="26.0"/>
        <n v="25.0"/>
        <n v="24.0"/>
        <n v="23.0"/>
        <n v="22.0"/>
        <n v="21.0"/>
        <n v="20.0"/>
        <n v="19.0"/>
        <n v="18.0"/>
        <n v="17.0"/>
        <n v="16.0"/>
        <n v="15.0"/>
        <n v="14.0"/>
        <n v="13.0"/>
        <n v="12.0"/>
        <n v="11.0"/>
        <n v="10.0"/>
        <n v="9.0"/>
        <n v="8.0"/>
        <n v="7.0"/>
        <n v="6.0"/>
        <n v="5.0"/>
        <n v="4.0"/>
        <n v="3.0"/>
        <n v="2.0"/>
        <n v="1.0"/>
      </sharedItems>
    </cacheField>
    <cacheField name="Demand_Check" numFmtId="0">
      <sharedItems>
        <s v="Ok"/>
      </sharedItems>
    </cacheField>
    <cacheField name="Demand_Category" numFmtId="0">
      <sharedItems>
        <s v="High"/>
        <s v="Medium"/>
        <s v="Low"/>
      </sharedItems>
    </cacheField>
    <cacheField name="Saeson_Lookup" numFmtId="0">
      <sharedItems>
        <s v="Spring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s" cacheId="0" dataCaption="" compact="0" compactData="0">
  <location ref="A2:B27" firstHeaderRow="0" firstDataRow="1" firstDataCol="0"/>
  <pivotFields>
    <pivotField name="insta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dteday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season" compact="0" outline="0" multipleItemSelectionAllowed="1" showAll="0">
      <items>
        <item x="0"/>
        <item t="default"/>
      </items>
    </pivotField>
    <pivotField name="yr" compact="0" outline="0" multipleItemSelectionAllowed="1" showAll="0">
      <items>
        <item x="0"/>
        <item t="default"/>
      </items>
    </pivotField>
    <pivotField name="mnth" compact="0" outline="0" multipleItemSelectionAllowed="1" showAll="0">
      <items>
        <item x="0"/>
        <item x="1"/>
        <item t="default"/>
      </items>
    </pivotField>
    <pivotField name="hr" axis="axisRow" compact="0" outline="0" multipleItemSelectionAllowed="1" showAll="0" sortType="ascending">
      <items>
        <item x="19"/>
        <item x="17"/>
        <item x="20"/>
        <item x="21"/>
        <item x="23"/>
        <item x="22"/>
        <item x="18"/>
        <item x="12"/>
        <item x="0"/>
        <item x="6"/>
        <item x="13"/>
        <item x="11"/>
        <item x="5"/>
        <item x="3"/>
        <item x="7"/>
        <item x="4"/>
        <item x="8"/>
        <item x="2"/>
        <item x="1"/>
        <item x="9"/>
        <item x="10"/>
        <item x="14"/>
        <item x="15"/>
        <item x="16"/>
        <item t="default"/>
      </items>
    </pivotField>
    <pivotField name="holiday" compact="0" outline="0" multipleItemSelectionAllowed="1" showAll="0">
      <items>
        <item x="0"/>
        <item x="1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eathersit" compact="0" outline="0" multipleItemSelectionAllowed="1" showAll="0">
      <items>
        <item x="0"/>
        <item x="1"/>
        <item x="2"/>
        <item x="3"/>
        <item t="default"/>
      </items>
    </pivotField>
    <pivotField name="tem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atem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hu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windspe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asu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register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t="default"/>
      </items>
    </pivotField>
    <pivotField name="c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</pivotFields>
  <rowFields>
    <field x="5"/>
  </rowFields>
  <dataFields>
    <dataField name="Sum - cnt" fld="15" baseField="0"/>
  </dataFields>
</pivotTableDefinition>
</file>

<file path=xl/pivotTables/pivotTable2.xml><?xml version="1.0" encoding="utf-8"?>
<pivotTableDefinition xmlns="http://schemas.openxmlformats.org/spreadsheetml/2006/main" name="Pivot Tables 2" cacheId="0" dataCaption="" compact="0" compactData="0">
  <location ref="D2:E10" firstHeaderRow="0" firstDataRow="1" firstDataCol="0"/>
  <pivotFields>
    <pivotField name="insta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dteday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season" compact="0" outline="0" multipleItemSelectionAllowed="1" showAll="0">
      <items>
        <item x="0"/>
        <item t="default"/>
      </items>
    </pivotField>
    <pivotField name="yr" compact="0" outline="0" multipleItemSelectionAllowed="1" showAll="0">
      <items>
        <item x="0"/>
        <item t="default"/>
      </items>
    </pivotField>
    <pivotField name="mnth" compact="0" outline="0" multipleItemSelectionAllowed="1" showAll="0">
      <items>
        <item x="0"/>
        <item x="1"/>
        <item t="default"/>
      </items>
    </pivotField>
    <pivotField name="h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holiday" compact="0" outline="0" multipleItemSelectionAllowed="1" showAll="0">
      <items>
        <item x="0"/>
        <item x="1"/>
        <item t="default"/>
      </items>
    </pivotField>
    <pivotField name="weekday" axis="axisRow" compact="0" outline="0" multipleItemSelectionAllowed="1" showAll="0" sortType="ascending">
      <items>
        <item x="5"/>
        <item x="2"/>
        <item x="1"/>
        <item x="4"/>
        <item x="0"/>
        <item x="3"/>
        <item x="6"/>
        <item t="default"/>
      </items>
    </pivotField>
    <pivotField name="weathersit" compact="0" outline="0" multipleItemSelectionAllowed="1" showAll="0">
      <items>
        <item x="0"/>
        <item x="1"/>
        <item x="2"/>
        <item x="3"/>
        <item t="default"/>
      </items>
    </pivotField>
    <pivotField name="tem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atem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hu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windspe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asu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register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t="default"/>
      </items>
    </pivotField>
    <pivotField name="c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</pivotFields>
  <rowFields>
    <field x="7"/>
  </rowFields>
  <dataFields>
    <dataField name="Sum - cnt" fld="15" baseField="0"/>
  </dataFields>
</pivotTableDefinition>
</file>

<file path=xl/pivotTables/pivotTable3.xml><?xml version="1.0" encoding="utf-8"?>
<pivotTableDefinition xmlns="http://schemas.openxmlformats.org/spreadsheetml/2006/main" name="Pivot Tables 3" cacheId="0" dataCaption="" compact="0" compactData="0">
  <location ref="G2:I27" firstHeaderRow="0" firstDataRow="2" firstDataCol="0"/>
  <pivotFields>
    <pivotField name="insta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dteday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season" compact="0" outline="0" multipleItemSelectionAllowed="1" showAll="0">
      <items>
        <item x="0"/>
        <item t="default"/>
      </items>
    </pivotField>
    <pivotField name="yr" compact="0" outline="0" multipleItemSelectionAllowed="1" showAll="0">
      <items>
        <item x="0"/>
        <item t="default"/>
      </items>
    </pivotField>
    <pivotField name="mnth" compact="0" outline="0" multipleItemSelectionAllowed="1" showAll="0">
      <items>
        <item x="0"/>
        <item x="1"/>
        <item t="default"/>
      </items>
    </pivotField>
    <pivotField name="hr" axis="axisRow" compact="0" outline="0" multipleItemSelectionAllowed="1" showAll="0" sortType="ascending">
      <items>
        <item x="19"/>
        <item x="17"/>
        <item x="20"/>
        <item x="21"/>
        <item x="23"/>
        <item x="22"/>
        <item x="18"/>
        <item x="12"/>
        <item x="0"/>
        <item x="6"/>
        <item x="13"/>
        <item x="11"/>
        <item x="5"/>
        <item x="3"/>
        <item x="7"/>
        <item x="4"/>
        <item x="8"/>
        <item x="2"/>
        <item x="1"/>
        <item x="9"/>
        <item x="10"/>
        <item x="14"/>
        <item x="15"/>
        <item x="16"/>
        <item t="default"/>
      </items>
    </pivotField>
    <pivotField name="holiday" compact="0" outline="0" multipleItemSelectionAllowed="1" showAll="0">
      <items>
        <item x="0"/>
        <item x="1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eathersit" compact="0" outline="0" multipleItemSelectionAllowed="1" showAll="0">
      <items>
        <item x="0"/>
        <item x="1"/>
        <item x="2"/>
        <item x="3"/>
        <item t="default"/>
      </items>
    </pivotField>
    <pivotField name="tem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atem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hu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windspe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asua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registere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t="default"/>
      </items>
    </pivotField>
    <pivotField name="c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</pivotFields>
  <rowFields>
    <field x="5"/>
  </rowFields>
  <colFields>
    <field x="-2"/>
  </colFields>
  <dataFields>
    <dataField name="Sum - casual" fld="13" baseField="0"/>
    <dataField name="Sum - registered" fld="14" baseField="0"/>
  </dataFields>
</pivotTableDefinition>
</file>

<file path=xl/pivotTables/pivotTable4.xml><?xml version="1.0" encoding="utf-8"?>
<pivotTableDefinition xmlns="http://schemas.openxmlformats.org/spreadsheetml/2006/main" name="Pivot Tables 4" cacheId="1" dataCaption="" compact="0" compactData="0">
  <location ref="K3:L8" firstHeaderRow="0" firstDataRow="1" firstDataCol="0"/>
  <pivotFields>
    <pivotField name="insta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dteday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h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holiday" compact="0" outline="0" multipleItemSelectionAllowed="1" showAll="0">
      <items>
        <item x="0"/>
        <item x="1"/>
        <item t="default"/>
      </items>
    </pivotField>
    <pivotField name="workingday" compact="0" outline="0" multipleItemSelectionAllowed="1" showAll="0">
      <items>
        <item x="0"/>
        <item x="1"/>
        <item t="default"/>
      </items>
    </pivotField>
    <pivotField name="Day_Type" compact="0" outline="0" multipleItemSelectionAllowed="1" showAll="0">
      <items>
        <item x="0"/>
        <item x="1"/>
        <item t="default"/>
      </items>
    </pivotField>
    <pivotField name="Hour_Category" axis="axisRow" compact="0" outline="0" multipleItemSelectionAllowed="1" showAll="0" sortType="ascending">
      <items>
        <item x="2"/>
        <item x="1"/>
        <item x="0"/>
        <item x="3"/>
        <item t="default"/>
      </items>
    </pivotField>
    <pivotField name="Season" compact="0" outline="0" multipleItemSelectionAllowed="1" showAll="0">
      <items>
        <item x="0"/>
        <item t="default"/>
      </items>
    </pivotField>
    <pivotField name="Weather" compact="0" outline="0" multipleItemSelectionAllowed="1" showAll="0">
      <items>
        <item x="0"/>
        <item x="1"/>
        <item t="default"/>
      </items>
    </pivotField>
    <pivotField name="casu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register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t="default"/>
      </items>
    </pivotField>
    <pivotField name="total_deman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Demand_Check" compact="0" outline="0" multipleItemSelectionAllowed="1" showAll="0">
      <items>
        <item x="0"/>
        <item t="default"/>
      </items>
    </pivotField>
    <pivotField name="Demand_Category" compact="0" outline="0" multipleItemSelectionAllowed="1" showAll="0">
      <items>
        <item x="0"/>
        <item x="1"/>
        <item x="2"/>
        <item t="default"/>
      </items>
    </pivotField>
    <pivotField name="Saeson_Lookup" compact="0" outline="0" multipleItemSelectionAllowed="1" showAll="0">
      <items>
        <item x="0"/>
        <item t="default"/>
      </items>
    </pivotField>
  </pivotFields>
  <rowFields>
    <field x="7"/>
  </rowFields>
  <dataFields>
    <dataField name="Sum - total_demand" fld="12" baseField="0"/>
  </dataFields>
</pivotTableDefinition>
</file>

<file path=xl/pivotTables/pivotTable5.xml><?xml version="1.0" encoding="utf-8"?>
<pivotTableDefinition xmlns="http://schemas.openxmlformats.org/spreadsheetml/2006/main" name="Pivot Tables 5" cacheId="1" dataCaption="" compact="0" compactData="0">
  <location ref="N3:O7" firstHeaderRow="0" firstDataRow="1" firstDataCol="0"/>
  <pivotFields>
    <pivotField name="insta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dteday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h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holiday" compact="0" outline="0" multipleItemSelectionAllowed="1" showAll="0">
      <items>
        <item x="0"/>
        <item x="1"/>
        <item t="default"/>
      </items>
    </pivotField>
    <pivotField name="workingday" compact="0" outline="0" multipleItemSelectionAllowed="1" showAll="0">
      <items>
        <item x="0"/>
        <item x="1"/>
        <item t="default"/>
      </items>
    </pivotField>
    <pivotField name="Day_Type" compact="0" outline="0" multipleItemSelectionAllowed="1" showAll="0">
      <items>
        <item x="0"/>
        <item x="1"/>
        <item t="default"/>
      </items>
    </pivotField>
    <pivotField name="Hour_Category" compact="0" outline="0" multipleItemSelectionAllowed="1" showAll="0">
      <items>
        <item x="0"/>
        <item x="1"/>
        <item x="2"/>
        <item x="3"/>
        <item t="default"/>
      </items>
    </pivotField>
    <pivotField name="Season" compact="0" outline="0" multipleItemSelectionAllowed="1" showAll="0">
      <items>
        <item x="0"/>
        <item t="default"/>
      </items>
    </pivotField>
    <pivotField name="Weather" compact="0" outline="0" multipleItemSelectionAllowed="1" showAll="0">
      <items>
        <item x="0"/>
        <item x="1"/>
        <item t="default"/>
      </items>
    </pivotField>
    <pivotField name="casu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register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t="default"/>
      </items>
    </pivotField>
    <pivotField name="total_deman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Demand_Check" compact="0" outline="0" multipleItemSelectionAllowed="1" showAll="0">
      <items>
        <item x="0"/>
        <item t="default"/>
      </items>
    </pivotField>
    <pivotField name="Demand_Category" axis="axisRow" compact="0" outline="0" multipleItemSelectionAllowed="1" showAll="0" sortType="ascending">
      <items>
        <item x="0"/>
        <item x="2"/>
        <item x="1"/>
        <item t="default"/>
      </items>
    </pivotField>
    <pivotField name="Saeson_Lookup" compact="0" outline="0" multipleItemSelectionAllowed="1" showAll="0">
      <items>
        <item x="0"/>
        <item t="default"/>
      </items>
    </pivotField>
  </pivotFields>
  <rowFields>
    <field x="14"/>
  </rowFields>
  <dataFields>
    <dataField name="Sum - total_demand" fld="12" baseField="0"/>
  </dataFields>
</pivotTableDefinition>
</file>

<file path=xl/pivotTables/pivotTable6.xml><?xml version="1.0" encoding="utf-8"?>
<pivotTableDefinition xmlns="http://schemas.openxmlformats.org/spreadsheetml/2006/main" name="Pivot Tables 6" cacheId="0" dataCaption="" compact="0" compactData="0">
  <location ref="K12:L58" firstHeaderRow="0" firstDataRow="1" firstDataCol="0"/>
  <pivotFields>
    <pivotField name="insta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dteday" axis="axisRow" compact="0" numFmtId="164" outline="0" multipleItemSelectionAllowed="1" showAll="0" sortType="ascending">
      <items>
        <item x="35"/>
        <item x="40"/>
        <item x="26"/>
        <item x="9"/>
        <item x="14"/>
        <item x="5"/>
        <item x="10"/>
        <item x="38"/>
        <item x="42"/>
        <item x="16"/>
        <item x="6"/>
        <item x="28"/>
        <item x="11"/>
        <item x="25"/>
        <item x="30"/>
        <item x="33"/>
        <item x="41"/>
        <item x="29"/>
        <item x="13"/>
        <item x="0"/>
        <item x="7"/>
        <item x="37"/>
        <item x="34"/>
        <item x="19"/>
        <item x="2"/>
        <item x="44"/>
        <item x="36"/>
        <item x="27"/>
        <item x="32"/>
        <item x="31"/>
        <item x="18"/>
        <item x="22"/>
        <item x="15"/>
        <item x="17"/>
        <item x="4"/>
        <item x="43"/>
        <item x="20"/>
        <item x="3"/>
        <item x="1"/>
        <item x="12"/>
        <item x="21"/>
        <item x="8"/>
        <item x="23"/>
        <item x="24"/>
        <item x="39"/>
        <item t="default"/>
      </items>
    </pivotField>
    <pivotField name="season" compact="0" outline="0" multipleItemSelectionAllowed="1" showAll="0">
      <items>
        <item x="0"/>
        <item t="default"/>
      </items>
    </pivotField>
    <pivotField name="yr" compact="0" outline="0" multipleItemSelectionAllowed="1" showAll="0">
      <items>
        <item x="0"/>
        <item t="default"/>
      </items>
    </pivotField>
    <pivotField name="mnth" compact="0" outline="0" multipleItemSelectionAllowed="1" showAll="0">
      <items>
        <item x="0"/>
        <item x="1"/>
        <item t="default"/>
      </items>
    </pivotField>
    <pivotField name="h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holiday" compact="0" outline="0" multipleItemSelectionAllowed="1" showAll="0">
      <items>
        <item x="0"/>
        <item x="1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eathersit" compact="0" outline="0" multipleItemSelectionAllowed="1" showAll="0">
      <items>
        <item x="0"/>
        <item x="1"/>
        <item x="2"/>
        <item x="3"/>
        <item t="default"/>
      </items>
    </pivotField>
    <pivotField name="tem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atem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hu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windspe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asu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register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t="default"/>
      </items>
    </pivotField>
    <pivotField name="c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</pivotFields>
  <rowFields>
    <field x="1"/>
  </rowFields>
  <dataFields>
    <dataField name="Sum - cnt" fld="15" baseField="0"/>
  </dataFields>
</pivotTableDefinition>
</file>

<file path=xl/pivotTables/pivotTable7.xml><?xml version="1.0" encoding="utf-8"?>
<pivotTableDefinition xmlns="http://schemas.openxmlformats.org/spreadsheetml/2006/main" name="Pivot Tables 7" cacheId="0" dataCaption="" compact="0" compactData="0">
  <location ref="D14:E16" firstHeaderRow="0" firstDataRow="1" firstDataCol="0"/>
  <pivotFields>
    <pivotField name="insta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dteday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season" axis="axisRow" compact="0" outline="0" multipleItemSelectionAllowed="1" showAll="0" sortType="ascending">
      <items>
        <item x="0"/>
        <item t="default"/>
      </items>
    </pivotField>
    <pivotField name="yr" compact="0" outline="0" multipleItemSelectionAllowed="1" showAll="0">
      <items>
        <item x="0"/>
        <item t="default"/>
      </items>
    </pivotField>
    <pivotField name="mnth" compact="0" outline="0" multipleItemSelectionAllowed="1" showAll="0">
      <items>
        <item x="0"/>
        <item x="1"/>
        <item t="default"/>
      </items>
    </pivotField>
    <pivotField name="h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holiday" compact="0" outline="0" multipleItemSelectionAllowed="1" showAll="0">
      <items>
        <item x="0"/>
        <item x="1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eathersit" compact="0" outline="0" multipleItemSelectionAllowed="1" showAll="0">
      <items>
        <item x="0"/>
        <item x="1"/>
        <item x="2"/>
        <item x="3"/>
        <item t="default"/>
      </items>
    </pivotField>
    <pivotField name="tem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atem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hu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windspe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asu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register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t="default"/>
      </items>
    </pivotField>
    <pivotField name="c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</pivotFields>
  <rowFields>
    <field x="2"/>
  </rowFields>
  <dataFields>
    <dataField name="Sum - cnt" fld="15" baseField="0"/>
  </dataFields>
</pivotTableDefinition>
</file>

<file path=xl/pivotTables/pivotTable8.xml><?xml version="1.0" encoding="utf-8"?>
<pivotTableDefinition xmlns="http://schemas.openxmlformats.org/spreadsheetml/2006/main" name="Pivot Tables 8" cacheId="0" dataCaption="" compact="0" compactData="0">
  <location ref="D21:E24" firstHeaderRow="0" firstDataRow="1" firstDataCol="0"/>
  <pivotFields>
    <pivotField name="insta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dteday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season" compact="0" outline="0" multipleItemSelectionAllowed="1" showAll="0">
      <items>
        <item x="0"/>
        <item t="default"/>
      </items>
    </pivotField>
    <pivotField name="yr" compact="0" outline="0" multipleItemSelectionAllowed="1" showAll="0">
      <items>
        <item x="0"/>
        <item t="default"/>
      </items>
    </pivotField>
    <pivotField name="mnth" compact="0" outline="0" multipleItemSelectionAllowed="1" showAll="0">
      <items>
        <item x="0"/>
        <item x="1"/>
        <item t="default"/>
      </items>
    </pivotField>
    <pivotField name="h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holiday" axis="axisRow" compact="0" outline="0" multipleItemSelectionAllowed="1" showAll="0" sortType="ascending">
      <items>
        <item x="0"/>
        <item x="1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eathersit" compact="0" outline="0" multipleItemSelectionAllowed="1" showAll="0">
      <items>
        <item x="0"/>
        <item x="1"/>
        <item x="2"/>
        <item x="3"/>
        <item t="default"/>
      </items>
    </pivotField>
    <pivotField name="tem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atem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hu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windspe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asu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register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t="default"/>
      </items>
    </pivotField>
    <pivotField name="c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</pivotFields>
  <rowFields>
    <field x="6"/>
  </rowFields>
  <dataFields>
    <dataField name="Sum - cnt" fld="15" baseField="0"/>
  </dataFields>
</pivotTableDefinition>
</file>

<file path=xl/pivotTables/pivotTable9.xml><?xml version="1.0" encoding="utf-8"?>
<pivotTableDefinition xmlns="http://schemas.openxmlformats.org/spreadsheetml/2006/main" name="Pivot Tables 9" cacheId="0" dataCaption="" compact="0" compactData="0">
  <location ref="A30:B35" firstHeaderRow="0" firstDataRow="1" firstDataCol="0"/>
  <pivotFields>
    <pivotField name="insta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dteday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season" compact="0" outline="0" multipleItemSelectionAllowed="1" showAll="0">
      <items>
        <item x="0"/>
        <item t="default"/>
      </items>
    </pivotField>
    <pivotField name="yr" compact="0" outline="0" multipleItemSelectionAllowed="1" showAll="0">
      <items>
        <item x="0"/>
        <item t="default"/>
      </items>
    </pivotField>
    <pivotField name="mnth" compact="0" outline="0" multipleItemSelectionAllowed="1" showAll="0">
      <items>
        <item x="0"/>
        <item x="1"/>
        <item t="default"/>
      </items>
    </pivotField>
    <pivotField name="h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holiday" compact="0" outline="0" multipleItemSelectionAllowed="1" showAll="0">
      <items>
        <item x="0"/>
        <item x="1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eathersit" axis="axisRow" compact="0" outline="0" multipleItemSelectionAllowed="1" showAll="0" sortType="ascending">
      <items>
        <item x="0"/>
        <item x="1"/>
        <item x="2"/>
        <item x="3"/>
        <item t="default"/>
      </items>
    </pivotField>
    <pivotField name="tem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atem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hu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windspe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asu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register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t="default"/>
      </items>
    </pivotField>
    <pivotField name="c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</pivotFields>
  <rowFields>
    <field x="8"/>
  </rowFields>
  <dataFields>
    <dataField name="Sum - cnt" fld="15" baseField="0"/>
  </dataFields>
</pivotTableDefinition>
</file>

<file path=xl/pivotTables/pivotTable10.xml><?xml version="1.0" encoding="utf-8"?>
<pivotTableDefinition xmlns="http://schemas.openxmlformats.org/spreadsheetml/2006/main" name="Dashboard" cacheId="0" dataCaption="" compact="0" compactData="0">
  <location ref="W121:X146" firstHeaderRow="0" firstDataRow="1" firstDataCol="0"/>
  <pivotFields>
    <pivotField name="insta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dteday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season" compact="0" outline="0" multipleItemSelectionAllowed="1" showAll="0">
      <items>
        <item x="0"/>
        <item t="default"/>
      </items>
    </pivotField>
    <pivotField name="yr" compact="0" outline="0" multipleItemSelectionAllowed="1" showAll="0">
      <items>
        <item x="0"/>
        <item t="default"/>
      </items>
    </pivotField>
    <pivotField name="mnth" compact="0" outline="0" multipleItemSelectionAllowed="1" showAll="0">
      <items>
        <item x="0"/>
        <item x="1"/>
        <item t="default"/>
      </items>
    </pivotField>
    <pivotField name="hr" axis="axisRow" compact="0" outline="0" multipleItemSelectionAllowed="1" showAll="0" sortType="ascending">
      <items>
        <item x="19"/>
        <item x="17"/>
        <item x="20"/>
        <item x="21"/>
        <item x="23"/>
        <item x="22"/>
        <item x="18"/>
        <item x="12"/>
        <item x="0"/>
        <item x="6"/>
        <item x="13"/>
        <item x="11"/>
        <item x="5"/>
        <item x="3"/>
        <item x="7"/>
        <item x="4"/>
        <item x="8"/>
        <item x="2"/>
        <item x="1"/>
        <item x="9"/>
        <item x="10"/>
        <item x="14"/>
        <item x="15"/>
        <item x="16"/>
        <item t="default"/>
      </items>
    </pivotField>
    <pivotField name="holiday" compact="0" outline="0" multipleItemSelectionAllowed="1" showAll="0">
      <items>
        <item x="0"/>
        <item x="1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eathersit" compact="0" outline="0" multipleItemSelectionAllowed="1" showAll="0">
      <items>
        <item x="0"/>
        <item x="1"/>
        <item x="2"/>
        <item x="3"/>
        <item t="default"/>
      </items>
    </pivotField>
    <pivotField name="tem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atem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hu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windspe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asu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register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t="default"/>
      </items>
    </pivotField>
    <pivotField name="c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</pivotFields>
  <rowFields>
    <field x="5"/>
  </rowFields>
  <dataFields>
    <dataField name="Sum - cnt" fld="15" baseField="0"/>
  </dataFields>
</pivotTableDefinition>
</file>

<file path=xl/pivotTables/pivotTable11.xml><?xml version="1.0" encoding="utf-8"?>
<pivotTableDefinition xmlns="http://schemas.openxmlformats.org/spreadsheetml/2006/main" name="Dashboard 2" cacheId="0" dataCaption="" compact="0" compactData="0">
  <location ref="Z121:AA129" firstHeaderRow="0" firstDataRow="1" firstDataCol="0"/>
  <pivotFields>
    <pivotField name="insta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dteday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season" compact="0" outline="0" multipleItemSelectionAllowed="1" showAll="0">
      <items>
        <item x="0"/>
        <item t="default"/>
      </items>
    </pivotField>
    <pivotField name="yr" compact="0" outline="0" multipleItemSelectionAllowed="1" showAll="0">
      <items>
        <item x="0"/>
        <item t="default"/>
      </items>
    </pivotField>
    <pivotField name="mnth" compact="0" outline="0" multipleItemSelectionAllowed="1" showAll="0">
      <items>
        <item x="0"/>
        <item x="1"/>
        <item t="default"/>
      </items>
    </pivotField>
    <pivotField name="h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holiday" compact="0" outline="0" multipleItemSelectionAllowed="1" showAll="0">
      <items>
        <item x="0"/>
        <item x="1"/>
        <item t="default"/>
      </items>
    </pivotField>
    <pivotField name="weekday" axis="axisRow" compact="0" outline="0" multipleItemSelectionAllowed="1" showAll="0" sortType="ascending">
      <items>
        <item x="5"/>
        <item x="2"/>
        <item x="1"/>
        <item x="4"/>
        <item x="0"/>
        <item x="3"/>
        <item x="6"/>
        <item t="default"/>
      </items>
    </pivotField>
    <pivotField name="weathersit" compact="0" outline="0" multipleItemSelectionAllowed="1" showAll="0">
      <items>
        <item x="0"/>
        <item x="1"/>
        <item x="2"/>
        <item x="3"/>
        <item t="default"/>
      </items>
    </pivotField>
    <pivotField name="tem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atem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hu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windspe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asu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register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t="default"/>
      </items>
    </pivotField>
    <pivotField name="c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</pivotFields>
  <rowFields>
    <field x="7"/>
  </rowFields>
  <dataFields>
    <dataField name="Sum - cnt" fld="15" baseField="0"/>
  </dataFields>
</pivotTableDefinition>
</file>

<file path=xl/pivotTables/pivotTable12.xml><?xml version="1.0" encoding="utf-8"?>
<pivotTableDefinition xmlns="http://schemas.openxmlformats.org/spreadsheetml/2006/main" name="Dashboard 3" cacheId="0" dataCaption="" compact="0" compactData="0">
  <location ref="AC121:AE146" firstHeaderRow="0" firstDataRow="2" firstDataCol="0"/>
  <pivotFields>
    <pivotField name="insta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dteday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season" compact="0" outline="0" multipleItemSelectionAllowed="1" showAll="0">
      <items>
        <item x="0"/>
        <item t="default"/>
      </items>
    </pivotField>
    <pivotField name="yr" compact="0" outline="0" multipleItemSelectionAllowed="1" showAll="0">
      <items>
        <item x="0"/>
        <item t="default"/>
      </items>
    </pivotField>
    <pivotField name="mnth" compact="0" outline="0" multipleItemSelectionAllowed="1" showAll="0">
      <items>
        <item x="0"/>
        <item x="1"/>
        <item t="default"/>
      </items>
    </pivotField>
    <pivotField name="hr" axis="axisRow" compact="0" outline="0" multipleItemSelectionAllowed="1" showAll="0" sortType="ascending">
      <items>
        <item x="19"/>
        <item x="17"/>
        <item x="20"/>
        <item x="21"/>
        <item x="23"/>
        <item x="22"/>
        <item x="18"/>
        <item x="12"/>
        <item x="0"/>
        <item x="6"/>
        <item x="13"/>
        <item x="11"/>
        <item x="5"/>
        <item x="3"/>
        <item x="7"/>
        <item x="4"/>
        <item x="8"/>
        <item x="2"/>
        <item x="1"/>
        <item x="9"/>
        <item x="10"/>
        <item x="14"/>
        <item x="15"/>
        <item x="16"/>
        <item t="default"/>
      </items>
    </pivotField>
    <pivotField name="holiday" compact="0" outline="0" multipleItemSelectionAllowed="1" showAll="0">
      <items>
        <item x="0"/>
        <item x="1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eathersit" compact="0" outline="0" multipleItemSelectionAllowed="1" showAll="0">
      <items>
        <item x="0"/>
        <item x="1"/>
        <item x="2"/>
        <item x="3"/>
        <item t="default"/>
      </items>
    </pivotField>
    <pivotField name="tem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atem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hu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windspe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asua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registere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t="default"/>
      </items>
    </pivotField>
    <pivotField name="c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</pivotFields>
  <rowFields>
    <field x="5"/>
  </rowFields>
  <colFields>
    <field x="-2"/>
  </colFields>
  <dataFields>
    <dataField name="Sum - casual" fld="13" baseField="0"/>
    <dataField name="Sum - registered" fld="14" baseField="0"/>
  </dataFields>
</pivotTableDefinition>
</file>

<file path=xl/pivotTables/pivotTable13.xml><?xml version="1.0" encoding="utf-8"?>
<pivotTableDefinition xmlns="http://schemas.openxmlformats.org/spreadsheetml/2006/main" name="Dashboard 4" cacheId="1" dataCaption="" compact="0" compactData="0">
  <location ref="AG122:AH127" firstHeaderRow="0" firstDataRow="1" firstDataCol="0"/>
  <pivotFields>
    <pivotField name="insta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dteday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h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holiday" compact="0" outline="0" multipleItemSelectionAllowed="1" showAll="0">
      <items>
        <item x="0"/>
        <item x="1"/>
        <item t="default"/>
      </items>
    </pivotField>
    <pivotField name="workingday" compact="0" outline="0" multipleItemSelectionAllowed="1" showAll="0">
      <items>
        <item x="0"/>
        <item x="1"/>
        <item t="default"/>
      </items>
    </pivotField>
    <pivotField name="Day_Type" compact="0" outline="0" multipleItemSelectionAllowed="1" showAll="0">
      <items>
        <item x="0"/>
        <item x="1"/>
        <item t="default"/>
      </items>
    </pivotField>
    <pivotField name="Hour_Category" axis="axisRow" compact="0" outline="0" multipleItemSelectionAllowed="1" showAll="0" sortType="ascending">
      <items>
        <item x="2"/>
        <item x="1"/>
        <item x="0"/>
        <item x="3"/>
        <item t="default"/>
      </items>
    </pivotField>
    <pivotField name="Season" compact="0" outline="0" multipleItemSelectionAllowed="1" showAll="0">
      <items>
        <item x="0"/>
        <item t="default"/>
      </items>
    </pivotField>
    <pivotField name="Weather" compact="0" outline="0" multipleItemSelectionAllowed="1" showAll="0">
      <items>
        <item x="0"/>
        <item x="1"/>
        <item t="default"/>
      </items>
    </pivotField>
    <pivotField name="casu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register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t="default"/>
      </items>
    </pivotField>
    <pivotField name="total_deman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Demand_Check" compact="0" outline="0" multipleItemSelectionAllowed="1" showAll="0">
      <items>
        <item x="0"/>
        <item t="default"/>
      </items>
    </pivotField>
    <pivotField name="Demand_Category" compact="0" outline="0" multipleItemSelectionAllowed="1" showAll="0">
      <items>
        <item x="0"/>
        <item x="1"/>
        <item x="2"/>
        <item t="default"/>
      </items>
    </pivotField>
    <pivotField name="Saeson_Lookup" compact="0" outline="0" multipleItemSelectionAllowed="1" showAll="0">
      <items>
        <item x="0"/>
        <item t="default"/>
      </items>
    </pivotField>
  </pivotFields>
  <rowFields>
    <field x="7"/>
  </rowFields>
  <dataFields>
    <dataField name="Sum - total_demand" fld="12" baseField="0"/>
  </dataFields>
</pivotTableDefinition>
</file>

<file path=xl/pivotTables/pivotTable14.xml><?xml version="1.0" encoding="utf-8"?>
<pivotTableDefinition xmlns="http://schemas.openxmlformats.org/spreadsheetml/2006/main" name="Dashboard 5" cacheId="1" dataCaption="" compact="0" compactData="0">
  <location ref="AJ122:AK126" firstHeaderRow="0" firstDataRow="1" firstDataCol="0"/>
  <pivotFields>
    <pivotField name="insta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dteday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h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holiday" compact="0" outline="0" multipleItemSelectionAllowed="1" showAll="0">
      <items>
        <item x="0"/>
        <item x="1"/>
        <item t="default"/>
      </items>
    </pivotField>
    <pivotField name="workingday" compact="0" outline="0" multipleItemSelectionAllowed="1" showAll="0">
      <items>
        <item x="0"/>
        <item x="1"/>
        <item t="default"/>
      </items>
    </pivotField>
    <pivotField name="Day_Type" compact="0" outline="0" multipleItemSelectionAllowed="1" showAll="0">
      <items>
        <item x="0"/>
        <item x="1"/>
        <item t="default"/>
      </items>
    </pivotField>
    <pivotField name="Hour_Category" compact="0" outline="0" multipleItemSelectionAllowed="1" showAll="0">
      <items>
        <item x="0"/>
        <item x="1"/>
        <item x="2"/>
        <item x="3"/>
        <item t="default"/>
      </items>
    </pivotField>
    <pivotField name="Season" compact="0" outline="0" multipleItemSelectionAllowed="1" showAll="0">
      <items>
        <item x="0"/>
        <item t="default"/>
      </items>
    </pivotField>
    <pivotField name="Weather" compact="0" outline="0" multipleItemSelectionAllowed="1" showAll="0">
      <items>
        <item x="0"/>
        <item x="1"/>
        <item t="default"/>
      </items>
    </pivotField>
    <pivotField name="casu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register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t="default"/>
      </items>
    </pivotField>
    <pivotField name="total_deman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Demand_Check" compact="0" outline="0" multipleItemSelectionAllowed="1" showAll="0">
      <items>
        <item x="0"/>
        <item t="default"/>
      </items>
    </pivotField>
    <pivotField name="Demand_Category" axis="axisRow" compact="0" outline="0" multipleItemSelectionAllowed="1" showAll="0" sortType="ascending">
      <items>
        <item x="0"/>
        <item x="2"/>
        <item x="1"/>
        <item t="default"/>
      </items>
    </pivotField>
    <pivotField name="Saeson_Lookup" compact="0" outline="0" multipleItemSelectionAllowed="1" showAll="0">
      <items>
        <item x="0"/>
        <item t="default"/>
      </items>
    </pivotField>
  </pivotFields>
  <rowFields>
    <field x="14"/>
  </rowFields>
  <dataFields>
    <dataField name="Sum - total_demand" fld="12" baseField="0"/>
  </dataFields>
</pivotTableDefinition>
</file>

<file path=xl/pivotTables/pivotTable15.xml><?xml version="1.0" encoding="utf-8"?>
<pivotTableDefinition xmlns="http://schemas.openxmlformats.org/spreadsheetml/2006/main" name="Dashboard 6" cacheId="0" dataCaption="" compact="0" compactData="0">
  <location ref="AG131:AH177" firstHeaderRow="0" firstDataRow="1" firstDataCol="0"/>
  <pivotFields>
    <pivotField name="insta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dteday" axis="axisRow" compact="0" numFmtId="164" outline="0" multipleItemSelectionAllowed="1" showAll="0" sortType="ascending">
      <items>
        <item x="35"/>
        <item x="40"/>
        <item x="26"/>
        <item x="9"/>
        <item x="14"/>
        <item x="5"/>
        <item x="10"/>
        <item x="38"/>
        <item x="42"/>
        <item x="16"/>
        <item x="6"/>
        <item x="28"/>
        <item x="11"/>
        <item x="25"/>
        <item x="30"/>
        <item x="33"/>
        <item x="41"/>
        <item x="29"/>
        <item x="13"/>
        <item x="0"/>
        <item x="7"/>
        <item x="37"/>
        <item x="34"/>
        <item x="19"/>
        <item x="2"/>
        <item x="44"/>
        <item x="36"/>
        <item x="27"/>
        <item x="32"/>
        <item x="31"/>
        <item x="18"/>
        <item x="22"/>
        <item x="15"/>
        <item x="17"/>
        <item x="4"/>
        <item x="43"/>
        <item x="20"/>
        <item x="3"/>
        <item x="1"/>
        <item x="12"/>
        <item x="21"/>
        <item x="8"/>
        <item x="23"/>
        <item x="24"/>
        <item x="39"/>
        <item t="default"/>
      </items>
    </pivotField>
    <pivotField name="season" compact="0" outline="0" multipleItemSelectionAllowed="1" showAll="0">
      <items>
        <item x="0"/>
        <item t="default"/>
      </items>
    </pivotField>
    <pivotField name="yr" compact="0" outline="0" multipleItemSelectionAllowed="1" showAll="0">
      <items>
        <item x="0"/>
        <item t="default"/>
      </items>
    </pivotField>
    <pivotField name="mnth" compact="0" outline="0" multipleItemSelectionAllowed="1" showAll="0">
      <items>
        <item x="0"/>
        <item x="1"/>
        <item t="default"/>
      </items>
    </pivotField>
    <pivotField name="h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holiday" compact="0" outline="0" multipleItemSelectionAllowed="1" showAll="0">
      <items>
        <item x="0"/>
        <item x="1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eathersit" compact="0" outline="0" multipleItemSelectionAllowed="1" showAll="0">
      <items>
        <item x="0"/>
        <item x="1"/>
        <item x="2"/>
        <item x="3"/>
        <item t="default"/>
      </items>
    </pivotField>
    <pivotField name="tem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atem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hu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windspe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asu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register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t="default"/>
      </items>
    </pivotField>
    <pivotField name="c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</pivotFields>
  <rowFields>
    <field x="1"/>
  </rowFields>
  <dataFields>
    <dataField name="Sum - cnt" fld="15" baseField="0"/>
  </dataFields>
</pivotTableDefinition>
</file>

<file path=xl/pivotTables/pivotTable16.xml><?xml version="1.0" encoding="utf-8"?>
<pivotTableDefinition xmlns="http://schemas.openxmlformats.org/spreadsheetml/2006/main" name="Dashboard 7" cacheId="0" dataCaption="" compact="0" compactData="0">
  <location ref="Z133:AA135" firstHeaderRow="0" firstDataRow="1" firstDataCol="0"/>
  <pivotFields>
    <pivotField name="insta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dteday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season" axis="axisRow" compact="0" outline="0" multipleItemSelectionAllowed="1" showAll="0" sortType="ascending">
      <items>
        <item x="0"/>
        <item t="default"/>
      </items>
    </pivotField>
    <pivotField name="yr" compact="0" outline="0" multipleItemSelectionAllowed="1" showAll="0">
      <items>
        <item x="0"/>
        <item t="default"/>
      </items>
    </pivotField>
    <pivotField name="mnth" compact="0" outline="0" multipleItemSelectionAllowed="1" showAll="0">
      <items>
        <item x="0"/>
        <item x="1"/>
        <item t="default"/>
      </items>
    </pivotField>
    <pivotField name="h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holiday" compact="0" outline="0" multipleItemSelectionAllowed="1" showAll="0">
      <items>
        <item x="0"/>
        <item x="1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eathersit" compact="0" outline="0" multipleItemSelectionAllowed="1" showAll="0">
      <items>
        <item x="0"/>
        <item x="1"/>
        <item x="2"/>
        <item x="3"/>
        <item t="default"/>
      </items>
    </pivotField>
    <pivotField name="tem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atem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hu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windspe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asu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register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t="default"/>
      </items>
    </pivotField>
    <pivotField name="c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</pivotFields>
  <rowFields>
    <field x="2"/>
  </rowFields>
  <dataFields>
    <dataField name="Sum - cnt" fld="15" baseField="0"/>
  </dataFields>
</pivotTableDefinition>
</file>

<file path=xl/pivotTables/pivotTable17.xml><?xml version="1.0" encoding="utf-8"?>
<pivotTableDefinition xmlns="http://schemas.openxmlformats.org/spreadsheetml/2006/main" name="Dashboard 8" cacheId="0" dataCaption="" compact="0" compactData="0">
  <location ref="AJ133:AK198" firstHeaderRow="0" firstDataRow="1" firstDataCol="0"/>
  <pivotFields>
    <pivotField name="insta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dteday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season" compact="0" outline="0" multipleItemSelectionAllowed="1" showAll="0">
      <items>
        <item x="0"/>
        <item t="default"/>
      </items>
    </pivotField>
    <pivotField name="yr" compact="0" outline="0" multipleItemSelectionAllowed="1" showAll="0">
      <items>
        <item x="0"/>
        <item t="default"/>
      </items>
    </pivotField>
    <pivotField name="mnth" compact="0" outline="0" multipleItemSelectionAllowed="1" showAll="0">
      <items>
        <item x="0"/>
        <item x="1"/>
        <item t="default"/>
      </items>
    </pivotField>
    <pivotField name="h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holiday" compact="0" outline="0" multipleItemSelectionAllowed="1" showAll="0">
      <items>
        <item x="0"/>
        <item x="1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eathersit" compact="0" outline="0" multipleItemSelectionAllowed="1" showAll="0">
      <items>
        <item x="0"/>
        <item x="1"/>
        <item x="2"/>
        <item x="3"/>
        <item t="default"/>
      </items>
    </pivotField>
    <pivotField name="tem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atem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hum" axis="axisRow" compact="0" outline="0" multipleItemSelectionAllowed="1" showAll="0" sortType="ascending">
      <items>
        <item x="59"/>
        <item x="11"/>
        <item x="60"/>
        <item x="29"/>
        <item x="55"/>
        <item x="25"/>
        <item x="26"/>
        <item x="30"/>
        <item x="39"/>
        <item x="23"/>
        <item x="51"/>
        <item x="28"/>
        <item x="44"/>
        <item x="42"/>
        <item x="19"/>
        <item x="17"/>
        <item x="40"/>
        <item x="16"/>
        <item x="32"/>
        <item x="13"/>
        <item x="52"/>
        <item x="50"/>
        <item x="5"/>
        <item x="20"/>
        <item x="8"/>
        <item x="10"/>
        <item x="4"/>
        <item x="12"/>
        <item x="7"/>
        <item x="38"/>
        <item x="18"/>
        <item x="47"/>
        <item x="0"/>
        <item x="1"/>
        <item x="15"/>
        <item x="48"/>
        <item x="6"/>
        <item x="35"/>
        <item x="31"/>
        <item x="56"/>
        <item x="61"/>
        <item x="37"/>
        <item x="36"/>
        <item x="24"/>
        <item x="33"/>
        <item x="21"/>
        <item x="9"/>
        <item x="49"/>
        <item x="46"/>
        <item x="58"/>
        <item x="2"/>
        <item x="22"/>
        <item x="57"/>
        <item x="45"/>
        <item x="41"/>
        <item x="27"/>
        <item x="43"/>
        <item x="34"/>
        <item x="54"/>
        <item x="62"/>
        <item x="53"/>
        <item x="14"/>
        <item x="63"/>
        <item x="3"/>
        <item t="default"/>
      </items>
    </pivotField>
    <pivotField name="windspe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asu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register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t="default"/>
      </items>
    </pivotField>
    <pivotField name="c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</pivotFields>
  <rowFields>
    <field x="11"/>
  </rowFields>
  <dataFields>
    <dataField name="SUM of cnt" fld="15" baseField="0"/>
  </dataFields>
</pivotTableDefinition>
</file>

<file path=xl/pivotTables/pivotTable18.xml><?xml version="1.0" encoding="utf-8"?>
<pivotTableDefinition xmlns="http://schemas.openxmlformats.org/spreadsheetml/2006/main" name="Dashboard 9" cacheId="0" dataCaption="" compact="0" compactData="0">
  <location ref="Z140:AA143" firstHeaderRow="0" firstDataRow="1" firstDataCol="0"/>
  <pivotFields>
    <pivotField name="insta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dteday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season" compact="0" outline="0" multipleItemSelectionAllowed="1" showAll="0">
      <items>
        <item x="0"/>
        <item t="default"/>
      </items>
    </pivotField>
    <pivotField name="yr" compact="0" outline="0" multipleItemSelectionAllowed="1" showAll="0">
      <items>
        <item x="0"/>
        <item t="default"/>
      </items>
    </pivotField>
    <pivotField name="mnth" compact="0" outline="0" multipleItemSelectionAllowed="1" showAll="0">
      <items>
        <item x="0"/>
        <item x="1"/>
        <item t="default"/>
      </items>
    </pivotField>
    <pivotField name="h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holiday" axis="axisRow" compact="0" outline="0" multipleItemSelectionAllowed="1" showAll="0" sortType="ascending">
      <items>
        <item x="0"/>
        <item x="1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eathersit" compact="0" outline="0" multipleItemSelectionAllowed="1" showAll="0">
      <items>
        <item x="0"/>
        <item x="1"/>
        <item x="2"/>
        <item x="3"/>
        <item t="default"/>
      </items>
    </pivotField>
    <pivotField name="tem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atem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hu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windspe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asu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register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t="default"/>
      </items>
    </pivotField>
    <pivotField name="c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</pivotFields>
  <rowFields>
    <field x="6"/>
  </rowFields>
  <dataFields>
    <dataField name="Sum - cnt" fld="15" baseField="0"/>
  </dataFields>
</pivotTableDefinition>
</file>

<file path=xl/pivotTables/pivotTable19.xml><?xml version="1.0" encoding="utf-8"?>
<pivotTableDefinition xmlns="http://schemas.openxmlformats.org/spreadsheetml/2006/main" name="Dashboard 10" cacheId="0" dataCaption="" compact="0" compactData="0">
  <location ref="W149:X154" firstHeaderRow="0" firstDataRow="1" firstDataCol="0"/>
  <pivotFields>
    <pivotField name="insta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dteday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season" compact="0" outline="0" multipleItemSelectionAllowed="1" showAll="0">
      <items>
        <item x="0"/>
        <item t="default"/>
      </items>
    </pivotField>
    <pivotField name="yr" compact="0" outline="0" multipleItemSelectionAllowed="1" showAll="0">
      <items>
        <item x="0"/>
        <item t="default"/>
      </items>
    </pivotField>
    <pivotField name="mnth" compact="0" outline="0" multipleItemSelectionAllowed="1" showAll="0">
      <items>
        <item x="0"/>
        <item x="1"/>
        <item t="default"/>
      </items>
    </pivotField>
    <pivotField name="h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holiday" compact="0" outline="0" multipleItemSelectionAllowed="1" showAll="0">
      <items>
        <item x="0"/>
        <item x="1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eathersit" axis="axisRow" compact="0" outline="0" multipleItemSelectionAllowed="1" showAll="0" sortType="ascending">
      <items>
        <item x="0"/>
        <item x="1"/>
        <item x="2"/>
        <item x="3"/>
        <item t="default"/>
      </items>
    </pivotField>
    <pivotField name="tem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atem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hu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windspe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asu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register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t="default"/>
      </items>
    </pivotField>
    <pivotField name="c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</pivotFields>
  <rowFields>
    <field x="8"/>
  </rowFields>
  <dataFields>
    <dataField name="Sum - cnt" fld="15" baseField="0"/>
  </dataFields>
</pivotTableDefinition>
</file>

<file path=xl/pivotTables/pivotTable20.xml><?xml version="1.0" encoding="utf-8"?>
<pivotTableDefinition xmlns="http://schemas.openxmlformats.org/spreadsheetml/2006/main" name="Dashboard 11" cacheId="0" dataCaption="" compact="0" compactData="0">
  <location ref="Z155:AA179" firstHeaderRow="0" firstDataRow="1" firstDataCol="0"/>
  <pivotFields>
    <pivotField name="insta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dteday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season" compact="0" outline="0" multipleItemSelectionAllowed="1" showAll="0">
      <items>
        <item x="0"/>
        <item t="default"/>
      </items>
    </pivotField>
    <pivotField name="yr" compact="0" outline="0" multipleItemSelectionAllowed="1" showAll="0">
      <items>
        <item x="0"/>
        <item t="default"/>
      </items>
    </pivotField>
    <pivotField name="mnth" compact="0" outline="0" multipleItemSelectionAllowed="1" showAll="0">
      <items>
        <item x="0"/>
        <item x="1"/>
        <item t="default"/>
      </items>
    </pivotField>
    <pivotField name="h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holiday" compact="0" outline="0" multipleItemSelectionAllowed="1" showAll="0">
      <items>
        <item x="0"/>
        <item x="1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eathersit" compact="0" outline="0" multipleItemSelectionAllowed="1" showAll="0">
      <items>
        <item x="0"/>
        <item x="1"/>
        <item x="2"/>
        <item x="3"/>
        <item t="default"/>
      </items>
    </pivotField>
    <pivotField name="temp" axis="axisRow" compact="0" outline="0" multipleItemSelectionAllowed="1" showAll="0" sortType="ascending">
      <items>
        <item x="22"/>
        <item x="14"/>
        <item x="20"/>
        <item x="21"/>
        <item x="8"/>
        <item x="12"/>
        <item x="4"/>
        <item x="2"/>
        <item x="5"/>
        <item x="6"/>
        <item x="0"/>
        <item x="1"/>
        <item x="10"/>
        <item x="9"/>
        <item x="3"/>
        <item x="7"/>
        <item x="13"/>
        <item x="11"/>
        <item x="16"/>
        <item x="15"/>
        <item x="17"/>
        <item x="18"/>
        <item x="19"/>
        <item t="default"/>
      </items>
    </pivotField>
    <pivotField name="atem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hu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windspe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asu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register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t="default"/>
      </items>
    </pivotField>
    <pivotField name="c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</pivotFields>
  <rowFields>
    <field x="9"/>
  </rowFields>
  <dataFields>
    <dataField name="SUM of cnt" fld="15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10" Type="http://schemas.openxmlformats.org/officeDocument/2006/relationships/drawing" Target="../drawings/drawing8.xml"/><Relationship Id="rId9" Type="http://schemas.openxmlformats.org/officeDocument/2006/relationships/pivotTable" Target="../pivotTables/pivotTable9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pivotTable" Target="../pivotTables/pivotTable7.xml"/><Relationship Id="rId8" Type="http://schemas.openxmlformats.org/officeDocument/2006/relationships/pivotTable" Target="../pivotTables/pivot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0.xml"/><Relationship Id="rId2" Type="http://schemas.openxmlformats.org/officeDocument/2006/relationships/pivotTable" Target="../pivotTables/pivotTable11.xml"/><Relationship Id="rId3" Type="http://schemas.openxmlformats.org/officeDocument/2006/relationships/pivotTable" Target="../pivotTables/pivotTable12.xml"/><Relationship Id="rId4" Type="http://schemas.openxmlformats.org/officeDocument/2006/relationships/pivotTable" Target="../pivotTables/pivotTable13.xml"/><Relationship Id="rId11" Type="http://schemas.openxmlformats.org/officeDocument/2006/relationships/pivotTable" Target="../pivotTables/pivotTable20.xml"/><Relationship Id="rId10" Type="http://schemas.openxmlformats.org/officeDocument/2006/relationships/pivotTable" Target="../pivotTables/pivotTable19.xml"/><Relationship Id="rId12" Type="http://schemas.openxmlformats.org/officeDocument/2006/relationships/drawing" Target="../drawings/drawing9.xml"/><Relationship Id="rId9" Type="http://schemas.openxmlformats.org/officeDocument/2006/relationships/pivotTable" Target="../pivotTables/pivotTable18.xml"/><Relationship Id="rId5" Type="http://schemas.openxmlformats.org/officeDocument/2006/relationships/pivotTable" Target="../pivotTables/pivotTable14.xml"/><Relationship Id="rId6" Type="http://schemas.openxmlformats.org/officeDocument/2006/relationships/pivotTable" Target="../pivotTables/pivotTable15.xml"/><Relationship Id="rId7" Type="http://schemas.openxmlformats.org/officeDocument/2006/relationships/pivotTable" Target="../pivotTables/pivotTable16.xml"/><Relationship Id="rId8" Type="http://schemas.openxmlformats.org/officeDocument/2006/relationships/pivotTable" Target="../pivotTables/pivotTable17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8" width="12.63"/>
    <col customWidth="1" min="9" max="9" width="14.63"/>
    <col customWidth="1" min="10" max="12" width="12.63"/>
    <col customWidth="1" min="13" max="13" width="22.75"/>
    <col customWidth="1" min="14" max="14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>
        <v>1.0</v>
      </c>
      <c r="B2" s="4">
        <v>40544.0</v>
      </c>
      <c r="C2" s="3">
        <v>1.0</v>
      </c>
      <c r="D2" s="3">
        <v>0.0</v>
      </c>
      <c r="E2" s="3">
        <v>1.0</v>
      </c>
      <c r="F2" s="3">
        <v>0.0</v>
      </c>
      <c r="G2" s="3" t="b">
        <f t="shared" ref="G2:G373" si="1">FALSE()</f>
        <v>0</v>
      </c>
      <c r="H2" s="3">
        <v>6.0</v>
      </c>
      <c r="I2" s="3">
        <v>1.0</v>
      </c>
      <c r="J2" s="3">
        <v>0.24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5.75" customHeight="1">
      <c r="A3" s="3">
        <v>2.0</v>
      </c>
      <c r="B3" s="4">
        <v>40544.0</v>
      </c>
      <c r="C3" s="3">
        <v>1.0</v>
      </c>
      <c r="D3" s="3">
        <v>0.0</v>
      </c>
      <c r="E3" s="3">
        <v>1.0</v>
      </c>
      <c r="F3" s="3">
        <v>1.0</v>
      </c>
      <c r="G3" s="3" t="b">
        <f t="shared" si="1"/>
        <v>0</v>
      </c>
      <c r="H3" s="3">
        <v>6.0</v>
      </c>
      <c r="I3" s="3">
        <v>1.0</v>
      </c>
      <c r="J3" s="3">
        <v>0.22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3">
        <v>3.0</v>
      </c>
      <c r="B4" s="4">
        <v>40544.0</v>
      </c>
      <c r="C4" s="3">
        <v>1.0</v>
      </c>
      <c r="D4" s="3">
        <v>0.0</v>
      </c>
      <c r="E4" s="3">
        <v>1.0</v>
      </c>
      <c r="F4" s="3">
        <v>2.0</v>
      </c>
      <c r="G4" s="3" t="b">
        <f t="shared" si="1"/>
        <v>0</v>
      </c>
      <c r="H4" s="3">
        <v>6.0</v>
      </c>
      <c r="I4" s="3">
        <v>1.0</v>
      </c>
      <c r="J4" s="3">
        <v>0.22</v>
      </c>
      <c r="K4" s="8"/>
      <c r="L4" s="8"/>
      <c r="M4" s="9" t="s">
        <v>22</v>
      </c>
      <c r="N4" s="8">
        <f>COUNTBLANK(A2:A611)</f>
        <v>0</v>
      </c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75" customHeight="1">
      <c r="A5" s="3">
        <v>4.0</v>
      </c>
      <c r="B5" s="4">
        <v>40544.0</v>
      </c>
      <c r="C5" s="3">
        <v>1.0</v>
      </c>
      <c r="D5" s="3">
        <v>0.0</v>
      </c>
      <c r="E5" s="3">
        <v>1.0</v>
      </c>
      <c r="F5" s="3">
        <v>3.0</v>
      </c>
      <c r="G5" s="3" t="b">
        <f t="shared" si="1"/>
        <v>0</v>
      </c>
      <c r="H5" s="3">
        <v>6.0</v>
      </c>
      <c r="I5" s="3">
        <v>1.0</v>
      </c>
      <c r="J5" s="3">
        <v>0.24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3">
        <v>5.0</v>
      </c>
      <c r="B6" s="4">
        <v>40544.0</v>
      </c>
      <c r="C6" s="3">
        <v>1.0</v>
      </c>
      <c r="D6" s="3">
        <v>0.0</v>
      </c>
      <c r="E6" s="3">
        <v>1.0</v>
      </c>
      <c r="F6" s="3">
        <v>4.0</v>
      </c>
      <c r="G6" s="3" t="b">
        <f t="shared" si="1"/>
        <v>0</v>
      </c>
      <c r="H6" s="3">
        <v>6.0</v>
      </c>
      <c r="I6" s="3">
        <v>1.0</v>
      </c>
      <c r="J6" s="3">
        <v>0.24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customHeight="1">
      <c r="A7" s="3">
        <v>6.0</v>
      </c>
      <c r="B7" s="4">
        <v>40544.0</v>
      </c>
      <c r="C7" s="3">
        <v>1.0</v>
      </c>
      <c r="D7" s="3">
        <v>0.0</v>
      </c>
      <c r="E7" s="3">
        <v>1.0</v>
      </c>
      <c r="F7" s="3">
        <v>5.0</v>
      </c>
      <c r="G7" s="3" t="b">
        <f t="shared" si="1"/>
        <v>0</v>
      </c>
      <c r="H7" s="3">
        <v>6.0</v>
      </c>
      <c r="I7" s="3">
        <v>2.0</v>
      </c>
      <c r="J7" s="3">
        <v>0.24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75" customHeight="1">
      <c r="A8" s="3">
        <v>7.0</v>
      </c>
      <c r="B8" s="4">
        <v>40544.0</v>
      </c>
      <c r="C8" s="3">
        <v>1.0</v>
      </c>
      <c r="D8" s="3">
        <v>0.0</v>
      </c>
      <c r="E8" s="3">
        <v>1.0</v>
      </c>
      <c r="F8" s="3">
        <v>6.0</v>
      </c>
      <c r="G8" s="3" t="b">
        <f t="shared" si="1"/>
        <v>0</v>
      </c>
      <c r="H8" s="3">
        <v>6.0</v>
      </c>
      <c r="I8" s="3">
        <v>1.0</v>
      </c>
      <c r="J8" s="3">
        <v>0.22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75" customHeight="1">
      <c r="A9" s="3">
        <v>8.0</v>
      </c>
      <c r="B9" s="4">
        <v>40544.0</v>
      </c>
      <c r="C9" s="3">
        <v>1.0</v>
      </c>
      <c r="D9" s="3">
        <v>0.0</v>
      </c>
      <c r="E9" s="3">
        <v>1.0</v>
      </c>
      <c r="F9" s="3">
        <v>7.0</v>
      </c>
      <c r="G9" s="3" t="b">
        <f t="shared" si="1"/>
        <v>0</v>
      </c>
      <c r="H9" s="3">
        <v>6.0</v>
      </c>
      <c r="I9" s="3">
        <v>1.0</v>
      </c>
      <c r="J9" s="3">
        <v>0.2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customHeight="1">
      <c r="A10" s="3">
        <v>9.0</v>
      </c>
      <c r="B10" s="4">
        <v>40544.0</v>
      </c>
      <c r="C10" s="3">
        <v>1.0</v>
      </c>
      <c r="D10" s="3">
        <v>0.0</v>
      </c>
      <c r="E10" s="3">
        <v>1.0</v>
      </c>
      <c r="F10" s="3">
        <v>8.0</v>
      </c>
      <c r="G10" s="3" t="b">
        <f t="shared" si="1"/>
        <v>0</v>
      </c>
      <c r="H10" s="3">
        <v>6.0</v>
      </c>
      <c r="I10" s="3">
        <v>1.0</v>
      </c>
      <c r="J10" s="3">
        <v>0.24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75" customHeight="1">
      <c r="A11" s="3">
        <v>10.0</v>
      </c>
      <c r="B11" s="4">
        <v>40544.0</v>
      </c>
      <c r="C11" s="3">
        <v>1.0</v>
      </c>
      <c r="D11" s="3">
        <v>0.0</v>
      </c>
      <c r="E11" s="3">
        <v>1.0</v>
      </c>
      <c r="F11" s="3">
        <v>9.0</v>
      </c>
      <c r="G11" s="3" t="b">
        <f t="shared" si="1"/>
        <v>0</v>
      </c>
      <c r="H11" s="3">
        <v>6.0</v>
      </c>
      <c r="I11" s="3">
        <v>1.0</v>
      </c>
      <c r="J11" s="3">
        <v>0.32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3">
        <v>11.0</v>
      </c>
      <c r="B12" s="4">
        <v>40544.0</v>
      </c>
      <c r="C12" s="3">
        <v>1.0</v>
      </c>
      <c r="D12" s="3">
        <v>0.0</v>
      </c>
      <c r="E12" s="3">
        <v>1.0</v>
      </c>
      <c r="F12" s="3">
        <v>10.0</v>
      </c>
      <c r="G12" s="3" t="b">
        <f t="shared" si="1"/>
        <v>0</v>
      </c>
      <c r="H12" s="3">
        <v>6.0</v>
      </c>
      <c r="I12" s="3">
        <v>1.0</v>
      </c>
      <c r="J12" s="3">
        <v>0.38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3">
        <v>12.0</v>
      </c>
      <c r="B13" s="4">
        <v>40544.0</v>
      </c>
      <c r="C13" s="3">
        <v>1.0</v>
      </c>
      <c r="D13" s="3">
        <v>0.0</v>
      </c>
      <c r="E13" s="3">
        <v>1.0</v>
      </c>
      <c r="F13" s="3">
        <v>11.0</v>
      </c>
      <c r="G13" s="3" t="b">
        <f t="shared" si="1"/>
        <v>0</v>
      </c>
      <c r="H13" s="3">
        <v>6.0</v>
      </c>
      <c r="I13" s="3">
        <v>1.0</v>
      </c>
      <c r="J13" s="3">
        <v>0.36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3">
        <v>13.0</v>
      </c>
      <c r="B14" s="4">
        <v>40544.0</v>
      </c>
      <c r="C14" s="3">
        <v>1.0</v>
      </c>
      <c r="D14" s="3">
        <v>0.0</v>
      </c>
      <c r="E14" s="3">
        <v>1.0</v>
      </c>
      <c r="F14" s="3">
        <v>12.0</v>
      </c>
      <c r="G14" s="3" t="b">
        <f t="shared" si="1"/>
        <v>0</v>
      </c>
      <c r="H14" s="3">
        <v>6.0</v>
      </c>
      <c r="I14" s="3">
        <v>1.0</v>
      </c>
      <c r="J14" s="3">
        <v>0.42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3">
        <v>14.0</v>
      </c>
      <c r="B15" s="4">
        <v>40544.0</v>
      </c>
      <c r="C15" s="3">
        <v>1.0</v>
      </c>
      <c r="D15" s="3">
        <v>0.0</v>
      </c>
      <c r="E15" s="3">
        <v>1.0</v>
      </c>
      <c r="F15" s="3">
        <v>13.0</v>
      </c>
      <c r="G15" s="3" t="b">
        <f t="shared" si="1"/>
        <v>0</v>
      </c>
      <c r="H15" s="3">
        <v>6.0</v>
      </c>
      <c r="I15" s="3">
        <v>2.0</v>
      </c>
      <c r="J15" s="3">
        <v>0.46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3">
        <v>15.0</v>
      </c>
      <c r="B16" s="4">
        <v>40544.0</v>
      </c>
      <c r="C16" s="3">
        <v>1.0</v>
      </c>
      <c r="D16" s="3">
        <v>0.0</v>
      </c>
      <c r="E16" s="3">
        <v>1.0</v>
      </c>
      <c r="F16" s="3">
        <v>14.0</v>
      </c>
      <c r="G16" s="3" t="b">
        <f t="shared" si="1"/>
        <v>0</v>
      </c>
      <c r="H16" s="3">
        <v>6.0</v>
      </c>
      <c r="I16" s="3">
        <v>2.0</v>
      </c>
      <c r="J16" s="3">
        <v>0.46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3">
        <v>16.0</v>
      </c>
      <c r="B17" s="4">
        <v>40544.0</v>
      </c>
      <c r="C17" s="3">
        <v>1.0</v>
      </c>
      <c r="D17" s="3">
        <v>0.0</v>
      </c>
      <c r="E17" s="3">
        <v>1.0</v>
      </c>
      <c r="F17" s="3">
        <v>15.0</v>
      </c>
      <c r="G17" s="3" t="b">
        <f t="shared" si="1"/>
        <v>0</v>
      </c>
      <c r="H17" s="3">
        <v>6.0</v>
      </c>
      <c r="I17" s="3">
        <v>2.0</v>
      </c>
      <c r="J17" s="3">
        <v>0.44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3">
        <v>17.0</v>
      </c>
      <c r="B18" s="4">
        <v>40544.0</v>
      </c>
      <c r="C18" s="3">
        <v>1.0</v>
      </c>
      <c r="D18" s="3">
        <v>0.0</v>
      </c>
      <c r="E18" s="3">
        <v>1.0</v>
      </c>
      <c r="F18" s="3">
        <v>16.0</v>
      </c>
      <c r="G18" s="3" t="b">
        <f t="shared" si="1"/>
        <v>0</v>
      </c>
      <c r="H18" s="3">
        <v>6.0</v>
      </c>
      <c r="I18" s="3">
        <v>2.0</v>
      </c>
      <c r="J18" s="3">
        <v>0.42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3">
        <v>18.0</v>
      </c>
      <c r="B19" s="4">
        <v>40544.0</v>
      </c>
      <c r="C19" s="3">
        <v>1.0</v>
      </c>
      <c r="D19" s="3">
        <v>0.0</v>
      </c>
      <c r="E19" s="3">
        <v>1.0</v>
      </c>
      <c r="F19" s="3">
        <v>17.0</v>
      </c>
      <c r="G19" s="3" t="b">
        <f t="shared" si="1"/>
        <v>0</v>
      </c>
      <c r="H19" s="3">
        <v>6.0</v>
      </c>
      <c r="I19" s="3">
        <v>2.0</v>
      </c>
      <c r="J19" s="3">
        <v>0.44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3">
        <v>19.0</v>
      </c>
      <c r="B20" s="4">
        <v>40544.0</v>
      </c>
      <c r="C20" s="3">
        <v>1.0</v>
      </c>
      <c r="D20" s="3">
        <v>0.0</v>
      </c>
      <c r="E20" s="3">
        <v>1.0</v>
      </c>
      <c r="F20" s="3">
        <v>18.0</v>
      </c>
      <c r="G20" s="3" t="b">
        <f t="shared" si="1"/>
        <v>0</v>
      </c>
      <c r="H20" s="3">
        <v>6.0</v>
      </c>
      <c r="I20" s="3">
        <v>3.0</v>
      </c>
      <c r="J20" s="3">
        <v>0.42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3">
        <v>20.0</v>
      </c>
      <c r="B21" s="4">
        <v>40544.0</v>
      </c>
      <c r="C21" s="3">
        <v>1.0</v>
      </c>
      <c r="D21" s="3">
        <v>0.0</v>
      </c>
      <c r="E21" s="3">
        <v>1.0</v>
      </c>
      <c r="F21" s="3">
        <v>19.0</v>
      </c>
      <c r="G21" s="3" t="b">
        <f t="shared" si="1"/>
        <v>0</v>
      </c>
      <c r="H21" s="3">
        <v>6.0</v>
      </c>
      <c r="I21" s="3">
        <v>3.0</v>
      </c>
      <c r="J21" s="3">
        <v>0.42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3">
        <v>21.0</v>
      </c>
      <c r="B22" s="4">
        <v>40544.0</v>
      </c>
      <c r="C22" s="3">
        <v>1.0</v>
      </c>
      <c r="D22" s="3">
        <v>0.0</v>
      </c>
      <c r="E22" s="3">
        <v>1.0</v>
      </c>
      <c r="F22" s="3">
        <v>20.0</v>
      </c>
      <c r="G22" s="3" t="b">
        <f t="shared" si="1"/>
        <v>0</v>
      </c>
      <c r="H22" s="3">
        <v>6.0</v>
      </c>
      <c r="I22" s="3">
        <v>2.0</v>
      </c>
      <c r="J22" s="3">
        <v>0.4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3">
        <v>22.0</v>
      </c>
      <c r="B23" s="4">
        <v>40544.0</v>
      </c>
      <c r="C23" s="3">
        <v>1.0</v>
      </c>
      <c r="D23" s="3">
        <v>0.0</v>
      </c>
      <c r="E23" s="3">
        <v>1.0</v>
      </c>
      <c r="F23" s="3">
        <v>21.0</v>
      </c>
      <c r="G23" s="3" t="b">
        <f t="shared" si="1"/>
        <v>0</v>
      </c>
      <c r="H23" s="3">
        <v>6.0</v>
      </c>
      <c r="I23" s="3">
        <v>2.0</v>
      </c>
      <c r="J23" s="3">
        <v>0.4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3">
        <v>23.0</v>
      </c>
      <c r="B24" s="4">
        <v>40544.0</v>
      </c>
      <c r="C24" s="3">
        <v>1.0</v>
      </c>
      <c r="D24" s="3">
        <v>0.0</v>
      </c>
      <c r="E24" s="3">
        <v>1.0</v>
      </c>
      <c r="F24" s="3">
        <v>22.0</v>
      </c>
      <c r="G24" s="3" t="b">
        <f t="shared" si="1"/>
        <v>0</v>
      </c>
      <c r="H24" s="3">
        <v>6.0</v>
      </c>
      <c r="I24" s="3">
        <v>2.0</v>
      </c>
      <c r="J24" s="3">
        <v>0.4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3">
        <v>24.0</v>
      </c>
      <c r="B25" s="4">
        <v>40544.0</v>
      </c>
      <c r="C25" s="3">
        <v>1.0</v>
      </c>
      <c r="D25" s="3">
        <v>0.0</v>
      </c>
      <c r="E25" s="3">
        <v>1.0</v>
      </c>
      <c r="F25" s="3">
        <v>23.0</v>
      </c>
      <c r="G25" s="3" t="b">
        <f t="shared" si="1"/>
        <v>0</v>
      </c>
      <c r="H25" s="3">
        <v>6.0</v>
      </c>
      <c r="I25" s="3">
        <v>2.0</v>
      </c>
      <c r="J25" s="3">
        <v>0.46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3">
        <v>25.0</v>
      </c>
      <c r="B26" s="4">
        <v>40545.0</v>
      </c>
      <c r="C26" s="3">
        <v>1.0</v>
      </c>
      <c r="D26" s="3">
        <v>0.0</v>
      </c>
      <c r="E26" s="3">
        <v>1.0</v>
      </c>
      <c r="F26" s="3">
        <v>0.0</v>
      </c>
      <c r="G26" s="3" t="b">
        <f t="shared" si="1"/>
        <v>0</v>
      </c>
      <c r="H26" s="3">
        <v>0.0</v>
      </c>
      <c r="I26" s="3">
        <v>2.0</v>
      </c>
      <c r="J26" s="3">
        <v>0.46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3">
        <v>26.0</v>
      </c>
      <c r="B27" s="4">
        <v>40545.0</v>
      </c>
      <c r="C27" s="3">
        <v>1.0</v>
      </c>
      <c r="D27" s="3">
        <v>0.0</v>
      </c>
      <c r="E27" s="3">
        <v>1.0</v>
      </c>
      <c r="F27" s="3">
        <v>1.0</v>
      </c>
      <c r="G27" s="3" t="b">
        <f t="shared" si="1"/>
        <v>0</v>
      </c>
      <c r="H27" s="3">
        <v>0.0</v>
      </c>
      <c r="I27" s="3">
        <v>2.0</v>
      </c>
      <c r="J27" s="3">
        <v>0.44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3">
        <v>27.0</v>
      </c>
      <c r="B28" s="4">
        <v>40545.0</v>
      </c>
      <c r="C28" s="3">
        <v>1.0</v>
      </c>
      <c r="D28" s="3">
        <v>0.0</v>
      </c>
      <c r="E28" s="3">
        <v>1.0</v>
      </c>
      <c r="F28" s="3">
        <v>2.0</v>
      </c>
      <c r="G28" s="3" t="b">
        <f t="shared" si="1"/>
        <v>0</v>
      </c>
      <c r="H28" s="3">
        <v>0.0</v>
      </c>
      <c r="I28" s="3">
        <v>2.0</v>
      </c>
      <c r="J28" s="3">
        <v>0.42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3">
        <v>28.0</v>
      </c>
      <c r="B29" s="4">
        <v>40545.0</v>
      </c>
      <c r="C29" s="3">
        <v>1.0</v>
      </c>
      <c r="D29" s="3">
        <v>0.0</v>
      </c>
      <c r="E29" s="3">
        <v>1.0</v>
      </c>
      <c r="F29" s="3">
        <v>3.0</v>
      </c>
      <c r="G29" s="3" t="b">
        <f t="shared" si="1"/>
        <v>0</v>
      </c>
      <c r="H29" s="3">
        <v>0.0</v>
      </c>
      <c r="I29" s="3">
        <v>2.0</v>
      </c>
      <c r="J29" s="3">
        <v>0.46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3">
        <v>29.0</v>
      </c>
      <c r="B30" s="4">
        <v>40545.0</v>
      </c>
      <c r="C30" s="3">
        <v>1.0</v>
      </c>
      <c r="D30" s="3">
        <v>0.0</v>
      </c>
      <c r="E30" s="3">
        <v>1.0</v>
      </c>
      <c r="F30" s="3">
        <v>4.0</v>
      </c>
      <c r="G30" s="3" t="b">
        <f t="shared" si="1"/>
        <v>0</v>
      </c>
      <c r="H30" s="3">
        <v>0.0</v>
      </c>
      <c r="I30" s="3">
        <v>2.0</v>
      </c>
      <c r="J30" s="3">
        <v>0.46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3">
        <v>30.0</v>
      </c>
      <c r="B31" s="4">
        <v>40545.0</v>
      </c>
      <c r="C31" s="3">
        <v>1.0</v>
      </c>
      <c r="D31" s="3">
        <v>0.0</v>
      </c>
      <c r="E31" s="3">
        <v>1.0</v>
      </c>
      <c r="F31" s="3">
        <v>6.0</v>
      </c>
      <c r="G31" s="3" t="b">
        <f t="shared" si="1"/>
        <v>0</v>
      </c>
      <c r="H31" s="3">
        <v>0.0</v>
      </c>
      <c r="I31" s="3">
        <v>3.0</v>
      </c>
      <c r="J31" s="3">
        <v>0.42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3">
        <v>31.0</v>
      </c>
      <c r="B32" s="4">
        <v>40545.0</v>
      </c>
      <c r="C32" s="3">
        <v>1.0</v>
      </c>
      <c r="D32" s="3">
        <v>0.0</v>
      </c>
      <c r="E32" s="3">
        <v>1.0</v>
      </c>
      <c r="F32" s="3">
        <v>7.0</v>
      </c>
      <c r="G32" s="3" t="b">
        <f t="shared" si="1"/>
        <v>0</v>
      </c>
      <c r="H32" s="3">
        <v>0.0</v>
      </c>
      <c r="I32" s="3">
        <v>2.0</v>
      </c>
      <c r="J32" s="3">
        <v>0.4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3">
        <v>32.0</v>
      </c>
      <c r="B33" s="4">
        <v>40545.0</v>
      </c>
      <c r="C33" s="3">
        <v>1.0</v>
      </c>
      <c r="D33" s="3">
        <v>0.0</v>
      </c>
      <c r="E33" s="3">
        <v>1.0</v>
      </c>
      <c r="F33" s="3">
        <v>8.0</v>
      </c>
      <c r="G33" s="3" t="b">
        <f t="shared" si="1"/>
        <v>0</v>
      </c>
      <c r="H33" s="3">
        <v>0.0</v>
      </c>
      <c r="I33" s="3">
        <v>3.0</v>
      </c>
      <c r="J33" s="3">
        <v>0.4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3">
        <v>33.0</v>
      </c>
      <c r="B34" s="4">
        <v>40545.0</v>
      </c>
      <c r="C34" s="3">
        <v>1.0</v>
      </c>
      <c r="D34" s="3">
        <v>0.0</v>
      </c>
      <c r="E34" s="3">
        <v>1.0</v>
      </c>
      <c r="F34" s="3">
        <v>9.0</v>
      </c>
      <c r="G34" s="3" t="b">
        <f t="shared" si="1"/>
        <v>0</v>
      </c>
      <c r="H34" s="3">
        <v>0.0</v>
      </c>
      <c r="I34" s="3">
        <v>2.0</v>
      </c>
      <c r="J34" s="3">
        <v>0.38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3">
        <v>34.0</v>
      </c>
      <c r="B35" s="4">
        <v>40545.0</v>
      </c>
      <c r="C35" s="3">
        <v>1.0</v>
      </c>
      <c r="D35" s="3">
        <v>0.0</v>
      </c>
      <c r="E35" s="3">
        <v>1.0</v>
      </c>
      <c r="F35" s="3">
        <v>10.0</v>
      </c>
      <c r="G35" s="3" t="b">
        <f t="shared" si="1"/>
        <v>0</v>
      </c>
      <c r="H35" s="3">
        <v>0.0</v>
      </c>
      <c r="I35" s="3">
        <v>2.0</v>
      </c>
      <c r="J35" s="3">
        <v>0.36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3">
        <v>35.0</v>
      </c>
      <c r="B36" s="4">
        <v>40545.0</v>
      </c>
      <c r="C36" s="3">
        <v>1.0</v>
      </c>
      <c r="D36" s="3">
        <v>0.0</v>
      </c>
      <c r="E36" s="3">
        <v>1.0</v>
      </c>
      <c r="F36" s="3">
        <v>11.0</v>
      </c>
      <c r="G36" s="3" t="b">
        <f t="shared" si="1"/>
        <v>0</v>
      </c>
      <c r="H36" s="3">
        <v>0.0</v>
      </c>
      <c r="I36" s="3">
        <v>2.0</v>
      </c>
      <c r="J36" s="3">
        <v>0.36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3">
        <v>36.0</v>
      </c>
      <c r="B37" s="4">
        <v>40545.0</v>
      </c>
      <c r="C37" s="3">
        <v>1.0</v>
      </c>
      <c r="D37" s="3">
        <v>0.0</v>
      </c>
      <c r="E37" s="3">
        <v>1.0</v>
      </c>
      <c r="F37" s="3">
        <v>12.0</v>
      </c>
      <c r="G37" s="3" t="b">
        <f t="shared" si="1"/>
        <v>0</v>
      </c>
      <c r="H37" s="3">
        <v>0.0</v>
      </c>
      <c r="I37" s="3">
        <v>2.0</v>
      </c>
      <c r="J37" s="3">
        <v>0.36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3">
        <v>37.0</v>
      </c>
      <c r="B38" s="4">
        <v>40545.0</v>
      </c>
      <c r="C38" s="3">
        <v>1.0</v>
      </c>
      <c r="D38" s="3">
        <v>0.0</v>
      </c>
      <c r="E38" s="3">
        <v>1.0</v>
      </c>
      <c r="F38" s="3">
        <v>13.0</v>
      </c>
      <c r="G38" s="3" t="b">
        <f t="shared" si="1"/>
        <v>0</v>
      </c>
      <c r="H38" s="3">
        <v>0.0</v>
      </c>
      <c r="I38" s="3">
        <v>2.0</v>
      </c>
      <c r="J38" s="3">
        <v>0.36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3">
        <v>38.0</v>
      </c>
      <c r="B39" s="4">
        <v>40545.0</v>
      </c>
      <c r="C39" s="3">
        <v>1.0</v>
      </c>
      <c r="D39" s="3">
        <v>0.0</v>
      </c>
      <c r="E39" s="3">
        <v>1.0</v>
      </c>
      <c r="F39" s="3">
        <v>14.0</v>
      </c>
      <c r="G39" s="3" t="b">
        <f t="shared" si="1"/>
        <v>0</v>
      </c>
      <c r="H39" s="3">
        <v>0.0</v>
      </c>
      <c r="I39" s="3">
        <v>3.0</v>
      </c>
      <c r="J39" s="3">
        <v>0.36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3">
        <v>39.0</v>
      </c>
      <c r="B40" s="4">
        <v>40545.0</v>
      </c>
      <c r="C40" s="3">
        <v>1.0</v>
      </c>
      <c r="D40" s="3">
        <v>0.0</v>
      </c>
      <c r="E40" s="3">
        <v>1.0</v>
      </c>
      <c r="F40" s="3">
        <v>15.0</v>
      </c>
      <c r="G40" s="3" t="b">
        <f t="shared" si="1"/>
        <v>0</v>
      </c>
      <c r="H40" s="3">
        <v>0.0</v>
      </c>
      <c r="I40" s="3">
        <v>3.0</v>
      </c>
      <c r="J40" s="3">
        <v>0.34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3">
        <v>40.0</v>
      </c>
      <c r="B41" s="4">
        <v>40545.0</v>
      </c>
      <c r="C41" s="3">
        <v>1.0</v>
      </c>
      <c r="D41" s="3">
        <v>0.0</v>
      </c>
      <c r="E41" s="3">
        <v>1.0</v>
      </c>
      <c r="F41" s="3">
        <v>16.0</v>
      </c>
      <c r="G41" s="3" t="b">
        <f t="shared" si="1"/>
        <v>0</v>
      </c>
      <c r="H41" s="3">
        <v>0.0</v>
      </c>
      <c r="I41" s="3">
        <v>3.0</v>
      </c>
      <c r="J41" s="3">
        <v>0.34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3">
        <v>41.0</v>
      </c>
      <c r="B42" s="4">
        <v>40545.0</v>
      </c>
      <c r="C42" s="3">
        <v>1.0</v>
      </c>
      <c r="D42" s="3">
        <v>0.0</v>
      </c>
      <c r="E42" s="3">
        <v>1.0</v>
      </c>
      <c r="F42" s="3">
        <v>17.0</v>
      </c>
      <c r="G42" s="3" t="b">
        <f t="shared" si="1"/>
        <v>0</v>
      </c>
      <c r="H42" s="3">
        <v>0.0</v>
      </c>
      <c r="I42" s="3">
        <v>1.0</v>
      </c>
      <c r="J42" s="3">
        <v>0.34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3">
        <v>42.0</v>
      </c>
      <c r="B43" s="4">
        <v>40545.0</v>
      </c>
      <c r="C43" s="3">
        <v>1.0</v>
      </c>
      <c r="D43" s="3">
        <v>0.0</v>
      </c>
      <c r="E43" s="3">
        <v>1.0</v>
      </c>
      <c r="F43" s="3">
        <v>18.0</v>
      </c>
      <c r="G43" s="3" t="b">
        <f t="shared" si="1"/>
        <v>0</v>
      </c>
      <c r="H43" s="3">
        <v>0.0</v>
      </c>
      <c r="I43" s="3">
        <v>2.0</v>
      </c>
      <c r="J43" s="3">
        <v>0.36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3">
        <v>43.0</v>
      </c>
      <c r="B44" s="4">
        <v>40545.0</v>
      </c>
      <c r="C44" s="3">
        <v>1.0</v>
      </c>
      <c r="D44" s="3">
        <v>0.0</v>
      </c>
      <c r="E44" s="3">
        <v>1.0</v>
      </c>
      <c r="F44" s="3">
        <v>19.0</v>
      </c>
      <c r="G44" s="3" t="b">
        <f t="shared" si="1"/>
        <v>0</v>
      </c>
      <c r="H44" s="3">
        <v>0.0</v>
      </c>
      <c r="I44" s="3">
        <v>1.0</v>
      </c>
      <c r="J44" s="3">
        <v>0.32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3">
        <v>44.0</v>
      </c>
      <c r="B45" s="4">
        <v>40545.0</v>
      </c>
      <c r="C45" s="3">
        <v>1.0</v>
      </c>
      <c r="D45" s="3">
        <v>0.0</v>
      </c>
      <c r="E45" s="3">
        <v>1.0</v>
      </c>
      <c r="F45" s="3">
        <v>20.0</v>
      </c>
      <c r="G45" s="3" t="b">
        <f t="shared" si="1"/>
        <v>0</v>
      </c>
      <c r="H45" s="3">
        <v>0.0</v>
      </c>
      <c r="I45" s="3">
        <v>1.0</v>
      </c>
      <c r="J45" s="3">
        <v>0.3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3">
        <v>45.0</v>
      </c>
      <c r="B46" s="4">
        <v>40545.0</v>
      </c>
      <c r="C46" s="3">
        <v>1.0</v>
      </c>
      <c r="D46" s="3">
        <v>0.0</v>
      </c>
      <c r="E46" s="3">
        <v>1.0</v>
      </c>
      <c r="F46" s="3">
        <v>21.0</v>
      </c>
      <c r="G46" s="3" t="b">
        <f t="shared" si="1"/>
        <v>0</v>
      </c>
      <c r="H46" s="3">
        <v>0.0</v>
      </c>
      <c r="I46" s="3">
        <v>1.0</v>
      </c>
      <c r="J46" s="3">
        <v>0.26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3">
        <v>46.0</v>
      </c>
      <c r="B47" s="4">
        <v>40545.0</v>
      </c>
      <c r="C47" s="3">
        <v>1.0</v>
      </c>
      <c r="D47" s="3">
        <v>0.0</v>
      </c>
      <c r="E47" s="3">
        <v>1.0</v>
      </c>
      <c r="F47" s="3">
        <v>22.0</v>
      </c>
      <c r="G47" s="3" t="b">
        <f t="shared" si="1"/>
        <v>0</v>
      </c>
      <c r="H47" s="3">
        <v>0.0</v>
      </c>
      <c r="I47" s="3">
        <v>1.0</v>
      </c>
      <c r="J47" s="3">
        <v>0.24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3">
        <v>47.0</v>
      </c>
      <c r="B48" s="4">
        <v>40545.0</v>
      </c>
      <c r="C48" s="3">
        <v>1.0</v>
      </c>
      <c r="D48" s="3">
        <v>0.0</v>
      </c>
      <c r="E48" s="3">
        <v>1.0</v>
      </c>
      <c r="F48" s="3">
        <v>23.0</v>
      </c>
      <c r="G48" s="3" t="b">
        <f t="shared" si="1"/>
        <v>0</v>
      </c>
      <c r="H48" s="3">
        <v>0.0</v>
      </c>
      <c r="I48" s="3">
        <v>1.0</v>
      </c>
      <c r="J48" s="3">
        <v>0.22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3">
        <v>48.0</v>
      </c>
      <c r="B49" s="4">
        <v>40546.0</v>
      </c>
      <c r="C49" s="3">
        <v>1.0</v>
      </c>
      <c r="D49" s="3">
        <v>0.0</v>
      </c>
      <c r="E49" s="3">
        <v>1.0</v>
      </c>
      <c r="F49" s="3">
        <v>0.0</v>
      </c>
      <c r="G49" s="3" t="b">
        <f t="shared" si="1"/>
        <v>0</v>
      </c>
      <c r="H49" s="3">
        <v>1.0</v>
      </c>
      <c r="I49" s="3">
        <v>1.0</v>
      </c>
      <c r="J49" s="3">
        <v>0.22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3">
        <v>49.0</v>
      </c>
      <c r="B50" s="4">
        <v>40546.0</v>
      </c>
      <c r="C50" s="3">
        <v>1.0</v>
      </c>
      <c r="D50" s="3">
        <v>0.0</v>
      </c>
      <c r="E50" s="3">
        <v>1.0</v>
      </c>
      <c r="F50" s="3">
        <v>1.0</v>
      </c>
      <c r="G50" s="3" t="b">
        <f t="shared" si="1"/>
        <v>0</v>
      </c>
      <c r="H50" s="3">
        <v>1.0</v>
      </c>
      <c r="I50" s="3">
        <v>1.0</v>
      </c>
      <c r="J50" s="3">
        <v>0.2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3">
        <v>50.0</v>
      </c>
      <c r="B51" s="4">
        <v>40546.0</v>
      </c>
      <c r="C51" s="3">
        <v>1.0</v>
      </c>
      <c r="D51" s="3">
        <v>0.0</v>
      </c>
      <c r="E51" s="3">
        <v>1.0</v>
      </c>
      <c r="F51" s="3">
        <v>4.0</v>
      </c>
      <c r="G51" s="3" t="b">
        <f t="shared" si="1"/>
        <v>0</v>
      </c>
      <c r="H51" s="3">
        <v>1.0</v>
      </c>
      <c r="I51" s="3">
        <v>1.0</v>
      </c>
      <c r="J51" s="3">
        <v>0.16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3">
        <v>51.0</v>
      </c>
      <c r="B52" s="4">
        <v>40546.0</v>
      </c>
      <c r="C52" s="3">
        <v>1.0</v>
      </c>
      <c r="D52" s="3">
        <v>0.0</v>
      </c>
      <c r="E52" s="3">
        <v>1.0</v>
      </c>
      <c r="F52" s="3">
        <v>5.0</v>
      </c>
      <c r="G52" s="3" t="b">
        <f t="shared" si="1"/>
        <v>0</v>
      </c>
      <c r="H52" s="3">
        <v>1.0</v>
      </c>
      <c r="I52" s="3">
        <v>1.0</v>
      </c>
      <c r="J52" s="3">
        <v>0.16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3">
        <v>52.0</v>
      </c>
      <c r="B53" s="4">
        <v>40546.0</v>
      </c>
      <c r="C53" s="3">
        <v>1.0</v>
      </c>
      <c r="D53" s="3">
        <v>0.0</v>
      </c>
      <c r="E53" s="3">
        <v>1.0</v>
      </c>
      <c r="F53" s="3">
        <v>6.0</v>
      </c>
      <c r="G53" s="3" t="b">
        <f t="shared" si="1"/>
        <v>0</v>
      </c>
      <c r="H53" s="3">
        <v>1.0</v>
      </c>
      <c r="I53" s="3">
        <v>1.0</v>
      </c>
      <c r="J53" s="3">
        <v>0.14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3">
        <v>53.0</v>
      </c>
      <c r="B54" s="4">
        <v>40546.0</v>
      </c>
      <c r="C54" s="3">
        <v>1.0</v>
      </c>
      <c r="D54" s="3">
        <v>0.0</v>
      </c>
      <c r="E54" s="3">
        <v>1.0</v>
      </c>
      <c r="F54" s="3">
        <v>7.0</v>
      </c>
      <c r="G54" s="3" t="b">
        <f t="shared" si="1"/>
        <v>0</v>
      </c>
      <c r="H54" s="3">
        <v>1.0</v>
      </c>
      <c r="I54" s="3">
        <v>1.0</v>
      </c>
      <c r="J54" s="3">
        <v>0.14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3">
        <v>54.0</v>
      </c>
      <c r="B55" s="4">
        <v>40546.0</v>
      </c>
      <c r="C55" s="3">
        <v>1.0</v>
      </c>
      <c r="D55" s="3">
        <v>0.0</v>
      </c>
      <c r="E55" s="3">
        <v>1.0</v>
      </c>
      <c r="F55" s="3">
        <v>8.0</v>
      </c>
      <c r="G55" s="3" t="b">
        <f t="shared" si="1"/>
        <v>0</v>
      </c>
      <c r="H55" s="3">
        <v>1.0</v>
      </c>
      <c r="I55" s="3">
        <v>1.0</v>
      </c>
      <c r="J55" s="3">
        <v>0.14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3">
        <v>55.0</v>
      </c>
      <c r="B56" s="4">
        <v>40546.0</v>
      </c>
      <c r="C56" s="3">
        <v>1.0</v>
      </c>
      <c r="D56" s="3">
        <v>0.0</v>
      </c>
      <c r="E56" s="3">
        <v>1.0</v>
      </c>
      <c r="F56" s="3">
        <v>9.0</v>
      </c>
      <c r="G56" s="3" t="b">
        <f t="shared" si="1"/>
        <v>0</v>
      </c>
      <c r="H56" s="3">
        <v>1.0</v>
      </c>
      <c r="I56" s="3">
        <v>1.0</v>
      </c>
      <c r="J56" s="3">
        <v>0.16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3">
        <v>56.0</v>
      </c>
      <c r="B57" s="4">
        <v>40546.0</v>
      </c>
      <c r="C57" s="3">
        <v>1.0</v>
      </c>
      <c r="D57" s="3">
        <v>0.0</v>
      </c>
      <c r="E57" s="3">
        <v>1.0</v>
      </c>
      <c r="F57" s="3">
        <v>10.0</v>
      </c>
      <c r="G57" s="3" t="b">
        <f t="shared" si="1"/>
        <v>0</v>
      </c>
      <c r="H57" s="3">
        <v>1.0</v>
      </c>
      <c r="I57" s="3">
        <v>1.0</v>
      </c>
      <c r="J57" s="3">
        <v>0.18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3">
        <v>57.0</v>
      </c>
      <c r="B58" s="4">
        <v>40546.0</v>
      </c>
      <c r="C58" s="3">
        <v>1.0</v>
      </c>
      <c r="D58" s="3">
        <v>0.0</v>
      </c>
      <c r="E58" s="3">
        <v>1.0</v>
      </c>
      <c r="F58" s="3">
        <v>11.0</v>
      </c>
      <c r="G58" s="3" t="b">
        <f t="shared" si="1"/>
        <v>0</v>
      </c>
      <c r="H58" s="3">
        <v>1.0</v>
      </c>
      <c r="I58" s="3">
        <v>1.0</v>
      </c>
      <c r="J58" s="3">
        <v>0.2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3">
        <v>58.0</v>
      </c>
      <c r="B59" s="4">
        <v>40546.0</v>
      </c>
      <c r="C59" s="3">
        <v>1.0</v>
      </c>
      <c r="D59" s="3">
        <v>0.0</v>
      </c>
      <c r="E59" s="3">
        <v>1.0</v>
      </c>
      <c r="F59" s="3">
        <v>12.0</v>
      </c>
      <c r="G59" s="3" t="b">
        <f t="shared" si="1"/>
        <v>0</v>
      </c>
      <c r="H59" s="3">
        <v>1.0</v>
      </c>
      <c r="I59" s="3">
        <v>1.0</v>
      </c>
      <c r="J59" s="3">
        <v>0.22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3">
        <v>59.0</v>
      </c>
      <c r="B60" s="4">
        <v>40546.0</v>
      </c>
      <c r="C60" s="3">
        <v>1.0</v>
      </c>
      <c r="D60" s="3">
        <v>0.0</v>
      </c>
      <c r="E60" s="3">
        <v>1.0</v>
      </c>
      <c r="F60" s="3">
        <v>13.0</v>
      </c>
      <c r="G60" s="3" t="b">
        <f t="shared" si="1"/>
        <v>0</v>
      </c>
      <c r="H60" s="3">
        <v>1.0</v>
      </c>
      <c r="I60" s="3">
        <v>1.0</v>
      </c>
      <c r="J60" s="3">
        <v>0.24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3">
        <v>60.0</v>
      </c>
      <c r="B61" s="4">
        <v>40546.0</v>
      </c>
      <c r="C61" s="3">
        <v>1.0</v>
      </c>
      <c r="D61" s="3">
        <v>0.0</v>
      </c>
      <c r="E61" s="3">
        <v>1.0</v>
      </c>
      <c r="F61" s="3">
        <v>14.0</v>
      </c>
      <c r="G61" s="3" t="b">
        <f t="shared" si="1"/>
        <v>0</v>
      </c>
      <c r="H61" s="3">
        <v>1.0</v>
      </c>
      <c r="I61" s="3">
        <v>1.0</v>
      </c>
      <c r="J61" s="3">
        <v>0.26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3">
        <v>61.0</v>
      </c>
      <c r="B62" s="4">
        <v>40546.0</v>
      </c>
      <c r="C62" s="3">
        <v>1.0</v>
      </c>
      <c r="D62" s="3">
        <v>0.0</v>
      </c>
      <c r="E62" s="3">
        <v>1.0</v>
      </c>
      <c r="F62" s="3">
        <v>15.0</v>
      </c>
      <c r="G62" s="3" t="b">
        <f t="shared" si="1"/>
        <v>0</v>
      </c>
      <c r="H62" s="3">
        <v>1.0</v>
      </c>
      <c r="I62" s="3">
        <v>1.0</v>
      </c>
      <c r="J62" s="3">
        <v>0.26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3">
        <v>62.0</v>
      </c>
      <c r="B63" s="4">
        <v>40546.0</v>
      </c>
      <c r="C63" s="3">
        <v>1.0</v>
      </c>
      <c r="D63" s="3">
        <v>0.0</v>
      </c>
      <c r="E63" s="3">
        <v>1.0</v>
      </c>
      <c r="F63" s="3">
        <v>16.0</v>
      </c>
      <c r="G63" s="3" t="b">
        <f t="shared" si="1"/>
        <v>0</v>
      </c>
      <c r="H63" s="3">
        <v>1.0</v>
      </c>
      <c r="I63" s="3">
        <v>1.0</v>
      </c>
      <c r="J63" s="3">
        <v>0.26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3">
        <v>63.0</v>
      </c>
      <c r="B64" s="4">
        <v>40546.0</v>
      </c>
      <c r="C64" s="3">
        <v>1.0</v>
      </c>
      <c r="D64" s="3">
        <v>0.0</v>
      </c>
      <c r="E64" s="3">
        <v>1.0</v>
      </c>
      <c r="F64" s="3">
        <v>17.0</v>
      </c>
      <c r="G64" s="3" t="b">
        <f t="shared" si="1"/>
        <v>0</v>
      </c>
      <c r="H64" s="3">
        <v>1.0</v>
      </c>
      <c r="I64" s="3">
        <v>1.0</v>
      </c>
      <c r="J64" s="3">
        <v>0.24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3">
        <v>64.0</v>
      </c>
      <c r="B65" s="4">
        <v>40546.0</v>
      </c>
      <c r="C65" s="3">
        <v>1.0</v>
      </c>
      <c r="D65" s="3">
        <v>0.0</v>
      </c>
      <c r="E65" s="3">
        <v>1.0</v>
      </c>
      <c r="F65" s="3">
        <v>18.0</v>
      </c>
      <c r="G65" s="3" t="b">
        <f t="shared" si="1"/>
        <v>0</v>
      </c>
      <c r="H65" s="3">
        <v>1.0</v>
      </c>
      <c r="I65" s="3">
        <v>1.0</v>
      </c>
      <c r="J65" s="3">
        <v>0.24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3">
        <v>65.0</v>
      </c>
      <c r="B66" s="4">
        <v>40546.0</v>
      </c>
      <c r="C66" s="3">
        <v>1.0</v>
      </c>
      <c r="D66" s="3">
        <v>0.0</v>
      </c>
      <c r="E66" s="3">
        <v>1.0</v>
      </c>
      <c r="F66" s="3">
        <v>19.0</v>
      </c>
      <c r="G66" s="3" t="b">
        <f t="shared" si="1"/>
        <v>0</v>
      </c>
      <c r="H66" s="3">
        <v>1.0</v>
      </c>
      <c r="I66" s="3">
        <v>1.0</v>
      </c>
      <c r="J66" s="3">
        <v>0.2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3">
        <v>66.0</v>
      </c>
      <c r="B67" s="4">
        <v>40546.0</v>
      </c>
      <c r="C67" s="3">
        <v>1.0</v>
      </c>
      <c r="D67" s="3">
        <v>0.0</v>
      </c>
      <c r="E67" s="3">
        <v>1.0</v>
      </c>
      <c r="F67" s="3">
        <v>20.0</v>
      </c>
      <c r="G67" s="3" t="b">
        <f t="shared" si="1"/>
        <v>0</v>
      </c>
      <c r="H67" s="3">
        <v>1.0</v>
      </c>
      <c r="I67" s="3">
        <v>1.0</v>
      </c>
      <c r="J67" s="3">
        <v>0.2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3">
        <v>67.0</v>
      </c>
      <c r="B68" s="4">
        <v>40546.0</v>
      </c>
      <c r="C68" s="3">
        <v>1.0</v>
      </c>
      <c r="D68" s="3">
        <v>0.0</v>
      </c>
      <c r="E68" s="3">
        <v>1.0</v>
      </c>
      <c r="F68" s="3">
        <v>21.0</v>
      </c>
      <c r="G68" s="3" t="b">
        <f t="shared" si="1"/>
        <v>0</v>
      </c>
      <c r="H68" s="3">
        <v>1.0</v>
      </c>
      <c r="I68" s="3">
        <v>1.0</v>
      </c>
      <c r="J68" s="3">
        <v>0.18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3">
        <v>68.0</v>
      </c>
      <c r="B69" s="4">
        <v>40546.0</v>
      </c>
      <c r="C69" s="3">
        <v>1.0</v>
      </c>
      <c r="D69" s="3">
        <v>0.0</v>
      </c>
      <c r="E69" s="3">
        <v>1.0</v>
      </c>
      <c r="F69" s="3">
        <v>22.0</v>
      </c>
      <c r="G69" s="3" t="b">
        <f t="shared" si="1"/>
        <v>0</v>
      </c>
      <c r="H69" s="3">
        <v>1.0</v>
      </c>
      <c r="I69" s="3">
        <v>1.0</v>
      </c>
      <c r="J69" s="3">
        <v>0.14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3">
        <v>69.0</v>
      </c>
      <c r="B70" s="4">
        <v>40546.0</v>
      </c>
      <c r="C70" s="3">
        <v>1.0</v>
      </c>
      <c r="D70" s="3">
        <v>0.0</v>
      </c>
      <c r="E70" s="3">
        <v>1.0</v>
      </c>
      <c r="F70" s="3">
        <v>23.0</v>
      </c>
      <c r="G70" s="3" t="b">
        <f t="shared" si="1"/>
        <v>0</v>
      </c>
      <c r="H70" s="3">
        <v>1.0</v>
      </c>
      <c r="I70" s="3">
        <v>1.0</v>
      </c>
      <c r="J70" s="3">
        <v>0.18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3">
        <v>70.0</v>
      </c>
      <c r="B71" s="4">
        <v>40547.0</v>
      </c>
      <c r="C71" s="3">
        <v>1.0</v>
      </c>
      <c r="D71" s="3">
        <v>0.0</v>
      </c>
      <c r="E71" s="3">
        <v>1.0</v>
      </c>
      <c r="F71" s="3">
        <v>0.0</v>
      </c>
      <c r="G71" s="3" t="b">
        <f t="shared" si="1"/>
        <v>0</v>
      </c>
      <c r="H71" s="3">
        <v>2.0</v>
      </c>
      <c r="I71" s="3">
        <v>1.0</v>
      </c>
      <c r="J71" s="3">
        <v>0.16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3">
        <v>71.0</v>
      </c>
      <c r="B72" s="4">
        <v>40547.0</v>
      </c>
      <c r="C72" s="3">
        <v>1.0</v>
      </c>
      <c r="D72" s="3">
        <v>0.0</v>
      </c>
      <c r="E72" s="3">
        <v>1.0</v>
      </c>
      <c r="F72" s="3">
        <v>1.0</v>
      </c>
      <c r="G72" s="3" t="b">
        <f t="shared" si="1"/>
        <v>0</v>
      </c>
      <c r="H72" s="3">
        <v>2.0</v>
      </c>
      <c r="I72" s="3">
        <v>1.0</v>
      </c>
      <c r="J72" s="3">
        <v>0.16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3">
        <v>72.0</v>
      </c>
      <c r="B73" s="4">
        <v>40547.0</v>
      </c>
      <c r="C73" s="3">
        <v>1.0</v>
      </c>
      <c r="D73" s="3">
        <v>0.0</v>
      </c>
      <c r="E73" s="3">
        <v>1.0</v>
      </c>
      <c r="F73" s="3">
        <v>2.0</v>
      </c>
      <c r="G73" s="3" t="b">
        <f t="shared" si="1"/>
        <v>0</v>
      </c>
      <c r="H73" s="3">
        <v>2.0</v>
      </c>
      <c r="I73" s="3">
        <v>1.0</v>
      </c>
      <c r="J73" s="3">
        <v>0.14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3">
        <v>73.0</v>
      </c>
      <c r="B74" s="4">
        <v>40547.0</v>
      </c>
      <c r="C74" s="3">
        <v>1.0</v>
      </c>
      <c r="D74" s="3">
        <v>0.0</v>
      </c>
      <c r="E74" s="3">
        <v>1.0</v>
      </c>
      <c r="F74" s="3">
        <v>4.0</v>
      </c>
      <c r="G74" s="3" t="b">
        <f t="shared" si="1"/>
        <v>0</v>
      </c>
      <c r="H74" s="3">
        <v>2.0</v>
      </c>
      <c r="I74" s="3">
        <v>1.0</v>
      </c>
      <c r="J74" s="3">
        <v>0.14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3">
        <v>74.0</v>
      </c>
      <c r="B75" s="4">
        <v>40547.0</v>
      </c>
      <c r="C75" s="3">
        <v>1.0</v>
      </c>
      <c r="D75" s="3">
        <v>0.0</v>
      </c>
      <c r="E75" s="3">
        <v>1.0</v>
      </c>
      <c r="F75" s="3">
        <v>5.0</v>
      </c>
      <c r="G75" s="3" t="b">
        <f t="shared" si="1"/>
        <v>0</v>
      </c>
      <c r="H75" s="3">
        <v>2.0</v>
      </c>
      <c r="I75" s="3">
        <v>1.0</v>
      </c>
      <c r="J75" s="3">
        <v>0.12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3">
        <v>75.0</v>
      </c>
      <c r="B76" s="4">
        <v>40547.0</v>
      </c>
      <c r="C76" s="3">
        <v>1.0</v>
      </c>
      <c r="D76" s="3">
        <v>0.0</v>
      </c>
      <c r="E76" s="3">
        <v>1.0</v>
      </c>
      <c r="F76" s="3">
        <v>6.0</v>
      </c>
      <c r="G76" s="3" t="b">
        <f t="shared" si="1"/>
        <v>0</v>
      </c>
      <c r="H76" s="3">
        <v>2.0</v>
      </c>
      <c r="I76" s="3">
        <v>1.0</v>
      </c>
      <c r="J76" s="3">
        <v>0.12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3">
        <v>76.0</v>
      </c>
      <c r="B77" s="4">
        <v>40547.0</v>
      </c>
      <c r="C77" s="3">
        <v>1.0</v>
      </c>
      <c r="D77" s="3">
        <v>0.0</v>
      </c>
      <c r="E77" s="3">
        <v>1.0</v>
      </c>
      <c r="F77" s="3">
        <v>7.0</v>
      </c>
      <c r="G77" s="3" t="b">
        <f t="shared" si="1"/>
        <v>0</v>
      </c>
      <c r="H77" s="3">
        <v>2.0</v>
      </c>
      <c r="I77" s="3">
        <v>1.0</v>
      </c>
      <c r="J77" s="3">
        <v>0.12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3">
        <v>77.0</v>
      </c>
      <c r="B78" s="4">
        <v>40547.0</v>
      </c>
      <c r="C78" s="3">
        <v>1.0</v>
      </c>
      <c r="D78" s="3">
        <v>0.0</v>
      </c>
      <c r="E78" s="3">
        <v>1.0</v>
      </c>
      <c r="F78" s="3">
        <v>8.0</v>
      </c>
      <c r="G78" s="3" t="b">
        <f t="shared" si="1"/>
        <v>0</v>
      </c>
      <c r="H78" s="3">
        <v>2.0</v>
      </c>
      <c r="I78" s="3">
        <v>1.0</v>
      </c>
      <c r="J78" s="3">
        <v>0.14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3">
        <v>78.0</v>
      </c>
      <c r="B79" s="4">
        <v>40547.0</v>
      </c>
      <c r="C79" s="3">
        <v>1.0</v>
      </c>
      <c r="D79" s="3">
        <v>0.0</v>
      </c>
      <c r="E79" s="3">
        <v>1.0</v>
      </c>
      <c r="F79" s="3">
        <v>9.0</v>
      </c>
      <c r="G79" s="3" t="b">
        <f t="shared" si="1"/>
        <v>0</v>
      </c>
      <c r="H79" s="3">
        <v>2.0</v>
      </c>
      <c r="I79" s="3">
        <v>1.0</v>
      </c>
      <c r="J79" s="3">
        <v>0.16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3">
        <v>79.0</v>
      </c>
      <c r="B80" s="4">
        <v>40547.0</v>
      </c>
      <c r="C80" s="3">
        <v>1.0</v>
      </c>
      <c r="D80" s="3">
        <v>0.0</v>
      </c>
      <c r="E80" s="3">
        <v>1.0</v>
      </c>
      <c r="F80" s="3">
        <v>10.0</v>
      </c>
      <c r="G80" s="3" t="b">
        <f t="shared" si="1"/>
        <v>0</v>
      </c>
      <c r="H80" s="3">
        <v>2.0</v>
      </c>
      <c r="I80" s="3">
        <v>2.0</v>
      </c>
      <c r="J80" s="3">
        <v>0.16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3">
        <v>80.0</v>
      </c>
      <c r="B81" s="4">
        <v>40547.0</v>
      </c>
      <c r="C81" s="3">
        <v>1.0</v>
      </c>
      <c r="D81" s="3">
        <v>0.0</v>
      </c>
      <c r="E81" s="3">
        <v>1.0</v>
      </c>
      <c r="F81" s="3">
        <v>11.0</v>
      </c>
      <c r="G81" s="3" t="b">
        <f t="shared" si="1"/>
        <v>0</v>
      </c>
      <c r="H81" s="3">
        <v>2.0</v>
      </c>
      <c r="I81" s="3">
        <v>1.0</v>
      </c>
      <c r="J81" s="3">
        <v>0.22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3">
        <v>81.0</v>
      </c>
      <c r="B82" s="4">
        <v>40547.0</v>
      </c>
      <c r="C82" s="3">
        <v>1.0</v>
      </c>
      <c r="D82" s="3">
        <v>0.0</v>
      </c>
      <c r="E82" s="3">
        <v>1.0</v>
      </c>
      <c r="F82" s="3">
        <v>12.0</v>
      </c>
      <c r="G82" s="3" t="b">
        <f t="shared" si="1"/>
        <v>0</v>
      </c>
      <c r="H82" s="3">
        <v>2.0</v>
      </c>
      <c r="I82" s="3">
        <v>1.0</v>
      </c>
      <c r="J82" s="3">
        <v>0.22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3">
        <v>82.0</v>
      </c>
      <c r="B83" s="4">
        <v>40547.0</v>
      </c>
      <c r="C83" s="3">
        <v>1.0</v>
      </c>
      <c r="D83" s="3">
        <v>0.0</v>
      </c>
      <c r="E83" s="3">
        <v>1.0</v>
      </c>
      <c r="F83" s="3">
        <v>13.0</v>
      </c>
      <c r="G83" s="3" t="b">
        <f t="shared" si="1"/>
        <v>0</v>
      </c>
      <c r="H83" s="3">
        <v>2.0</v>
      </c>
      <c r="I83" s="3">
        <v>1.0</v>
      </c>
      <c r="J83" s="3">
        <v>0.24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3">
        <v>83.0</v>
      </c>
      <c r="B84" s="4">
        <v>40547.0</v>
      </c>
      <c r="C84" s="3">
        <v>1.0</v>
      </c>
      <c r="D84" s="3">
        <v>0.0</v>
      </c>
      <c r="E84" s="3">
        <v>1.0</v>
      </c>
      <c r="F84" s="3">
        <v>14.0</v>
      </c>
      <c r="G84" s="3" t="b">
        <f t="shared" si="1"/>
        <v>0</v>
      </c>
      <c r="H84" s="3">
        <v>2.0</v>
      </c>
      <c r="I84" s="3">
        <v>1.0</v>
      </c>
      <c r="J84" s="3">
        <v>0.26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3">
        <v>84.0</v>
      </c>
      <c r="B85" s="4">
        <v>40547.0</v>
      </c>
      <c r="C85" s="3">
        <v>1.0</v>
      </c>
      <c r="D85" s="3">
        <v>0.0</v>
      </c>
      <c r="E85" s="3">
        <v>1.0</v>
      </c>
      <c r="F85" s="3">
        <v>15.0</v>
      </c>
      <c r="G85" s="3" t="b">
        <f t="shared" si="1"/>
        <v>0</v>
      </c>
      <c r="H85" s="3">
        <v>2.0</v>
      </c>
      <c r="I85" s="3">
        <v>1.0</v>
      </c>
      <c r="J85" s="3">
        <v>0.28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3">
        <v>85.0</v>
      </c>
      <c r="B86" s="4">
        <v>40547.0</v>
      </c>
      <c r="C86" s="3">
        <v>1.0</v>
      </c>
      <c r="D86" s="3">
        <v>0.0</v>
      </c>
      <c r="E86" s="3">
        <v>1.0</v>
      </c>
      <c r="F86" s="3">
        <v>16.0</v>
      </c>
      <c r="G86" s="3" t="b">
        <f t="shared" si="1"/>
        <v>0</v>
      </c>
      <c r="H86" s="3">
        <v>2.0</v>
      </c>
      <c r="I86" s="3">
        <v>1.0</v>
      </c>
      <c r="J86" s="3">
        <v>0.3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3">
        <v>86.0</v>
      </c>
      <c r="B87" s="4">
        <v>40547.0</v>
      </c>
      <c r="C87" s="3">
        <v>1.0</v>
      </c>
      <c r="D87" s="3">
        <v>0.0</v>
      </c>
      <c r="E87" s="3">
        <v>1.0</v>
      </c>
      <c r="F87" s="3">
        <v>17.0</v>
      </c>
      <c r="G87" s="3" t="b">
        <f t="shared" si="1"/>
        <v>0</v>
      </c>
      <c r="H87" s="3">
        <v>2.0</v>
      </c>
      <c r="I87" s="3">
        <v>1.0</v>
      </c>
      <c r="J87" s="3">
        <v>0.28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3">
        <v>87.0</v>
      </c>
      <c r="B88" s="4">
        <v>40547.0</v>
      </c>
      <c r="C88" s="3">
        <v>1.0</v>
      </c>
      <c r="D88" s="3">
        <v>0.0</v>
      </c>
      <c r="E88" s="3">
        <v>1.0</v>
      </c>
      <c r="F88" s="3">
        <v>18.0</v>
      </c>
      <c r="G88" s="3" t="b">
        <f t="shared" si="1"/>
        <v>0</v>
      </c>
      <c r="H88" s="3">
        <v>2.0</v>
      </c>
      <c r="I88" s="3">
        <v>1.0</v>
      </c>
      <c r="J88" s="3">
        <v>0.26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3">
        <v>88.0</v>
      </c>
      <c r="B89" s="4">
        <v>40547.0</v>
      </c>
      <c r="C89" s="3">
        <v>1.0</v>
      </c>
      <c r="D89" s="3">
        <v>0.0</v>
      </c>
      <c r="E89" s="3">
        <v>1.0</v>
      </c>
      <c r="F89" s="3">
        <v>19.0</v>
      </c>
      <c r="G89" s="3" t="b">
        <f t="shared" si="1"/>
        <v>0</v>
      </c>
      <c r="H89" s="3">
        <v>2.0</v>
      </c>
      <c r="I89" s="3">
        <v>1.0</v>
      </c>
      <c r="J89" s="3">
        <v>0.24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3">
        <v>89.0</v>
      </c>
      <c r="B90" s="4">
        <v>40547.0</v>
      </c>
      <c r="C90" s="3">
        <v>1.0</v>
      </c>
      <c r="D90" s="3">
        <v>0.0</v>
      </c>
      <c r="E90" s="3">
        <v>1.0</v>
      </c>
      <c r="F90" s="3">
        <v>20.0</v>
      </c>
      <c r="G90" s="3" t="b">
        <f t="shared" si="1"/>
        <v>0</v>
      </c>
      <c r="H90" s="3">
        <v>2.0</v>
      </c>
      <c r="I90" s="3">
        <v>1.0</v>
      </c>
      <c r="J90" s="3">
        <v>0.24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3">
        <v>90.0</v>
      </c>
      <c r="B91" s="4">
        <v>40547.0</v>
      </c>
      <c r="C91" s="3">
        <v>1.0</v>
      </c>
      <c r="D91" s="3">
        <v>0.0</v>
      </c>
      <c r="E91" s="3">
        <v>1.0</v>
      </c>
      <c r="F91" s="3">
        <v>21.0</v>
      </c>
      <c r="G91" s="3" t="b">
        <f t="shared" si="1"/>
        <v>0</v>
      </c>
      <c r="H91" s="3">
        <v>2.0</v>
      </c>
      <c r="I91" s="3">
        <v>1.0</v>
      </c>
      <c r="J91" s="3">
        <v>0.22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3">
        <v>91.0</v>
      </c>
      <c r="B92" s="4">
        <v>40547.0</v>
      </c>
      <c r="C92" s="3">
        <v>1.0</v>
      </c>
      <c r="D92" s="3">
        <v>0.0</v>
      </c>
      <c r="E92" s="3">
        <v>1.0</v>
      </c>
      <c r="F92" s="3">
        <v>22.0</v>
      </c>
      <c r="G92" s="3" t="b">
        <f t="shared" si="1"/>
        <v>0</v>
      </c>
      <c r="H92" s="3">
        <v>2.0</v>
      </c>
      <c r="I92" s="3">
        <v>1.0</v>
      </c>
      <c r="J92" s="3">
        <v>0.22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3">
        <v>92.0</v>
      </c>
      <c r="B93" s="4">
        <v>40547.0</v>
      </c>
      <c r="C93" s="3">
        <v>1.0</v>
      </c>
      <c r="D93" s="3">
        <v>0.0</v>
      </c>
      <c r="E93" s="3">
        <v>1.0</v>
      </c>
      <c r="F93" s="3">
        <v>23.0</v>
      </c>
      <c r="G93" s="3" t="b">
        <f t="shared" si="1"/>
        <v>0</v>
      </c>
      <c r="H93" s="3">
        <v>2.0</v>
      </c>
      <c r="I93" s="3">
        <v>1.0</v>
      </c>
      <c r="J93" s="3">
        <v>0.2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3">
        <v>93.0</v>
      </c>
      <c r="B94" s="4">
        <v>40548.0</v>
      </c>
      <c r="C94" s="3">
        <v>1.0</v>
      </c>
      <c r="D94" s="3">
        <v>0.0</v>
      </c>
      <c r="E94" s="3">
        <v>1.0</v>
      </c>
      <c r="F94" s="3">
        <v>0.0</v>
      </c>
      <c r="G94" s="3" t="b">
        <f t="shared" si="1"/>
        <v>0</v>
      </c>
      <c r="H94" s="3">
        <v>3.0</v>
      </c>
      <c r="I94" s="3">
        <v>1.0</v>
      </c>
      <c r="J94" s="3">
        <v>0.2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3">
        <v>94.0</v>
      </c>
      <c r="B95" s="4">
        <v>40548.0</v>
      </c>
      <c r="C95" s="3">
        <v>1.0</v>
      </c>
      <c r="D95" s="3">
        <v>0.0</v>
      </c>
      <c r="E95" s="3">
        <v>1.0</v>
      </c>
      <c r="F95" s="3">
        <v>1.0</v>
      </c>
      <c r="G95" s="3" t="b">
        <f t="shared" si="1"/>
        <v>0</v>
      </c>
      <c r="H95" s="3">
        <v>3.0</v>
      </c>
      <c r="I95" s="3">
        <v>1.0</v>
      </c>
      <c r="J95" s="3">
        <v>0.16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3">
        <v>95.0</v>
      </c>
      <c r="B96" s="4">
        <v>40548.0</v>
      </c>
      <c r="C96" s="3">
        <v>1.0</v>
      </c>
      <c r="D96" s="3">
        <v>0.0</v>
      </c>
      <c r="E96" s="3">
        <v>1.0</v>
      </c>
      <c r="F96" s="3">
        <v>2.0</v>
      </c>
      <c r="G96" s="3" t="b">
        <f t="shared" si="1"/>
        <v>0</v>
      </c>
      <c r="H96" s="3">
        <v>3.0</v>
      </c>
      <c r="I96" s="3">
        <v>1.0</v>
      </c>
      <c r="J96" s="3">
        <v>0.16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3">
        <v>96.0</v>
      </c>
      <c r="B97" s="4">
        <v>40548.0</v>
      </c>
      <c r="C97" s="3">
        <v>1.0</v>
      </c>
      <c r="D97" s="3">
        <v>0.0</v>
      </c>
      <c r="E97" s="3">
        <v>1.0</v>
      </c>
      <c r="F97" s="3">
        <v>4.0</v>
      </c>
      <c r="G97" s="3" t="b">
        <f t="shared" si="1"/>
        <v>0</v>
      </c>
      <c r="H97" s="3">
        <v>3.0</v>
      </c>
      <c r="I97" s="3">
        <v>1.0</v>
      </c>
      <c r="J97" s="3">
        <v>0.24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3">
        <v>97.0</v>
      </c>
      <c r="B98" s="4">
        <v>40548.0</v>
      </c>
      <c r="C98" s="3">
        <v>1.0</v>
      </c>
      <c r="D98" s="3">
        <v>0.0</v>
      </c>
      <c r="E98" s="3">
        <v>1.0</v>
      </c>
      <c r="F98" s="3">
        <v>5.0</v>
      </c>
      <c r="G98" s="3" t="b">
        <f t="shared" si="1"/>
        <v>0</v>
      </c>
      <c r="H98" s="3">
        <v>3.0</v>
      </c>
      <c r="I98" s="3">
        <v>1.0</v>
      </c>
      <c r="J98" s="3">
        <v>0.22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3">
        <v>98.0</v>
      </c>
      <c r="B99" s="4">
        <v>40548.0</v>
      </c>
      <c r="C99" s="3">
        <v>1.0</v>
      </c>
      <c r="D99" s="3">
        <v>0.0</v>
      </c>
      <c r="E99" s="3">
        <v>1.0</v>
      </c>
      <c r="F99" s="3">
        <v>6.0</v>
      </c>
      <c r="G99" s="3" t="b">
        <f t="shared" si="1"/>
        <v>0</v>
      </c>
      <c r="H99" s="3">
        <v>3.0</v>
      </c>
      <c r="I99" s="3">
        <v>1.0</v>
      </c>
      <c r="J99" s="3">
        <v>0.2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3">
        <v>99.0</v>
      </c>
      <c r="B100" s="4">
        <v>40548.0</v>
      </c>
      <c r="C100" s="3">
        <v>1.0</v>
      </c>
      <c r="D100" s="3">
        <v>0.0</v>
      </c>
      <c r="E100" s="3">
        <v>1.0</v>
      </c>
      <c r="F100" s="3">
        <v>7.0</v>
      </c>
      <c r="G100" s="3" t="b">
        <f t="shared" si="1"/>
        <v>0</v>
      </c>
      <c r="H100" s="3">
        <v>3.0</v>
      </c>
      <c r="I100" s="3">
        <v>1.0</v>
      </c>
      <c r="J100" s="3">
        <v>0.18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3">
        <v>100.0</v>
      </c>
      <c r="B101" s="4">
        <v>40548.0</v>
      </c>
      <c r="C101" s="3">
        <v>1.0</v>
      </c>
      <c r="D101" s="3">
        <v>0.0</v>
      </c>
      <c r="E101" s="3">
        <v>1.0</v>
      </c>
      <c r="F101" s="3">
        <v>8.0</v>
      </c>
      <c r="G101" s="3" t="b">
        <f t="shared" si="1"/>
        <v>0</v>
      </c>
      <c r="H101" s="3">
        <v>3.0</v>
      </c>
      <c r="I101" s="3">
        <v>1.0</v>
      </c>
      <c r="J101" s="3">
        <v>0.2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3">
        <v>101.0</v>
      </c>
      <c r="B102" s="4">
        <v>40548.0</v>
      </c>
      <c r="C102" s="3">
        <v>1.0</v>
      </c>
      <c r="D102" s="3">
        <v>0.0</v>
      </c>
      <c r="E102" s="3">
        <v>1.0</v>
      </c>
      <c r="F102" s="3">
        <v>9.0</v>
      </c>
      <c r="G102" s="3" t="b">
        <f t="shared" si="1"/>
        <v>0</v>
      </c>
      <c r="H102" s="3">
        <v>3.0</v>
      </c>
      <c r="I102" s="3">
        <v>1.0</v>
      </c>
      <c r="J102" s="3">
        <v>0.22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3">
        <v>102.0</v>
      </c>
      <c r="B103" s="4">
        <v>40548.0</v>
      </c>
      <c r="C103" s="3">
        <v>1.0</v>
      </c>
      <c r="D103" s="3">
        <v>0.0</v>
      </c>
      <c r="E103" s="3">
        <v>1.0</v>
      </c>
      <c r="F103" s="3">
        <v>10.0</v>
      </c>
      <c r="G103" s="3" t="b">
        <f t="shared" si="1"/>
        <v>0</v>
      </c>
      <c r="H103" s="3">
        <v>3.0</v>
      </c>
      <c r="I103" s="3">
        <v>1.0</v>
      </c>
      <c r="J103" s="3">
        <v>0.22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3">
        <v>103.0</v>
      </c>
      <c r="B104" s="4">
        <v>40548.0</v>
      </c>
      <c r="C104" s="3">
        <v>1.0</v>
      </c>
      <c r="D104" s="3">
        <v>0.0</v>
      </c>
      <c r="E104" s="3">
        <v>1.0</v>
      </c>
      <c r="F104" s="3">
        <v>11.0</v>
      </c>
      <c r="G104" s="3" t="b">
        <f t="shared" si="1"/>
        <v>0</v>
      </c>
      <c r="H104" s="3">
        <v>3.0</v>
      </c>
      <c r="I104" s="3">
        <v>1.0</v>
      </c>
      <c r="J104" s="3">
        <v>0.26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3">
        <v>104.0</v>
      </c>
      <c r="B105" s="4">
        <v>40548.0</v>
      </c>
      <c r="C105" s="3">
        <v>1.0</v>
      </c>
      <c r="D105" s="3">
        <v>0.0</v>
      </c>
      <c r="E105" s="3">
        <v>1.0</v>
      </c>
      <c r="F105" s="3">
        <v>12.0</v>
      </c>
      <c r="G105" s="3" t="b">
        <f t="shared" si="1"/>
        <v>0</v>
      </c>
      <c r="H105" s="3">
        <v>3.0</v>
      </c>
      <c r="I105" s="3">
        <v>1.0</v>
      </c>
      <c r="J105" s="3">
        <v>0.26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3">
        <v>105.0</v>
      </c>
      <c r="B106" s="4">
        <v>40548.0</v>
      </c>
      <c r="C106" s="3">
        <v>1.0</v>
      </c>
      <c r="D106" s="3">
        <v>0.0</v>
      </c>
      <c r="E106" s="3">
        <v>1.0</v>
      </c>
      <c r="F106" s="3">
        <v>13.0</v>
      </c>
      <c r="G106" s="3" t="b">
        <f t="shared" si="1"/>
        <v>0</v>
      </c>
      <c r="H106" s="3">
        <v>3.0</v>
      </c>
      <c r="I106" s="3">
        <v>1.0</v>
      </c>
      <c r="J106" s="3">
        <v>0.28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3">
        <v>106.0</v>
      </c>
      <c r="B107" s="4">
        <v>40548.0</v>
      </c>
      <c r="C107" s="3">
        <v>1.0</v>
      </c>
      <c r="D107" s="3">
        <v>0.0</v>
      </c>
      <c r="E107" s="3">
        <v>1.0</v>
      </c>
      <c r="F107" s="3">
        <v>14.0</v>
      </c>
      <c r="G107" s="3" t="b">
        <f t="shared" si="1"/>
        <v>0</v>
      </c>
      <c r="H107" s="3">
        <v>3.0</v>
      </c>
      <c r="I107" s="3">
        <v>1.0</v>
      </c>
      <c r="J107" s="3">
        <v>0.3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3">
        <v>107.0</v>
      </c>
      <c r="B108" s="4">
        <v>40548.0</v>
      </c>
      <c r="C108" s="3">
        <v>1.0</v>
      </c>
      <c r="D108" s="3">
        <v>0.0</v>
      </c>
      <c r="E108" s="3">
        <v>1.0</v>
      </c>
      <c r="F108" s="3">
        <v>15.0</v>
      </c>
      <c r="G108" s="3" t="b">
        <f t="shared" si="1"/>
        <v>0</v>
      </c>
      <c r="H108" s="3">
        <v>3.0</v>
      </c>
      <c r="I108" s="3">
        <v>1.0</v>
      </c>
      <c r="J108" s="3">
        <v>0.3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3">
        <v>108.0</v>
      </c>
      <c r="B109" s="4">
        <v>40548.0</v>
      </c>
      <c r="C109" s="3">
        <v>1.0</v>
      </c>
      <c r="D109" s="3">
        <v>0.0</v>
      </c>
      <c r="E109" s="3">
        <v>1.0</v>
      </c>
      <c r="F109" s="3">
        <v>16.0</v>
      </c>
      <c r="G109" s="3" t="b">
        <f t="shared" si="1"/>
        <v>0</v>
      </c>
      <c r="H109" s="3">
        <v>3.0</v>
      </c>
      <c r="I109" s="3">
        <v>1.0</v>
      </c>
      <c r="J109" s="3">
        <v>0.3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3">
        <v>109.0</v>
      </c>
      <c r="B110" s="4">
        <v>40548.0</v>
      </c>
      <c r="C110" s="3">
        <v>1.0</v>
      </c>
      <c r="D110" s="3">
        <v>0.0</v>
      </c>
      <c r="E110" s="3">
        <v>1.0</v>
      </c>
      <c r="F110" s="3">
        <v>17.0</v>
      </c>
      <c r="G110" s="3" t="b">
        <f t="shared" si="1"/>
        <v>0</v>
      </c>
      <c r="H110" s="3">
        <v>3.0</v>
      </c>
      <c r="I110" s="3">
        <v>1.0</v>
      </c>
      <c r="J110" s="3">
        <v>0.24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3">
        <v>110.0</v>
      </c>
      <c r="B111" s="4">
        <v>40548.0</v>
      </c>
      <c r="C111" s="3">
        <v>1.0</v>
      </c>
      <c r="D111" s="3">
        <v>0.0</v>
      </c>
      <c r="E111" s="3">
        <v>1.0</v>
      </c>
      <c r="F111" s="3">
        <v>18.0</v>
      </c>
      <c r="G111" s="3" t="b">
        <f t="shared" si="1"/>
        <v>0</v>
      </c>
      <c r="H111" s="3">
        <v>3.0</v>
      </c>
      <c r="I111" s="3">
        <v>1.0</v>
      </c>
      <c r="J111" s="3">
        <v>0.24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3">
        <v>111.0</v>
      </c>
      <c r="B112" s="4">
        <v>40548.0</v>
      </c>
      <c r="C112" s="3">
        <v>1.0</v>
      </c>
      <c r="D112" s="3">
        <v>0.0</v>
      </c>
      <c r="E112" s="3">
        <v>1.0</v>
      </c>
      <c r="F112" s="3">
        <v>19.0</v>
      </c>
      <c r="G112" s="3" t="b">
        <f t="shared" si="1"/>
        <v>0</v>
      </c>
      <c r="H112" s="3">
        <v>3.0</v>
      </c>
      <c r="I112" s="3">
        <v>1.0</v>
      </c>
      <c r="J112" s="3">
        <v>0.24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3">
        <v>112.0</v>
      </c>
      <c r="B113" s="4">
        <v>40548.0</v>
      </c>
      <c r="C113" s="3">
        <v>1.0</v>
      </c>
      <c r="D113" s="3">
        <v>0.0</v>
      </c>
      <c r="E113" s="3">
        <v>1.0</v>
      </c>
      <c r="F113" s="3">
        <v>20.0</v>
      </c>
      <c r="G113" s="3" t="b">
        <f t="shared" si="1"/>
        <v>0</v>
      </c>
      <c r="H113" s="3">
        <v>3.0</v>
      </c>
      <c r="I113" s="3">
        <v>1.0</v>
      </c>
      <c r="J113" s="3">
        <v>0.22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3">
        <v>113.0</v>
      </c>
      <c r="B114" s="4">
        <v>40548.0</v>
      </c>
      <c r="C114" s="3">
        <v>1.0</v>
      </c>
      <c r="D114" s="3">
        <v>0.0</v>
      </c>
      <c r="E114" s="3">
        <v>1.0</v>
      </c>
      <c r="F114" s="3">
        <v>21.0</v>
      </c>
      <c r="G114" s="3" t="b">
        <f t="shared" si="1"/>
        <v>0</v>
      </c>
      <c r="H114" s="3">
        <v>3.0</v>
      </c>
      <c r="I114" s="3">
        <v>1.0</v>
      </c>
      <c r="J114" s="3">
        <v>0.2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3">
        <v>114.0</v>
      </c>
      <c r="B115" s="4">
        <v>40548.0</v>
      </c>
      <c r="C115" s="3">
        <v>1.0</v>
      </c>
      <c r="D115" s="3">
        <v>0.0</v>
      </c>
      <c r="E115" s="3">
        <v>1.0</v>
      </c>
      <c r="F115" s="3">
        <v>22.0</v>
      </c>
      <c r="G115" s="3" t="b">
        <f t="shared" si="1"/>
        <v>0</v>
      </c>
      <c r="H115" s="3">
        <v>3.0</v>
      </c>
      <c r="I115" s="3">
        <v>1.0</v>
      </c>
      <c r="J115" s="3">
        <v>0.18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3">
        <v>115.0</v>
      </c>
      <c r="B116" s="4">
        <v>40548.0</v>
      </c>
      <c r="C116" s="3">
        <v>1.0</v>
      </c>
      <c r="D116" s="3">
        <v>0.0</v>
      </c>
      <c r="E116" s="3">
        <v>1.0</v>
      </c>
      <c r="F116" s="3">
        <v>23.0</v>
      </c>
      <c r="G116" s="3" t="b">
        <f t="shared" si="1"/>
        <v>0</v>
      </c>
      <c r="H116" s="3">
        <v>3.0</v>
      </c>
      <c r="I116" s="3">
        <v>1.0</v>
      </c>
      <c r="J116" s="3">
        <v>0.2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3">
        <v>116.0</v>
      </c>
      <c r="B117" s="4">
        <v>40549.0</v>
      </c>
      <c r="C117" s="3">
        <v>1.0</v>
      </c>
      <c r="D117" s="3">
        <v>0.0</v>
      </c>
      <c r="E117" s="3">
        <v>1.0</v>
      </c>
      <c r="F117" s="3">
        <v>0.0</v>
      </c>
      <c r="G117" s="3" t="b">
        <f t="shared" si="1"/>
        <v>0</v>
      </c>
      <c r="H117" s="3">
        <v>4.0</v>
      </c>
      <c r="I117" s="3">
        <v>1.0</v>
      </c>
      <c r="J117" s="3">
        <v>0.18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3">
        <v>117.0</v>
      </c>
      <c r="B118" s="4">
        <v>40549.0</v>
      </c>
      <c r="C118" s="3">
        <v>1.0</v>
      </c>
      <c r="D118" s="3">
        <v>0.0</v>
      </c>
      <c r="E118" s="3">
        <v>1.0</v>
      </c>
      <c r="F118" s="3">
        <v>1.0</v>
      </c>
      <c r="G118" s="3" t="b">
        <f t="shared" si="1"/>
        <v>0</v>
      </c>
      <c r="H118" s="3">
        <v>4.0</v>
      </c>
      <c r="I118" s="3">
        <v>1.0</v>
      </c>
      <c r="J118" s="3">
        <v>0.16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3">
        <v>118.0</v>
      </c>
      <c r="B119" s="4">
        <v>40549.0</v>
      </c>
      <c r="C119" s="3">
        <v>1.0</v>
      </c>
      <c r="D119" s="3">
        <v>0.0</v>
      </c>
      <c r="E119" s="3">
        <v>1.0</v>
      </c>
      <c r="F119" s="3">
        <v>2.0</v>
      </c>
      <c r="G119" s="3" t="b">
        <f t="shared" si="1"/>
        <v>0</v>
      </c>
      <c r="H119" s="3">
        <v>4.0</v>
      </c>
      <c r="I119" s="3">
        <v>1.0</v>
      </c>
      <c r="J119" s="3">
        <v>0.16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3">
        <v>119.0</v>
      </c>
      <c r="B120" s="4">
        <v>40549.0</v>
      </c>
      <c r="C120" s="3">
        <v>1.0</v>
      </c>
      <c r="D120" s="3">
        <v>0.0</v>
      </c>
      <c r="E120" s="3">
        <v>1.0</v>
      </c>
      <c r="F120" s="3">
        <v>4.0</v>
      </c>
      <c r="G120" s="3" t="b">
        <f t="shared" si="1"/>
        <v>0</v>
      </c>
      <c r="H120" s="3">
        <v>4.0</v>
      </c>
      <c r="I120" s="3">
        <v>2.0</v>
      </c>
      <c r="J120" s="3">
        <v>0.16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3">
        <v>120.0</v>
      </c>
      <c r="B121" s="4">
        <v>40549.0</v>
      </c>
      <c r="C121" s="3">
        <v>1.0</v>
      </c>
      <c r="D121" s="3">
        <v>0.0</v>
      </c>
      <c r="E121" s="3">
        <v>1.0</v>
      </c>
      <c r="F121" s="3">
        <v>5.0</v>
      </c>
      <c r="G121" s="3" t="b">
        <f t="shared" si="1"/>
        <v>0</v>
      </c>
      <c r="H121" s="3">
        <v>4.0</v>
      </c>
      <c r="I121" s="3">
        <v>2.0</v>
      </c>
      <c r="J121" s="3">
        <v>0.14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3">
        <v>121.0</v>
      </c>
      <c r="B122" s="4">
        <v>40549.0</v>
      </c>
      <c r="C122" s="3">
        <v>1.0</v>
      </c>
      <c r="D122" s="3">
        <v>0.0</v>
      </c>
      <c r="E122" s="3">
        <v>1.0</v>
      </c>
      <c r="F122" s="3">
        <v>6.0</v>
      </c>
      <c r="G122" s="3" t="b">
        <f t="shared" si="1"/>
        <v>0</v>
      </c>
      <c r="H122" s="3">
        <v>4.0</v>
      </c>
      <c r="I122" s="3">
        <v>2.0</v>
      </c>
      <c r="J122" s="3">
        <v>0.14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3">
        <v>122.0</v>
      </c>
      <c r="B123" s="4">
        <v>40549.0</v>
      </c>
      <c r="C123" s="3">
        <v>1.0</v>
      </c>
      <c r="D123" s="3">
        <v>0.0</v>
      </c>
      <c r="E123" s="3">
        <v>1.0</v>
      </c>
      <c r="F123" s="3">
        <v>7.0</v>
      </c>
      <c r="G123" s="3" t="b">
        <f t="shared" si="1"/>
        <v>0</v>
      </c>
      <c r="H123" s="3">
        <v>4.0</v>
      </c>
      <c r="I123" s="3">
        <v>2.0</v>
      </c>
      <c r="J123" s="3">
        <v>0.16</v>
      </c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3">
        <v>123.0</v>
      </c>
      <c r="B124" s="4">
        <v>40549.0</v>
      </c>
      <c r="C124" s="3">
        <v>1.0</v>
      </c>
      <c r="D124" s="3">
        <v>0.0</v>
      </c>
      <c r="E124" s="3">
        <v>1.0</v>
      </c>
      <c r="F124" s="3">
        <v>8.0</v>
      </c>
      <c r="G124" s="3" t="b">
        <f t="shared" si="1"/>
        <v>0</v>
      </c>
      <c r="H124" s="3">
        <v>4.0</v>
      </c>
      <c r="I124" s="3">
        <v>1.0</v>
      </c>
      <c r="J124" s="3">
        <v>0.16</v>
      </c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3">
        <v>124.0</v>
      </c>
      <c r="B125" s="4">
        <v>40549.0</v>
      </c>
      <c r="C125" s="3">
        <v>1.0</v>
      </c>
      <c r="D125" s="3">
        <v>0.0</v>
      </c>
      <c r="E125" s="3">
        <v>1.0</v>
      </c>
      <c r="F125" s="3">
        <v>9.0</v>
      </c>
      <c r="G125" s="3" t="b">
        <f t="shared" si="1"/>
        <v>0</v>
      </c>
      <c r="H125" s="3">
        <v>4.0</v>
      </c>
      <c r="I125" s="3">
        <v>2.0</v>
      </c>
      <c r="J125" s="3">
        <v>0.18</v>
      </c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3">
        <v>125.0</v>
      </c>
      <c r="B126" s="4">
        <v>40549.0</v>
      </c>
      <c r="C126" s="3">
        <v>1.0</v>
      </c>
      <c r="D126" s="3">
        <v>0.0</v>
      </c>
      <c r="E126" s="3">
        <v>1.0</v>
      </c>
      <c r="F126" s="3">
        <v>10.0</v>
      </c>
      <c r="G126" s="3" t="b">
        <f t="shared" si="1"/>
        <v>0</v>
      </c>
      <c r="H126" s="3">
        <v>4.0</v>
      </c>
      <c r="I126" s="3">
        <v>1.0</v>
      </c>
      <c r="J126" s="3">
        <v>0.2</v>
      </c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3">
        <v>126.0</v>
      </c>
      <c r="B127" s="4">
        <v>40549.0</v>
      </c>
      <c r="C127" s="3">
        <v>1.0</v>
      </c>
      <c r="D127" s="3">
        <v>0.0</v>
      </c>
      <c r="E127" s="3">
        <v>1.0</v>
      </c>
      <c r="F127" s="3">
        <v>11.0</v>
      </c>
      <c r="G127" s="3" t="b">
        <f t="shared" si="1"/>
        <v>0</v>
      </c>
      <c r="H127" s="3">
        <v>4.0</v>
      </c>
      <c r="I127" s="3">
        <v>1.0</v>
      </c>
      <c r="J127" s="3">
        <v>0.22</v>
      </c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3">
        <v>127.0</v>
      </c>
      <c r="B128" s="4">
        <v>40549.0</v>
      </c>
      <c r="C128" s="3">
        <v>1.0</v>
      </c>
      <c r="D128" s="3">
        <v>0.0</v>
      </c>
      <c r="E128" s="3">
        <v>1.0</v>
      </c>
      <c r="F128" s="3">
        <v>12.0</v>
      </c>
      <c r="G128" s="3" t="b">
        <f t="shared" si="1"/>
        <v>0</v>
      </c>
      <c r="H128" s="3">
        <v>4.0</v>
      </c>
      <c r="I128" s="3">
        <v>1.0</v>
      </c>
      <c r="J128" s="3">
        <v>0.26</v>
      </c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3">
        <v>128.0</v>
      </c>
      <c r="B129" s="4">
        <v>40549.0</v>
      </c>
      <c r="C129" s="3">
        <v>1.0</v>
      </c>
      <c r="D129" s="3">
        <v>0.0</v>
      </c>
      <c r="E129" s="3">
        <v>1.0</v>
      </c>
      <c r="F129" s="3">
        <v>13.0</v>
      </c>
      <c r="G129" s="3" t="b">
        <f t="shared" si="1"/>
        <v>0</v>
      </c>
      <c r="H129" s="3">
        <v>4.0</v>
      </c>
      <c r="I129" s="3">
        <v>1.0</v>
      </c>
      <c r="J129" s="3">
        <v>0.26</v>
      </c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3">
        <v>129.0</v>
      </c>
      <c r="B130" s="4">
        <v>40549.0</v>
      </c>
      <c r="C130" s="3">
        <v>1.0</v>
      </c>
      <c r="D130" s="3">
        <v>0.0</v>
      </c>
      <c r="E130" s="3">
        <v>1.0</v>
      </c>
      <c r="F130" s="3">
        <v>14.0</v>
      </c>
      <c r="G130" s="3" t="b">
        <f t="shared" si="1"/>
        <v>0</v>
      </c>
      <c r="H130" s="3">
        <v>4.0</v>
      </c>
      <c r="I130" s="3">
        <v>1.0</v>
      </c>
      <c r="J130" s="3">
        <v>0.28</v>
      </c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3">
        <v>130.0</v>
      </c>
      <c r="B131" s="4">
        <v>40549.0</v>
      </c>
      <c r="C131" s="3">
        <v>1.0</v>
      </c>
      <c r="D131" s="3">
        <v>0.0</v>
      </c>
      <c r="E131" s="3">
        <v>1.0</v>
      </c>
      <c r="F131" s="3">
        <v>15.0</v>
      </c>
      <c r="G131" s="3" t="b">
        <f t="shared" si="1"/>
        <v>0</v>
      </c>
      <c r="H131" s="3">
        <v>4.0</v>
      </c>
      <c r="I131" s="3">
        <v>1.0</v>
      </c>
      <c r="J131" s="3">
        <v>0.28</v>
      </c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3">
        <v>131.0</v>
      </c>
      <c r="B132" s="4">
        <v>40549.0</v>
      </c>
      <c r="C132" s="3">
        <v>1.0</v>
      </c>
      <c r="D132" s="3">
        <v>0.0</v>
      </c>
      <c r="E132" s="3">
        <v>1.0</v>
      </c>
      <c r="F132" s="3">
        <v>16.0</v>
      </c>
      <c r="G132" s="3" t="b">
        <f t="shared" si="1"/>
        <v>0</v>
      </c>
      <c r="H132" s="3">
        <v>4.0</v>
      </c>
      <c r="I132" s="3">
        <v>1.0</v>
      </c>
      <c r="J132" s="3">
        <v>0.26</v>
      </c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3">
        <v>132.0</v>
      </c>
      <c r="B133" s="4">
        <v>40549.0</v>
      </c>
      <c r="C133" s="3">
        <v>1.0</v>
      </c>
      <c r="D133" s="3">
        <v>0.0</v>
      </c>
      <c r="E133" s="3">
        <v>1.0</v>
      </c>
      <c r="F133" s="3">
        <v>17.0</v>
      </c>
      <c r="G133" s="3" t="b">
        <f t="shared" si="1"/>
        <v>0</v>
      </c>
      <c r="H133" s="3">
        <v>4.0</v>
      </c>
      <c r="I133" s="3">
        <v>1.0</v>
      </c>
      <c r="J133" s="3">
        <v>0.22</v>
      </c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3">
        <v>133.0</v>
      </c>
      <c r="B134" s="4">
        <v>40549.0</v>
      </c>
      <c r="C134" s="3">
        <v>1.0</v>
      </c>
      <c r="D134" s="3">
        <v>0.0</v>
      </c>
      <c r="E134" s="3">
        <v>1.0</v>
      </c>
      <c r="F134" s="3">
        <v>18.0</v>
      </c>
      <c r="G134" s="3" t="b">
        <f t="shared" si="1"/>
        <v>0</v>
      </c>
      <c r="H134" s="3">
        <v>4.0</v>
      </c>
      <c r="I134" s="3">
        <v>1.0</v>
      </c>
      <c r="J134" s="3">
        <v>0.22</v>
      </c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3">
        <v>134.0</v>
      </c>
      <c r="B135" s="4">
        <v>40549.0</v>
      </c>
      <c r="C135" s="3">
        <v>1.0</v>
      </c>
      <c r="D135" s="3">
        <v>0.0</v>
      </c>
      <c r="E135" s="3">
        <v>1.0</v>
      </c>
      <c r="F135" s="3">
        <v>19.0</v>
      </c>
      <c r="G135" s="3" t="b">
        <f t="shared" si="1"/>
        <v>0</v>
      </c>
      <c r="H135" s="3">
        <v>4.0</v>
      </c>
      <c r="I135" s="3">
        <v>1.0</v>
      </c>
      <c r="J135" s="3">
        <v>0.22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3">
        <v>135.0</v>
      </c>
      <c r="B136" s="4">
        <v>40549.0</v>
      </c>
      <c r="C136" s="3">
        <v>1.0</v>
      </c>
      <c r="D136" s="3">
        <v>0.0</v>
      </c>
      <c r="E136" s="3">
        <v>1.0</v>
      </c>
      <c r="F136" s="3">
        <v>20.0</v>
      </c>
      <c r="G136" s="3" t="b">
        <f t="shared" si="1"/>
        <v>0</v>
      </c>
      <c r="H136" s="3">
        <v>4.0</v>
      </c>
      <c r="I136" s="3">
        <v>1.0</v>
      </c>
      <c r="J136" s="3">
        <v>0.2</v>
      </c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3">
        <v>136.0</v>
      </c>
      <c r="B137" s="4">
        <v>40549.0</v>
      </c>
      <c r="C137" s="3">
        <v>1.0</v>
      </c>
      <c r="D137" s="3">
        <v>0.0</v>
      </c>
      <c r="E137" s="3">
        <v>1.0</v>
      </c>
      <c r="F137" s="3">
        <v>21.0</v>
      </c>
      <c r="G137" s="3" t="b">
        <f t="shared" si="1"/>
        <v>0</v>
      </c>
      <c r="H137" s="3">
        <v>4.0</v>
      </c>
      <c r="I137" s="3">
        <v>2.0</v>
      </c>
      <c r="J137" s="3">
        <v>0.22</v>
      </c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3">
        <v>137.0</v>
      </c>
      <c r="B138" s="4">
        <v>40549.0</v>
      </c>
      <c r="C138" s="3">
        <v>1.0</v>
      </c>
      <c r="D138" s="3">
        <v>0.0</v>
      </c>
      <c r="E138" s="3">
        <v>1.0</v>
      </c>
      <c r="F138" s="3">
        <v>22.0</v>
      </c>
      <c r="G138" s="3" t="b">
        <f t="shared" si="1"/>
        <v>0</v>
      </c>
      <c r="H138" s="3">
        <v>4.0</v>
      </c>
      <c r="I138" s="3">
        <v>2.0</v>
      </c>
      <c r="J138" s="3">
        <v>0.22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3">
        <v>138.0</v>
      </c>
      <c r="B139" s="4">
        <v>40549.0</v>
      </c>
      <c r="C139" s="3">
        <v>1.0</v>
      </c>
      <c r="D139" s="3">
        <v>0.0</v>
      </c>
      <c r="E139" s="3">
        <v>1.0</v>
      </c>
      <c r="F139" s="3">
        <v>23.0</v>
      </c>
      <c r="G139" s="3" t="b">
        <f t="shared" si="1"/>
        <v>0</v>
      </c>
      <c r="H139" s="3">
        <v>4.0</v>
      </c>
      <c r="I139" s="3">
        <v>2.0</v>
      </c>
      <c r="J139" s="3">
        <v>0.2</v>
      </c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3">
        <v>139.0</v>
      </c>
      <c r="B140" s="4">
        <v>40550.0</v>
      </c>
      <c r="C140" s="3">
        <v>1.0</v>
      </c>
      <c r="D140" s="3">
        <v>0.0</v>
      </c>
      <c r="E140" s="3">
        <v>1.0</v>
      </c>
      <c r="F140" s="3">
        <v>0.0</v>
      </c>
      <c r="G140" s="3" t="b">
        <f t="shared" si="1"/>
        <v>0</v>
      </c>
      <c r="H140" s="3">
        <v>5.0</v>
      </c>
      <c r="I140" s="3">
        <v>2.0</v>
      </c>
      <c r="J140" s="3">
        <v>0.2</v>
      </c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3">
        <v>140.0</v>
      </c>
      <c r="B141" s="4">
        <v>40550.0</v>
      </c>
      <c r="C141" s="3">
        <v>1.0</v>
      </c>
      <c r="D141" s="3">
        <v>0.0</v>
      </c>
      <c r="E141" s="3">
        <v>1.0</v>
      </c>
      <c r="F141" s="3">
        <v>1.0</v>
      </c>
      <c r="G141" s="3" t="b">
        <f t="shared" si="1"/>
        <v>0</v>
      </c>
      <c r="H141" s="3">
        <v>5.0</v>
      </c>
      <c r="I141" s="3">
        <v>2.0</v>
      </c>
      <c r="J141" s="3">
        <v>0.2</v>
      </c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3">
        <v>141.0</v>
      </c>
      <c r="B142" s="4">
        <v>40550.0</v>
      </c>
      <c r="C142" s="3">
        <v>1.0</v>
      </c>
      <c r="D142" s="3">
        <v>0.0</v>
      </c>
      <c r="E142" s="3">
        <v>1.0</v>
      </c>
      <c r="F142" s="3">
        <v>2.0</v>
      </c>
      <c r="G142" s="3" t="b">
        <f t="shared" si="1"/>
        <v>0</v>
      </c>
      <c r="H142" s="3">
        <v>5.0</v>
      </c>
      <c r="I142" s="3">
        <v>2.0</v>
      </c>
      <c r="J142" s="3">
        <v>0.2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3">
        <v>142.0</v>
      </c>
      <c r="B143" s="4">
        <v>40550.0</v>
      </c>
      <c r="C143" s="3">
        <v>1.0</v>
      </c>
      <c r="D143" s="3">
        <v>0.0</v>
      </c>
      <c r="E143" s="3">
        <v>1.0</v>
      </c>
      <c r="F143" s="3">
        <v>4.0</v>
      </c>
      <c r="G143" s="3" t="b">
        <f t="shared" si="1"/>
        <v>0</v>
      </c>
      <c r="H143" s="3">
        <v>5.0</v>
      </c>
      <c r="I143" s="3">
        <v>2.0</v>
      </c>
      <c r="J143" s="3">
        <v>0.2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3">
        <v>143.0</v>
      </c>
      <c r="B144" s="4">
        <v>40550.0</v>
      </c>
      <c r="C144" s="3">
        <v>1.0</v>
      </c>
      <c r="D144" s="3">
        <v>0.0</v>
      </c>
      <c r="E144" s="3">
        <v>1.0</v>
      </c>
      <c r="F144" s="3">
        <v>5.0</v>
      </c>
      <c r="G144" s="3" t="b">
        <f t="shared" si="1"/>
        <v>0</v>
      </c>
      <c r="H144" s="3">
        <v>5.0</v>
      </c>
      <c r="I144" s="3">
        <v>3.0</v>
      </c>
      <c r="J144" s="3">
        <v>0.22</v>
      </c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3">
        <v>144.0</v>
      </c>
      <c r="B145" s="4">
        <v>40550.0</v>
      </c>
      <c r="C145" s="3">
        <v>1.0</v>
      </c>
      <c r="D145" s="3">
        <v>0.0</v>
      </c>
      <c r="E145" s="3">
        <v>1.0</v>
      </c>
      <c r="F145" s="3">
        <v>6.0</v>
      </c>
      <c r="G145" s="3" t="b">
        <f t="shared" si="1"/>
        <v>0</v>
      </c>
      <c r="H145" s="3">
        <v>5.0</v>
      </c>
      <c r="I145" s="3">
        <v>2.0</v>
      </c>
      <c r="J145" s="3">
        <v>0.2</v>
      </c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3">
        <v>145.0</v>
      </c>
      <c r="B146" s="4">
        <v>40550.0</v>
      </c>
      <c r="C146" s="3">
        <v>1.0</v>
      </c>
      <c r="D146" s="3">
        <v>0.0</v>
      </c>
      <c r="E146" s="3">
        <v>1.0</v>
      </c>
      <c r="F146" s="3">
        <v>7.0</v>
      </c>
      <c r="G146" s="3" t="b">
        <f t="shared" si="1"/>
        <v>0</v>
      </c>
      <c r="H146" s="3">
        <v>5.0</v>
      </c>
      <c r="I146" s="3">
        <v>1.0</v>
      </c>
      <c r="J146" s="3">
        <v>0.2</v>
      </c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3">
        <v>146.0</v>
      </c>
      <c r="B147" s="4">
        <v>40550.0</v>
      </c>
      <c r="C147" s="3">
        <v>1.0</v>
      </c>
      <c r="D147" s="3">
        <v>0.0</v>
      </c>
      <c r="E147" s="3">
        <v>1.0</v>
      </c>
      <c r="F147" s="3">
        <v>8.0</v>
      </c>
      <c r="G147" s="3" t="b">
        <f t="shared" si="1"/>
        <v>0</v>
      </c>
      <c r="H147" s="3">
        <v>5.0</v>
      </c>
      <c r="I147" s="3">
        <v>1.0</v>
      </c>
      <c r="J147" s="3">
        <v>0.2</v>
      </c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3">
        <v>147.0</v>
      </c>
      <c r="B148" s="4">
        <v>40550.0</v>
      </c>
      <c r="C148" s="3">
        <v>1.0</v>
      </c>
      <c r="D148" s="3">
        <v>0.0</v>
      </c>
      <c r="E148" s="3">
        <v>1.0</v>
      </c>
      <c r="F148" s="3">
        <v>9.0</v>
      </c>
      <c r="G148" s="3" t="b">
        <f t="shared" si="1"/>
        <v>0</v>
      </c>
      <c r="H148" s="3">
        <v>5.0</v>
      </c>
      <c r="I148" s="3">
        <v>1.0</v>
      </c>
      <c r="J148" s="3">
        <v>0.2</v>
      </c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3">
        <v>148.0</v>
      </c>
      <c r="B149" s="4">
        <v>40550.0</v>
      </c>
      <c r="C149" s="3">
        <v>1.0</v>
      </c>
      <c r="D149" s="3">
        <v>0.0</v>
      </c>
      <c r="E149" s="3">
        <v>1.0</v>
      </c>
      <c r="F149" s="3">
        <v>10.0</v>
      </c>
      <c r="G149" s="3" t="b">
        <f t="shared" si="1"/>
        <v>0</v>
      </c>
      <c r="H149" s="3">
        <v>5.0</v>
      </c>
      <c r="I149" s="3">
        <v>1.0</v>
      </c>
      <c r="J149" s="3">
        <v>0.22</v>
      </c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3">
        <v>149.0</v>
      </c>
      <c r="B150" s="4">
        <v>40550.0</v>
      </c>
      <c r="C150" s="3">
        <v>1.0</v>
      </c>
      <c r="D150" s="3">
        <v>0.0</v>
      </c>
      <c r="E150" s="3">
        <v>1.0</v>
      </c>
      <c r="F150" s="3">
        <v>11.0</v>
      </c>
      <c r="G150" s="3" t="b">
        <f t="shared" si="1"/>
        <v>0</v>
      </c>
      <c r="H150" s="3">
        <v>5.0</v>
      </c>
      <c r="I150" s="3">
        <v>2.0</v>
      </c>
      <c r="J150" s="3">
        <v>0.2</v>
      </c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3">
        <v>150.0</v>
      </c>
      <c r="B151" s="4">
        <v>40550.0</v>
      </c>
      <c r="C151" s="3">
        <v>1.0</v>
      </c>
      <c r="D151" s="3">
        <v>0.0</v>
      </c>
      <c r="E151" s="3">
        <v>1.0</v>
      </c>
      <c r="F151" s="3">
        <v>12.0</v>
      </c>
      <c r="G151" s="3" t="b">
        <f t="shared" si="1"/>
        <v>0</v>
      </c>
      <c r="H151" s="3">
        <v>5.0</v>
      </c>
      <c r="I151" s="3">
        <v>2.0</v>
      </c>
      <c r="J151" s="3">
        <v>0.2</v>
      </c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3">
        <v>151.0</v>
      </c>
      <c r="B152" s="4">
        <v>40550.0</v>
      </c>
      <c r="C152" s="3">
        <v>1.0</v>
      </c>
      <c r="D152" s="3">
        <v>0.0</v>
      </c>
      <c r="E152" s="3">
        <v>1.0</v>
      </c>
      <c r="F152" s="3">
        <v>13.0</v>
      </c>
      <c r="G152" s="3" t="b">
        <f t="shared" si="1"/>
        <v>0</v>
      </c>
      <c r="H152" s="3">
        <v>5.0</v>
      </c>
      <c r="I152" s="3">
        <v>2.0</v>
      </c>
      <c r="J152" s="3">
        <v>0.2</v>
      </c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3">
        <v>152.0</v>
      </c>
      <c r="B153" s="4">
        <v>40550.0</v>
      </c>
      <c r="C153" s="3">
        <v>1.0</v>
      </c>
      <c r="D153" s="3">
        <v>0.0</v>
      </c>
      <c r="E153" s="3">
        <v>1.0</v>
      </c>
      <c r="F153" s="3">
        <v>14.0</v>
      </c>
      <c r="G153" s="3" t="b">
        <f t="shared" si="1"/>
        <v>0</v>
      </c>
      <c r="H153" s="3">
        <v>5.0</v>
      </c>
      <c r="I153" s="3">
        <v>2.0</v>
      </c>
      <c r="J153" s="3">
        <v>0.2</v>
      </c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3">
        <v>153.0</v>
      </c>
      <c r="B154" s="4">
        <v>40550.0</v>
      </c>
      <c r="C154" s="3">
        <v>1.0</v>
      </c>
      <c r="D154" s="3">
        <v>0.0</v>
      </c>
      <c r="E154" s="3">
        <v>1.0</v>
      </c>
      <c r="F154" s="3">
        <v>15.0</v>
      </c>
      <c r="G154" s="3" t="b">
        <f t="shared" si="1"/>
        <v>0</v>
      </c>
      <c r="H154" s="3">
        <v>5.0</v>
      </c>
      <c r="I154" s="3">
        <v>2.0</v>
      </c>
      <c r="J154" s="3">
        <v>0.2</v>
      </c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3">
        <v>154.0</v>
      </c>
      <c r="B155" s="4">
        <v>40550.0</v>
      </c>
      <c r="C155" s="3">
        <v>1.0</v>
      </c>
      <c r="D155" s="3">
        <v>0.0</v>
      </c>
      <c r="E155" s="3">
        <v>1.0</v>
      </c>
      <c r="F155" s="3">
        <v>16.0</v>
      </c>
      <c r="G155" s="3" t="b">
        <f t="shared" si="1"/>
        <v>0</v>
      </c>
      <c r="H155" s="3">
        <v>5.0</v>
      </c>
      <c r="I155" s="3">
        <v>2.0</v>
      </c>
      <c r="J155" s="3">
        <v>0.2</v>
      </c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3">
        <v>155.0</v>
      </c>
      <c r="B156" s="4">
        <v>40550.0</v>
      </c>
      <c r="C156" s="3">
        <v>1.0</v>
      </c>
      <c r="D156" s="3">
        <v>0.0</v>
      </c>
      <c r="E156" s="3">
        <v>1.0</v>
      </c>
      <c r="F156" s="3">
        <v>17.0</v>
      </c>
      <c r="G156" s="3" t="b">
        <f t="shared" si="1"/>
        <v>0</v>
      </c>
      <c r="H156" s="3">
        <v>5.0</v>
      </c>
      <c r="I156" s="3">
        <v>2.0</v>
      </c>
      <c r="J156" s="3">
        <v>0.2</v>
      </c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3">
        <v>156.0</v>
      </c>
      <c r="B157" s="4">
        <v>40550.0</v>
      </c>
      <c r="C157" s="3">
        <v>1.0</v>
      </c>
      <c r="D157" s="3">
        <v>0.0</v>
      </c>
      <c r="E157" s="3">
        <v>1.0</v>
      </c>
      <c r="F157" s="3">
        <v>18.0</v>
      </c>
      <c r="G157" s="3" t="b">
        <f t="shared" si="1"/>
        <v>0</v>
      </c>
      <c r="H157" s="3">
        <v>5.0</v>
      </c>
      <c r="I157" s="3">
        <v>1.0</v>
      </c>
      <c r="J157" s="3">
        <v>0.2</v>
      </c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3">
        <v>157.0</v>
      </c>
      <c r="B158" s="4">
        <v>40550.0</v>
      </c>
      <c r="C158" s="3">
        <v>1.0</v>
      </c>
      <c r="D158" s="3">
        <v>0.0</v>
      </c>
      <c r="E158" s="3">
        <v>1.0</v>
      </c>
      <c r="F158" s="3">
        <v>19.0</v>
      </c>
      <c r="G158" s="3" t="b">
        <f t="shared" si="1"/>
        <v>0</v>
      </c>
      <c r="H158" s="3">
        <v>5.0</v>
      </c>
      <c r="I158" s="3">
        <v>1.0</v>
      </c>
      <c r="J158" s="3">
        <v>0.16</v>
      </c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3">
        <v>158.0</v>
      </c>
      <c r="B159" s="4">
        <v>40550.0</v>
      </c>
      <c r="C159" s="3">
        <v>1.0</v>
      </c>
      <c r="D159" s="3">
        <v>0.0</v>
      </c>
      <c r="E159" s="3">
        <v>1.0</v>
      </c>
      <c r="F159" s="3">
        <v>20.0</v>
      </c>
      <c r="G159" s="3" t="b">
        <f t="shared" si="1"/>
        <v>0</v>
      </c>
      <c r="H159" s="3">
        <v>5.0</v>
      </c>
      <c r="I159" s="3">
        <v>1.0</v>
      </c>
      <c r="J159" s="3">
        <v>0.18</v>
      </c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3">
        <v>159.0</v>
      </c>
      <c r="B160" s="4">
        <v>40550.0</v>
      </c>
      <c r="C160" s="3">
        <v>1.0</v>
      </c>
      <c r="D160" s="3">
        <v>0.0</v>
      </c>
      <c r="E160" s="3">
        <v>1.0</v>
      </c>
      <c r="F160" s="3">
        <v>21.0</v>
      </c>
      <c r="G160" s="3" t="b">
        <f t="shared" si="1"/>
        <v>0</v>
      </c>
      <c r="H160" s="3">
        <v>5.0</v>
      </c>
      <c r="I160" s="3">
        <v>1.0</v>
      </c>
      <c r="J160" s="3">
        <v>0.18</v>
      </c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3">
        <v>160.0</v>
      </c>
      <c r="B161" s="4">
        <v>40550.0</v>
      </c>
      <c r="C161" s="3">
        <v>1.0</v>
      </c>
      <c r="D161" s="3">
        <v>0.0</v>
      </c>
      <c r="E161" s="3">
        <v>1.0</v>
      </c>
      <c r="F161" s="3">
        <v>22.0</v>
      </c>
      <c r="G161" s="3" t="b">
        <f t="shared" si="1"/>
        <v>0</v>
      </c>
      <c r="H161" s="3">
        <v>5.0</v>
      </c>
      <c r="I161" s="3">
        <v>2.0</v>
      </c>
      <c r="J161" s="3">
        <v>0.18</v>
      </c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3">
        <v>161.0</v>
      </c>
      <c r="B162" s="4">
        <v>40550.0</v>
      </c>
      <c r="C162" s="3">
        <v>1.0</v>
      </c>
      <c r="D162" s="3">
        <v>0.0</v>
      </c>
      <c r="E162" s="3">
        <v>1.0</v>
      </c>
      <c r="F162" s="3">
        <v>23.0</v>
      </c>
      <c r="G162" s="3" t="b">
        <f t="shared" si="1"/>
        <v>0</v>
      </c>
      <c r="H162" s="3">
        <v>5.0</v>
      </c>
      <c r="I162" s="3">
        <v>2.0</v>
      </c>
      <c r="J162" s="3">
        <v>0.18</v>
      </c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3">
        <v>162.0</v>
      </c>
      <c r="B163" s="4">
        <v>40551.0</v>
      </c>
      <c r="C163" s="3">
        <v>1.0</v>
      </c>
      <c r="D163" s="3">
        <v>0.0</v>
      </c>
      <c r="E163" s="3">
        <v>1.0</v>
      </c>
      <c r="F163" s="3">
        <v>0.0</v>
      </c>
      <c r="G163" s="3" t="b">
        <f t="shared" si="1"/>
        <v>0</v>
      </c>
      <c r="H163" s="3">
        <v>6.0</v>
      </c>
      <c r="I163" s="3">
        <v>2.0</v>
      </c>
      <c r="J163" s="3">
        <v>0.18</v>
      </c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3">
        <v>163.0</v>
      </c>
      <c r="B164" s="4">
        <v>40551.0</v>
      </c>
      <c r="C164" s="3">
        <v>1.0</v>
      </c>
      <c r="D164" s="3">
        <v>0.0</v>
      </c>
      <c r="E164" s="3">
        <v>1.0</v>
      </c>
      <c r="F164" s="3">
        <v>1.0</v>
      </c>
      <c r="G164" s="3" t="b">
        <f t="shared" si="1"/>
        <v>0</v>
      </c>
      <c r="H164" s="3">
        <v>6.0</v>
      </c>
      <c r="I164" s="3">
        <v>2.0</v>
      </c>
      <c r="J164" s="3">
        <v>0.18</v>
      </c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3">
        <v>164.0</v>
      </c>
      <c r="B165" s="4">
        <v>40551.0</v>
      </c>
      <c r="C165" s="3">
        <v>1.0</v>
      </c>
      <c r="D165" s="3">
        <v>0.0</v>
      </c>
      <c r="E165" s="3">
        <v>1.0</v>
      </c>
      <c r="F165" s="3">
        <v>2.0</v>
      </c>
      <c r="G165" s="3" t="b">
        <f t="shared" si="1"/>
        <v>0</v>
      </c>
      <c r="H165" s="3">
        <v>6.0</v>
      </c>
      <c r="I165" s="3">
        <v>2.0</v>
      </c>
      <c r="J165" s="3">
        <v>0.18</v>
      </c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3">
        <v>165.0</v>
      </c>
      <c r="B166" s="4">
        <v>40551.0</v>
      </c>
      <c r="C166" s="3">
        <v>1.0</v>
      </c>
      <c r="D166" s="3">
        <v>0.0</v>
      </c>
      <c r="E166" s="3">
        <v>1.0</v>
      </c>
      <c r="F166" s="3">
        <v>3.0</v>
      </c>
      <c r="G166" s="3" t="b">
        <f t="shared" si="1"/>
        <v>0</v>
      </c>
      <c r="H166" s="3">
        <v>6.0</v>
      </c>
      <c r="I166" s="3">
        <v>3.0</v>
      </c>
      <c r="J166" s="3">
        <v>0.18</v>
      </c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3">
        <v>166.0</v>
      </c>
      <c r="B167" s="4">
        <v>40551.0</v>
      </c>
      <c r="C167" s="3">
        <v>1.0</v>
      </c>
      <c r="D167" s="3">
        <v>0.0</v>
      </c>
      <c r="E167" s="3">
        <v>1.0</v>
      </c>
      <c r="F167" s="3">
        <v>4.0</v>
      </c>
      <c r="G167" s="3" t="b">
        <f t="shared" si="1"/>
        <v>0</v>
      </c>
      <c r="H167" s="3">
        <v>6.0</v>
      </c>
      <c r="I167" s="3">
        <v>3.0</v>
      </c>
      <c r="J167" s="3">
        <v>0.18</v>
      </c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3">
        <v>167.0</v>
      </c>
      <c r="B168" s="4">
        <v>40551.0</v>
      </c>
      <c r="C168" s="3">
        <v>1.0</v>
      </c>
      <c r="D168" s="3">
        <v>0.0</v>
      </c>
      <c r="E168" s="3">
        <v>1.0</v>
      </c>
      <c r="F168" s="3">
        <v>5.0</v>
      </c>
      <c r="G168" s="3" t="b">
        <f t="shared" si="1"/>
        <v>0</v>
      </c>
      <c r="H168" s="3">
        <v>6.0</v>
      </c>
      <c r="I168" s="3">
        <v>2.0</v>
      </c>
      <c r="J168" s="3">
        <v>0.16</v>
      </c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3">
        <v>168.0</v>
      </c>
      <c r="B169" s="4">
        <v>40551.0</v>
      </c>
      <c r="C169" s="3">
        <v>1.0</v>
      </c>
      <c r="D169" s="3">
        <v>0.0</v>
      </c>
      <c r="E169" s="3">
        <v>1.0</v>
      </c>
      <c r="F169" s="3">
        <v>6.0</v>
      </c>
      <c r="G169" s="3" t="b">
        <f t="shared" si="1"/>
        <v>0</v>
      </c>
      <c r="H169" s="3">
        <v>6.0</v>
      </c>
      <c r="I169" s="3">
        <v>2.0</v>
      </c>
      <c r="J169" s="3">
        <v>0.16</v>
      </c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3">
        <v>169.0</v>
      </c>
      <c r="B170" s="4">
        <v>40551.0</v>
      </c>
      <c r="C170" s="3">
        <v>1.0</v>
      </c>
      <c r="D170" s="3">
        <v>0.0</v>
      </c>
      <c r="E170" s="3">
        <v>1.0</v>
      </c>
      <c r="F170" s="3">
        <v>7.0</v>
      </c>
      <c r="G170" s="3" t="b">
        <f t="shared" si="1"/>
        <v>0</v>
      </c>
      <c r="H170" s="3">
        <v>6.0</v>
      </c>
      <c r="I170" s="3">
        <v>2.0</v>
      </c>
      <c r="J170" s="3">
        <v>0.16</v>
      </c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3">
        <v>170.0</v>
      </c>
      <c r="B171" s="4">
        <v>40551.0</v>
      </c>
      <c r="C171" s="3">
        <v>1.0</v>
      </c>
      <c r="D171" s="3">
        <v>0.0</v>
      </c>
      <c r="E171" s="3">
        <v>1.0</v>
      </c>
      <c r="F171" s="3">
        <v>8.0</v>
      </c>
      <c r="G171" s="3" t="b">
        <f t="shared" si="1"/>
        <v>0</v>
      </c>
      <c r="H171" s="3">
        <v>6.0</v>
      </c>
      <c r="I171" s="3">
        <v>3.0</v>
      </c>
      <c r="J171" s="3">
        <v>0.16</v>
      </c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3">
        <v>171.0</v>
      </c>
      <c r="B172" s="4">
        <v>40551.0</v>
      </c>
      <c r="C172" s="3">
        <v>1.0</v>
      </c>
      <c r="D172" s="3">
        <v>0.0</v>
      </c>
      <c r="E172" s="3">
        <v>1.0</v>
      </c>
      <c r="F172" s="3">
        <v>9.0</v>
      </c>
      <c r="G172" s="3" t="b">
        <f t="shared" si="1"/>
        <v>0</v>
      </c>
      <c r="H172" s="3">
        <v>6.0</v>
      </c>
      <c r="I172" s="3">
        <v>3.0</v>
      </c>
      <c r="J172" s="3">
        <v>0.16</v>
      </c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3">
        <v>172.0</v>
      </c>
      <c r="B173" s="4">
        <v>40551.0</v>
      </c>
      <c r="C173" s="3">
        <v>1.0</v>
      </c>
      <c r="D173" s="3">
        <v>0.0</v>
      </c>
      <c r="E173" s="3">
        <v>1.0</v>
      </c>
      <c r="F173" s="3">
        <v>10.0</v>
      </c>
      <c r="G173" s="3" t="b">
        <f t="shared" si="1"/>
        <v>0</v>
      </c>
      <c r="H173" s="3">
        <v>6.0</v>
      </c>
      <c r="I173" s="3">
        <v>2.0</v>
      </c>
      <c r="J173" s="3">
        <v>0.18</v>
      </c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3">
        <v>173.0</v>
      </c>
      <c r="B174" s="4">
        <v>40551.0</v>
      </c>
      <c r="C174" s="3">
        <v>1.0</v>
      </c>
      <c r="D174" s="3">
        <v>0.0</v>
      </c>
      <c r="E174" s="3">
        <v>1.0</v>
      </c>
      <c r="F174" s="3">
        <v>11.0</v>
      </c>
      <c r="G174" s="3" t="b">
        <f t="shared" si="1"/>
        <v>0</v>
      </c>
      <c r="H174" s="3">
        <v>6.0</v>
      </c>
      <c r="I174" s="3">
        <v>2.0</v>
      </c>
      <c r="J174" s="3">
        <v>0.2</v>
      </c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3">
        <v>174.0</v>
      </c>
      <c r="B175" s="4">
        <v>40551.0</v>
      </c>
      <c r="C175" s="3">
        <v>1.0</v>
      </c>
      <c r="D175" s="3">
        <v>0.0</v>
      </c>
      <c r="E175" s="3">
        <v>1.0</v>
      </c>
      <c r="F175" s="3">
        <v>12.0</v>
      </c>
      <c r="G175" s="3" t="b">
        <f t="shared" si="1"/>
        <v>0</v>
      </c>
      <c r="H175" s="3">
        <v>6.0</v>
      </c>
      <c r="I175" s="3">
        <v>2.0</v>
      </c>
      <c r="J175" s="3">
        <v>0.2</v>
      </c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3">
        <v>175.0</v>
      </c>
      <c r="B176" s="4">
        <v>40551.0</v>
      </c>
      <c r="C176" s="3">
        <v>1.0</v>
      </c>
      <c r="D176" s="3">
        <v>0.0</v>
      </c>
      <c r="E176" s="3">
        <v>1.0</v>
      </c>
      <c r="F176" s="3">
        <v>13.0</v>
      </c>
      <c r="G176" s="3" t="b">
        <f t="shared" si="1"/>
        <v>0</v>
      </c>
      <c r="H176" s="3">
        <v>6.0</v>
      </c>
      <c r="I176" s="3">
        <v>1.0</v>
      </c>
      <c r="J176" s="3">
        <v>0.2</v>
      </c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3">
        <v>176.0</v>
      </c>
      <c r="B177" s="4">
        <v>40551.0</v>
      </c>
      <c r="C177" s="3">
        <v>1.0</v>
      </c>
      <c r="D177" s="3">
        <v>0.0</v>
      </c>
      <c r="E177" s="3">
        <v>1.0</v>
      </c>
      <c r="F177" s="3">
        <v>14.0</v>
      </c>
      <c r="G177" s="3" t="b">
        <f t="shared" si="1"/>
        <v>0</v>
      </c>
      <c r="H177" s="3">
        <v>6.0</v>
      </c>
      <c r="I177" s="3">
        <v>1.0</v>
      </c>
      <c r="J177" s="3">
        <v>0.2</v>
      </c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3">
        <v>177.0</v>
      </c>
      <c r="B178" s="4">
        <v>40551.0</v>
      </c>
      <c r="C178" s="3">
        <v>1.0</v>
      </c>
      <c r="D178" s="3">
        <v>0.0</v>
      </c>
      <c r="E178" s="3">
        <v>1.0</v>
      </c>
      <c r="F178" s="3">
        <v>15.0</v>
      </c>
      <c r="G178" s="3" t="b">
        <f t="shared" si="1"/>
        <v>0</v>
      </c>
      <c r="H178" s="3">
        <v>6.0</v>
      </c>
      <c r="I178" s="3">
        <v>1.0</v>
      </c>
      <c r="J178" s="3">
        <v>0.2</v>
      </c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3">
        <v>178.0</v>
      </c>
      <c r="B179" s="4">
        <v>40551.0</v>
      </c>
      <c r="C179" s="3">
        <v>1.0</v>
      </c>
      <c r="D179" s="3">
        <v>0.0</v>
      </c>
      <c r="E179" s="3">
        <v>1.0</v>
      </c>
      <c r="F179" s="3">
        <v>16.0</v>
      </c>
      <c r="G179" s="3" t="b">
        <f t="shared" si="1"/>
        <v>0</v>
      </c>
      <c r="H179" s="3">
        <v>6.0</v>
      </c>
      <c r="I179" s="3">
        <v>1.0</v>
      </c>
      <c r="J179" s="3">
        <v>0.18</v>
      </c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3">
        <v>179.0</v>
      </c>
      <c r="B180" s="4">
        <v>40551.0</v>
      </c>
      <c r="C180" s="3">
        <v>1.0</v>
      </c>
      <c r="D180" s="3">
        <v>0.0</v>
      </c>
      <c r="E180" s="3">
        <v>1.0</v>
      </c>
      <c r="F180" s="3">
        <v>17.0</v>
      </c>
      <c r="G180" s="3" t="b">
        <f t="shared" si="1"/>
        <v>0</v>
      </c>
      <c r="H180" s="3">
        <v>6.0</v>
      </c>
      <c r="I180" s="3">
        <v>1.0</v>
      </c>
      <c r="J180" s="3">
        <v>0.16</v>
      </c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3">
        <v>180.0</v>
      </c>
      <c r="B181" s="4">
        <v>40551.0</v>
      </c>
      <c r="C181" s="3">
        <v>1.0</v>
      </c>
      <c r="D181" s="3">
        <v>0.0</v>
      </c>
      <c r="E181" s="3">
        <v>1.0</v>
      </c>
      <c r="F181" s="3">
        <v>18.0</v>
      </c>
      <c r="G181" s="3" t="b">
        <f t="shared" si="1"/>
        <v>0</v>
      </c>
      <c r="H181" s="3">
        <v>6.0</v>
      </c>
      <c r="I181" s="3">
        <v>1.0</v>
      </c>
      <c r="J181" s="3">
        <v>0.14</v>
      </c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3">
        <v>181.0</v>
      </c>
      <c r="B182" s="4">
        <v>40551.0</v>
      </c>
      <c r="C182" s="3">
        <v>1.0</v>
      </c>
      <c r="D182" s="3">
        <v>0.0</v>
      </c>
      <c r="E182" s="3">
        <v>1.0</v>
      </c>
      <c r="F182" s="3">
        <v>19.0</v>
      </c>
      <c r="G182" s="3" t="b">
        <f t="shared" si="1"/>
        <v>0</v>
      </c>
      <c r="H182" s="3">
        <v>6.0</v>
      </c>
      <c r="I182" s="3">
        <v>1.0</v>
      </c>
      <c r="J182" s="3">
        <v>0.14</v>
      </c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3">
        <v>182.0</v>
      </c>
      <c r="B183" s="4">
        <v>40551.0</v>
      </c>
      <c r="C183" s="3">
        <v>1.0</v>
      </c>
      <c r="D183" s="3">
        <v>0.0</v>
      </c>
      <c r="E183" s="3">
        <v>1.0</v>
      </c>
      <c r="F183" s="3">
        <v>20.0</v>
      </c>
      <c r="G183" s="3" t="b">
        <f t="shared" si="1"/>
        <v>0</v>
      </c>
      <c r="H183" s="3">
        <v>6.0</v>
      </c>
      <c r="I183" s="3">
        <v>1.0</v>
      </c>
      <c r="J183" s="3">
        <v>0.12</v>
      </c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3">
        <v>183.0</v>
      </c>
      <c r="B184" s="4">
        <v>40551.0</v>
      </c>
      <c r="C184" s="3">
        <v>1.0</v>
      </c>
      <c r="D184" s="3">
        <v>0.0</v>
      </c>
      <c r="E184" s="3">
        <v>1.0</v>
      </c>
      <c r="F184" s="3">
        <v>21.0</v>
      </c>
      <c r="G184" s="3" t="b">
        <f t="shared" si="1"/>
        <v>0</v>
      </c>
      <c r="H184" s="3">
        <v>6.0</v>
      </c>
      <c r="I184" s="3">
        <v>1.0</v>
      </c>
      <c r="J184" s="3">
        <v>0.12</v>
      </c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3">
        <v>184.0</v>
      </c>
      <c r="B185" s="4">
        <v>40551.0</v>
      </c>
      <c r="C185" s="3">
        <v>1.0</v>
      </c>
      <c r="D185" s="3">
        <v>0.0</v>
      </c>
      <c r="E185" s="3">
        <v>1.0</v>
      </c>
      <c r="F185" s="3">
        <v>22.0</v>
      </c>
      <c r="G185" s="3" t="b">
        <f t="shared" si="1"/>
        <v>0</v>
      </c>
      <c r="H185" s="3">
        <v>6.0</v>
      </c>
      <c r="I185" s="3">
        <v>1.0</v>
      </c>
      <c r="J185" s="3">
        <v>0.12</v>
      </c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3">
        <v>185.0</v>
      </c>
      <c r="B186" s="4">
        <v>40551.0</v>
      </c>
      <c r="C186" s="3">
        <v>1.0</v>
      </c>
      <c r="D186" s="3">
        <v>0.0</v>
      </c>
      <c r="E186" s="3">
        <v>1.0</v>
      </c>
      <c r="F186" s="3">
        <v>23.0</v>
      </c>
      <c r="G186" s="3" t="b">
        <f t="shared" si="1"/>
        <v>0</v>
      </c>
      <c r="H186" s="3">
        <v>6.0</v>
      </c>
      <c r="I186" s="3">
        <v>1.0</v>
      </c>
      <c r="J186" s="3">
        <v>0.1</v>
      </c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3">
        <v>186.0</v>
      </c>
      <c r="B187" s="4">
        <v>40552.0</v>
      </c>
      <c r="C187" s="3">
        <v>1.0</v>
      </c>
      <c r="D187" s="3">
        <v>0.0</v>
      </c>
      <c r="E187" s="3">
        <v>1.0</v>
      </c>
      <c r="F187" s="3">
        <v>0.0</v>
      </c>
      <c r="G187" s="3" t="b">
        <f t="shared" si="1"/>
        <v>0</v>
      </c>
      <c r="H187" s="3">
        <v>0.0</v>
      </c>
      <c r="I187" s="3">
        <v>1.0</v>
      </c>
      <c r="J187" s="3">
        <v>0.1</v>
      </c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3">
        <v>187.0</v>
      </c>
      <c r="B188" s="4">
        <v>40552.0</v>
      </c>
      <c r="C188" s="3">
        <v>1.0</v>
      </c>
      <c r="D188" s="3">
        <v>0.0</v>
      </c>
      <c r="E188" s="3">
        <v>1.0</v>
      </c>
      <c r="F188" s="3">
        <v>1.0</v>
      </c>
      <c r="G188" s="3" t="b">
        <f t="shared" si="1"/>
        <v>0</v>
      </c>
      <c r="H188" s="3">
        <v>0.0</v>
      </c>
      <c r="I188" s="3">
        <v>1.0</v>
      </c>
      <c r="J188" s="3">
        <v>0.1</v>
      </c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3">
        <v>188.0</v>
      </c>
      <c r="B189" s="4">
        <v>40552.0</v>
      </c>
      <c r="C189" s="3">
        <v>1.0</v>
      </c>
      <c r="D189" s="3">
        <v>0.0</v>
      </c>
      <c r="E189" s="3">
        <v>1.0</v>
      </c>
      <c r="F189" s="3">
        <v>2.0</v>
      </c>
      <c r="G189" s="3" t="b">
        <f t="shared" si="1"/>
        <v>0</v>
      </c>
      <c r="H189" s="3">
        <v>0.0</v>
      </c>
      <c r="I189" s="3">
        <v>1.0</v>
      </c>
      <c r="J189" s="3">
        <v>0.1</v>
      </c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3">
        <v>189.0</v>
      </c>
      <c r="B190" s="4">
        <v>40552.0</v>
      </c>
      <c r="C190" s="3">
        <v>1.0</v>
      </c>
      <c r="D190" s="3">
        <v>0.0</v>
      </c>
      <c r="E190" s="3">
        <v>1.0</v>
      </c>
      <c r="F190" s="3">
        <v>3.0</v>
      </c>
      <c r="G190" s="3" t="b">
        <f t="shared" si="1"/>
        <v>0</v>
      </c>
      <c r="H190" s="3">
        <v>0.0</v>
      </c>
      <c r="I190" s="3">
        <v>1.0</v>
      </c>
      <c r="J190" s="3">
        <v>0.1</v>
      </c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3">
        <v>190.0</v>
      </c>
      <c r="B191" s="4">
        <v>40552.0</v>
      </c>
      <c r="C191" s="3">
        <v>1.0</v>
      </c>
      <c r="D191" s="3">
        <v>0.0</v>
      </c>
      <c r="E191" s="3">
        <v>1.0</v>
      </c>
      <c r="F191" s="3">
        <v>4.0</v>
      </c>
      <c r="G191" s="3" t="b">
        <f t="shared" si="1"/>
        <v>0</v>
      </c>
      <c r="H191" s="3">
        <v>0.0</v>
      </c>
      <c r="I191" s="3">
        <v>1.0</v>
      </c>
      <c r="J191" s="3">
        <v>0.08</v>
      </c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3">
        <v>191.0</v>
      </c>
      <c r="B192" s="4">
        <v>40552.0</v>
      </c>
      <c r="C192" s="3">
        <v>1.0</v>
      </c>
      <c r="D192" s="3">
        <v>0.0</v>
      </c>
      <c r="E192" s="3">
        <v>1.0</v>
      </c>
      <c r="F192" s="3">
        <v>5.0</v>
      </c>
      <c r="G192" s="3" t="b">
        <f t="shared" si="1"/>
        <v>0</v>
      </c>
      <c r="H192" s="3">
        <v>0.0</v>
      </c>
      <c r="I192" s="3">
        <v>1.0</v>
      </c>
      <c r="J192" s="3">
        <v>0.08</v>
      </c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3">
        <v>192.0</v>
      </c>
      <c r="B193" s="4">
        <v>40552.0</v>
      </c>
      <c r="C193" s="3">
        <v>1.0</v>
      </c>
      <c r="D193" s="3">
        <v>0.0</v>
      </c>
      <c r="E193" s="3">
        <v>1.0</v>
      </c>
      <c r="F193" s="3">
        <v>6.0</v>
      </c>
      <c r="G193" s="3" t="b">
        <f t="shared" si="1"/>
        <v>0</v>
      </c>
      <c r="H193" s="3">
        <v>0.0</v>
      </c>
      <c r="I193" s="3">
        <v>1.0</v>
      </c>
      <c r="J193" s="3">
        <v>0.1</v>
      </c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3">
        <v>193.0</v>
      </c>
      <c r="B194" s="4">
        <v>40552.0</v>
      </c>
      <c r="C194" s="3">
        <v>1.0</v>
      </c>
      <c r="D194" s="3">
        <v>0.0</v>
      </c>
      <c r="E194" s="3">
        <v>1.0</v>
      </c>
      <c r="F194" s="3">
        <v>7.0</v>
      </c>
      <c r="G194" s="3" t="b">
        <f t="shared" si="1"/>
        <v>0</v>
      </c>
      <c r="H194" s="3">
        <v>0.0</v>
      </c>
      <c r="I194" s="3">
        <v>1.0</v>
      </c>
      <c r="J194" s="3">
        <v>0.08</v>
      </c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3">
        <v>194.0</v>
      </c>
      <c r="B195" s="4">
        <v>40552.0</v>
      </c>
      <c r="C195" s="3">
        <v>1.0</v>
      </c>
      <c r="D195" s="3">
        <v>0.0</v>
      </c>
      <c r="E195" s="3">
        <v>1.0</v>
      </c>
      <c r="F195" s="3">
        <v>8.0</v>
      </c>
      <c r="G195" s="3" t="b">
        <f t="shared" si="1"/>
        <v>0</v>
      </c>
      <c r="H195" s="3">
        <v>0.0</v>
      </c>
      <c r="I195" s="3">
        <v>1.0</v>
      </c>
      <c r="J195" s="3">
        <v>0.1</v>
      </c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3">
        <v>195.0</v>
      </c>
      <c r="B196" s="4">
        <v>40552.0</v>
      </c>
      <c r="C196" s="3">
        <v>1.0</v>
      </c>
      <c r="D196" s="3">
        <v>0.0</v>
      </c>
      <c r="E196" s="3">
        <v>1.0</v>
      </c>
      <c r="F196" s="3">
        <v>9.0</v>
      </c>
      <c r="G196" s="3" t="b">
        <f t="shared" si="1"/>
        <v>0</v>
      </c>
      <c r="H196" s="3">
        <v>0.0</v>
      </c>
      <c r="I196" s="3">
        <v>1.0</v>
      </c>
      <c r="J196" s="3">
        <v>0.12</v>
      </c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3">
        <v>196.0</v>
      </c>
      <c r="B197" s="4">
        <v>40552.0</v>
      </c>
      <c r="C197" s="3">
        <v>1.0</v>
      </c>
      <c r="D197" s="3">
        <v>0.0</v>
      </c>
      <c r="E197" s="3">
        <v>1.0</v>
      </c>
      <c r="F197" s="3">
        <v>10.0</v>
      </c>
      <c r="G197" s="3" t="b">
        <f t="shared" si="1"/>
        <v>0</v>
      </c>
      <c r="H197" s="3">
        <v>0.0</v>
      </c>
      <c r="I197" s="3">
        <v>1.0</v>
      </c>
      <c r="J197" s="3">
        <v>0.14</v>
      </c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3">
        <v>197.0</v>
      </c>
      <c r="B198" s="4">
        <v>40552.0</v>
      </c>
      <c r="C198" s="3">
        <v>1.0</v>
      </c>
      <c r="D198" s="3">
        <v>0.0</v>
      </c>
      <c r="E198" s="3">
        <v>1.0</v>
      </c>
      <c r="F198" s="3">
        <v>11.0</v>
      </c>
      <c r="G198" s="3" t="b">
        <f t="shared" si="1"/>
        <v>0</v>
      </c>
      <c r="H198" s="3">
        <v>0.0</v>
      </c>
      <c r="I198" s="3">
        <v>1.0</v>
      </c>
      <c r="J198" s="3">
        <v>0.16</v>
      </c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3">
        <v>198.0</v>
      </c>
      <c r="B199" s="4">
        <v>40552.0</v>
      </c>
      <c r="C199" s="3">
        <v>1.0</v>
      </c>
      <c r="D199" s="3">
        <v>0.0</v>
      </c>
      <c r="E199" s="3">
        <v>1.0</v>
      </c>
      <c r="F199" s="3">
        <v>12.0</v>
      </c>
      <c r="G199" s="3" t="b">
        <f t="shared" si="1"/>
        <v>0</v>
      </c>
      <c r="H199" s="3">
        <v>0.0</v>
      </c>
      <c r="I199" s="3">
        <v>1.0</v>
      </c>
      <c r="J199" s="3">
        <v>0.18</v>
      </c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3">
        <v>199.0</v>
      </c>
      <c r="B200" s="4">
        <v>40552.0</v>
      </c>
      <c r="C200" s="3">
        <v>1.0</v>
      </c>
      <c r="D200" s="3">
        <v>0.0</v>
      </c>
      <c r="E200" s="3">
        <v>1.0</v>
      </c>
      <c r="F200" s="3">
        <v>13.0</v>
      </c>
      <c r="G200" s="3" t="b">
        <f t="shared" si="1"/>
        <v>0</v>
      </c>
      <c r="H200" s="3">
        <v>0.0</v>
      </c>
      <c r="I200" s="3">
        <v>1.0</v>
      </c>
      <c r="J200" s="3">
        <v>0.2</v>
      </c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3">
        <v>200.0</v>
      </c>
      <c r="B201" s="4">
        <v>40552.0</v>
      </c>
      <c r="C201" s="3">
        <v>1.0</v>
      </c>
      <c r="D201" s="3">
        <v>0.0</v>
      </c>
      <c r="E201" s="3">
        <v>1.0</v>
      </c>
      <c r="F201" s="3">
        <v>14.0</v>
      </c>
      <c r="G201" s="3" t="b">
        <f t="shared" si="1"/>
        <v>0</v>
      </c>
      <c r="H201" s="3">
        <v>0.0</v>
      </c>
      <c r="I201" s="3">
        <v>1.0</v>
      </c>
      <c r="J201" s="3">
        <v>0.22</v>
      </c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3">
        <v>201.0</v>
      </c>
      <c r="B202" s="4">
        <v>40552.0</v>
      </c>
      <c r="C202" s="3">
        <v>1.0</v>
      </c>
      <c r="D202" s="3">
        <v>0.0</v>
      </c>
      <c r="E202" s="3">
        <v>1.0</v>
      </c>
      <c r="F202" s="3">
        <v>15.0</v>
      </c>
      <c r="G202" s="3" t="b">
        <f t="shared" si="1"/>
        <v>0</v>
      </c>
      <c r="H202" s="3">
        <v>0.0</v>
      </c>
      <c r="I202" s="3">
        <v>1.0</v>
      </c>
      <c r="J202" s="3">
        <v>0.22</v>
      </c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3">
        <v>202.0</v>
      </c>
      <c r="B203" s="4">
        <v>40552.0</v>
      </c>
      <c r="C203" s="3">
        <v>1.0</v>
      </c>
      <c r="D203" s="3">
        <v>0.0</v>
      </c>
      <c r="E203" s="3">
        <v>1.0</v>
      </c>
      <c r="F203" s="3">
        <v>16.0</v>
      </c>
      <c r="G203" s="3" t="b">
        <f t="shared" si="1"/>
        <v>0</v>
      </c>
      <c r="H203" s="3">
        <v>0.0</v>
      </c>
      <c r="I203" s="3">
        <v>1.0</v>
      </c>
      <c r="J203" s="3">
        <v>0.2</v>
      </c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3">
        <v>203.0</v>
      </c>
      <c r="B204" s="4">
        <v>40552.0</v>
      </c>
      <c r="C204" s="3">
        <v>1.0</v>
      </c>
      <c r="D204" s="3">
        <v>0.0</v>
      </c>
      <c r="E204" s="3">
        <v>1.0</v>
      </c>
      <c r="F204" s="3">
        <v>17.0</v>
      </c>
      <c r="G204" s="3" t="b">
        <f t="shared" si="1"/>
        <v>0</v>
      </c>
      <c r="H204" s="3">
        <v>0.0</v>
      </c>
      <c r="I204" s="3">
        <v>1.0</v>
      </c>
      <c r="J204" s="3">
        <v>0.18</v>
      </c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3">
        <v>204.0</v>
      </c>
      <c r="B205" s="4">
        <v>40552.0</v>
      </c>
      <c r="C205" s="3">
        <v>1.0</v>
      </c>
      <c r="D205" s="3">
        <v>0.0</v>
      </c>
      <c r="E205" s="3">
        <v>1.0</v>
      </c>
      <c r="F205" s="3">
        <v>18.0</v>
      </c>
      <c r="G205" s="3" t="b">
        <f t="shared" si="1"/>
        <v>0</v>
      </c>
      <c r="H205" s="3">
        <v>0.0</v>
      </c>
      <c r="I205" s="3">
        <v>1.0</v>
      </c>
      <c r="J205" s="3">
        <v>0.16</v>
      </c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3">
        <v>205.0</v>
      </c>
      <c r="B206" s="4">
        <v>40552.0</v>
      </c>
      <c r="C206" s="3">
        <v>1.0</v>
      </c>
      <c r="D206" s="3">
        <v>0.0</v>
      </c>
      <c r="E206" s="3">
        <v>1.0</v>
      </c>
      <c r="F206" s="3">
        <v>19.0</v>
      </c>
      <c r="G206" s="3" t="b">
        <f t="shared" si="1"/>
        <v>0</v>
      </c>
      <c r="H206" s="3">
        <v>0.0</v>
      </c>
      <c r="I206" s="3">
        <v>1.0</v>
      </c>
      <c r="J206" s="3">
        <v>0.16</v>
      </c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3">
        <v>206.0</v>
      </c>
      <c r="B207" s="4">
        <v>40552.0</v>
      </c>
      <c r="C207" s="3">
        <v>1.0</v>
      </c>
      <c r="D207" s="3">
        <v>0.0</v>
      </c>
      <c r="E207" s="3">
        <v>1.0</v>
      </c>
      <c r="F207" s="3">
        <v>20.0</v>
      </c>
      <c r="G207" s="3" t="b">
        <f t="shared" si="1"/>
        <v>0</v>
      </c>
      <c r="H207" s="3">
        <v>0.0</v>
      </c>
      <c r="I207" s="3">
        <v>1.0</v>
      </c>
      <c r="J207" s="3">
        <v>0.14</v>
      </c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3">
        <v>207.0</v>
      </c>
      <c r="B208" s="4">
        <v>40552.0</v>
      </c>
      <c r="C208" s="3">
        <v>1.0</v>
      </c>
      <c r="D208" s="3">
        <v>0.0</v>
      </c>
      <c r="E208" s="3">
        <v>1.0</v>
      </c>
      <c r="F208" s="3">
        <v>21.0</v>
      </c>
      <c r="G208" s="3" t="b">
        <f t="shared" si="1"/>
        <v>0</v>
      </c>
      <c r="H208" s="3">
        <v>0.0</v>
      </c>
      <c r="I208" s="3">
        <v>1.0</v>
      </c>
      <c r="J208" s="3">
        <v>0.14</v>
      </c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3">
        <v>208.0</v>
      </c>
      <c r="B209" s="4">
        <v>40552.0</v>
      </c>
      <c r="C209" s="3">
        <v>1.0</v>
      </c>
      <c r="D209" s="3">
        <v>0.0</v>
      </c>
      <c r="E209" s="3">
        <v>1.0</v>
      </c>
      <c r="F209" s="3">
        <v>22.0</v>
      </c>
      <c r="G209" s="3" t="b">
        <f t="shared" si="1"/>
        <v>0</v>
      </c>
      <c r="H209" s="3">
        <v>0.0</v>
      </c>
      <c r="I209" s="3">
        <v>1.0</v>
      </c>
      <c r="J209" s="3">
        <v>0.14</v>
      </c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3">
        <v>209.0</v>
      </c>
      <c r="B210" s="4">
        <v>40552.0</v>
      </c>
      <c r="C210" s="3">
        <v>1.0</v>
      </c>
      <c r="D210" s="3">
        <v>0.0</v>
      </c>
      <c r="E210" s="3">
        <v>1.0</v>
      </c>
      <c r="F210" s="3">
        <v>23.0</v>
      </c>
      <c r="G210" s="3" t="b">
        <f t="shared" si="1"/>
        <v>0</v>
      </c>
      <c r="H210" s="3">
        <v>0.0</v>
      </c>
      <c r="I210" s="3">
        <v>1.0</v>
      </c>
      <c r="J210" s="3">
        <v>0.12</v>
      </c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3">
        <v>210.0</v>
      </c>
      <c r="B211" s="4">
        <v>40553.0</v>
      </c>
      <c r="C211" s="3">
        <v>1.0</v>
      </c>
      <c r="D211" s="3">
        <v>0.0</v>
      </c>
      <c r="E211" s="3">
        <v>1.0</v>
      </c>
      <c r="F211" s="3">
        <v>0.0</v>
      </c>
      <c r="G211" s="3" t="b">
        <f t="shared" si="1"/>
        <v>0</v>
      </c>
      <c r="H211" s="3">
        <v>1.0</v>
      </c>
      <c r="I211" s="3">
        <v>1.0</v>
      </c>
      <c r="J211" s="3">
        <v>0.12</v>
      </c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3">
        <v>211.0</v>
      </c>
      <c r="B212" s="4">
        <v>40553.0</v>
      </c>
      <c r="C212" s="3">
        <v>1.0</v>
      </c>
      <c r="D212" s="3">
        <v>0.0</v>
      </c>
      <c r="E212" s="3">
        <v>1.0</v>
      </c>
      <c r="F212" s="3">
        <v>1.0</v>
      </c>
      <c r="G212" s="3" t="b">
        <f t="shared" si="1"/>
        <v>0</v>
      </c>
      <c r="H212" s="3">
        <v>1.0</v>
      </c>
      <c r="I212" s="3">
        <v>1.0</v>
      </c>
      <c r="J212" s="3">
        <v>0.12</v>
      </c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3">
        <v>212.0</v>
      </c>
      <c r="B213" s="4">
        <v>40553.0</v>
      </c>
      <c r="C213" s="3">
        <v>1.0</v>
      </c>
      <c r="D213" s="3">
        <v>0.0</v>
      </c>
      <c r="E213" s="3">
        <v>1.0</v>
      </c>
      <c r="F213" s="3">
        <v>2.0</v>
      </c>
      <c r="G213" s="3" t="b">
        <f t="shared" si="1"/>
        <v>0</v>
      </c>
      <c r="H213" s="3">
        <v>1.0</v>
      </c>
      <c r="I213" s="3">
        <v>1.0</v>
      </c>
      <c r="J213" s="3">
        <v>0.12</v>
      </c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3">
        <v>213.0</v>
      </c>
      <c r="B214" s="4">
        <v>40553.0</v>
      </c>
      <c r="C214" s="3">
        <v>1.0</v>
      </c>
      <c r="D214" s="3">
        <v>0.0</v>
      </c>
      <c r="E214" s="3">
        <v>1.0</v>
      </c>
      <c r="F214" s="3">
        <v>3.0</v>
      </c>
      <c r="G214" s="3" t="b">
        <f t="shared" si="1"/>
        <v>0</v>
      </c>
      <c r="H214" s="3">
        <v>1.0</v>
      </c>
      <c r="I214" s="3">
        <v>1.0</v>
      </c>
      <c r="J214" s="3">
        <v>0.12</v>
      </c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3">
        <v>214.0</v>
      </c>
      <c r="B215" s="4">
        <v>40553.0</v>
      </c>
      <c r="C215" s="3">
        <v>1.0</v>
      </c>
      <c r="D215" s="3">
        <v>0.0</v>
      </c>
      <c r="E215" s="3">
        <v>1.0</v>
      </c>
      <c r="F215" s="3">
        <v>4.0</v>
      </c>
      <c r="G215" s="3" t="b">
        <f t="shared" si="1"/>
        <v>0</v>
      </c>
      <c r="H215" s="3">
        <v>1.0</v>
      </c>
      <c r="I215" s="3">
        <v>1.0</v>
      </c>
      <c r="J215" s="3">
        <v>0.1</v>
      </c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3">
        <v>215.0</v>
      </c>
      <c r="B216" s="4">
        <v>40553.0</v>
      </c>
      <c r="C216" s="3">
        <v>1.0</v>
      </c>
      <c r="D216" s="3">
        <v>0.0</v>
      </c>
      <c r="E216" s="3">
        <v>1.0</v>
      </c>
      <c r="F216" s="3">
        <v>5.0</v>
      </c>
      <c r="G216" s="3" t="b">
        <f t="shared" si="1"/>
        <v>0</v>
      </c>
      <c r="H216" s="3">
        <v>1.0</v>
      </c>
      <c r="I216" s="3">
        <v>1.0</v>
      </c>
      <c r="J216" s="3">
        <v>0.1</v>
      </c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3">
        <v>216.0</v>
      </c>
      <c r="B217" s="4">
        <v>40553.0</v>
      </c>
      <c r="C217" s="3">
        <v>1.0</v>
      </c>
      <c r="D217" s="3">
        <v>0.0</v>
      </c>
      <c r="E217" s="3">
        <v>1.0</v>
      </c>
      <c r="F217" s="3">
        <v>6.0</v>
      </c>
      <c r="G217" s="3" t="b">
        <f t="shared" si="1"/>
        <v>0</v>
      </c>
      <c r="H217" s="3">
        <v>1.0</v>
      </c>
      <c r="I217" s="3">
        <v>1.0</v>
      </c>
      <c r="J217" s="3">
        <v>0.12</v>
      </c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3">
        <v>217.0</v>
      </c>
      <c r="B218" s="4">
        <v>40553.0</v>
      </c>
      <c r="C218" s="3">
        <v>1.0</v>
      </c>
      <c r="D218" s="3">
        <v>0.0</v>
      </c>
      <c r="E218" s="3">
        <v>1.0</v>
      </c>
      <c r="F218" s="3">
        <v>7.0</v>
      </c>
      <c r="G218" s="3" t="b">
        <f t="shared" si="1"/>
        <v>0</v>
      </c>
      <c r="H218" s="3">
        <v>1.0</v>
      </c>
      <c r="I218" s="3">
        <v>1.0</v>
      </c>
      <c r="J218" s="3">
        <v>0.12</v>
      </c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3">
        <v>218.0</v>
      </c>
      <c r="B219" s="4">
        <v>40553.0</v>
      </c>
      <c r="C219" s="3">
        <v>1.0</v>
      </c>
      <c r="D219" s="3">
        <v>0.0</v>
      </c>
      <c r="E219" s="3">
        <v>1.0</v>
      </c>
      <c r="F219" s="3">
        <v>8.0</v>
      </c>
      <c r="G219" s="3" t="b">
        <f t="shared" si="1"/>
        <v>0</v>
      </c>
      <c r="H219" s="3">
        <v>1.0</v>
      </c>
      <c r="I219" s="3">
        <v>2.0</v>
      </c>
      <c r="J219" s="3">
        <v>0.12</v>
      </c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3">
        <v>219.0</v>
      </c>
      <c r="B220" s="4">
        <v>40553.0</v>
      </c>
      <c r="C220" s="3">
        <v>1.0</v>
      </c>
      <c r="D220" s="3">
        <v>0.0</v>
      </c>
      <c r="E220" s="3">
        <v>1.0</v>
      </c>
      <c r="F220" s="3">
        <v>9.0</v>
      </c>
      <c r="G220" s="3" t="b">
        <f t="shared" si="1"/>
        <v>0</v>
      </c>
      <c r="H220" s="3">
        <v>1.0</v>
      </c>
      <c r="I220" s="3">
        <v>2.0</v>
      </c>
      <c r="J220" s="3">
        <v>0.14</v>
      </c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3">
        <v>220.0</v>
      </c>
      <c r="B221" s="4">
        <v>40553.0</v>
      </c>
      <c r="C221" s="3">
        <v>1.0</v>
      </c>
      <c r="D221" s="3">
        <v>0.0</v>
      </c>
      <c r="E221" s="3">
        <v>1.0</v>
      </c>
      <c r="F221" s="3">
        <v>10.0</v>
      </c>
      <c r="G221" s="3" t="b">
        <f t="shared" si="1"/>
        <v>0</v>
      </c>
      <c r="H221" s="3">
        <v>1.0</v>
      </c>
      <c r="I221" s="3">
        <v>2.0</v>
      </c>
      <c r="J221" s="3">
        <v>0.14</v>
      </c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3">
        <v>221.0</v>
      </c>
      <c r="B222" s="4">
        <v>40553.0</v>
      </c>
      <c r="C222" s="3">
        <v>1.0</v>
      </c>
      <c r="D222" s="3">
        <v>0.0</v>
      </c>
      <c r="E222" s="3">
        <v>1.0</v>
      </c>
      <c r="F222" s="3">
        <v>11.0</v>
      </c>
      <c r="G222" s="3" t="b">
        <f t="shared" si="1"/>
        <v>0</v>
      </c>
      <c r="H222" s="3">
        <v>1.0</v>
      </c>
      <c r="I222" s="3">
        <v>2.0</v>
      </c>
      <c r="J222" s="3">
        <v>0.16</v>
      </c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3">
        <v>222.0</v>
      </c>
      <c r="B223" s="4">
        <v>40553.0</v>
      </c>
      <c r="C223" s="3">
        <v>1.0</v>
      </c>
      <c r="D223" s="3">
        <v>0.0</v>
      </c>
      <c r="E223" s="3">
        <v>1.0</v>
      </c>
      <c r="F223" s="3">
        <v>12.0</v>
      </c>
      <c r="G223" s="3" t="b">
        <f t="shared" si="1"/>
        <v>0</v>
      </c>
      <c r="H223" s="3">
        <v>1.0</v>
      </c>
      <c r="I223" s="3">
        <v>2.0</v>
      </c>
      <c r="J223" s="3">
        <v>0.2</v>
      </c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3">
        <v>223.0</v>
      </c>
      <c r="B224" s="4">
        <v>40553.0</v>
      </c>
      <c r="C224" s="3">
        <v>1.0</v>
      </c>
      <c r="D224" s="3">
        <v>0.0</v>
      </c>
      <c r="E224" s="3">
        <v>1.0</v>
      </c>
      <c r="F224" s="3">
        <v>13.0</v>
      </c>
      <c r="G224" s="3" t="b">
        <f t="shared" si="1"/>
        <v>0</v>
      </c>
      <c r="H224" s="3">
        <v>1.0</v>
      </c>
      <c r="I224" s="3">
        <v>2.0</v>
      </c>
      <c r="J224" s="3">
        <v>0.2</v>
      </c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3">
        <v>224.0</v>
      </c>
      <c r="B225" s="4">
        <v>40553.0</v>
      </c>
      <c r="C225" s="3">
        <v>1.0</v>
      </c>
      <c r="D225" s="3">
        <v>0.0</v>
      </c>
      <c r="E225" s="3">
        <v>1.0</v>
      </c>
      <c r="F225" s="3">
        <v>14.0</v>
      </c>
      <c r="G225" s="3" t="b">
        <f t="shared" si="1"/>
        <v>0</v>
      </c>
      <c r="H225" s="3">
        <v>1.0</v>
      </c>
      <c r="I225" s="3">
        <v>2.0</v>
      </c>
      <c r="J225" s="3">
        <v>0.2</v>
      </c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3">
        <v>225.0</v>
      </c>
      <c r="B226" s="4">
        <v>40553.0</v>
      </c>
      <c r="C226" s="3">
        <v>1.0</v>
      </c>
      <c r="D226" s="3">
        <v>0.0</v>
      </c>
      <c r="E226" s="3">
        <v>1.0</v>
      </c>
      <c r="F226" s="3">
        <v>15.0</v>
      </c>
      <c r="G226" s="3" t="b">
        <f t="shared" si="1"/>
        <v>0</v>
      </c>
      <c r="H226" s="3">
        <v>1.0</v>
      </c>
      <c r="I226" s="3">
        <v>2.0</v>
      </c>
      <c r="J226" s="3">
        <v>0.2</v>
      </c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3">
        <v>226.0</v>
      </c>
      <c r="B227" s="4">
        <v>40553.0</v>
      </c>
      <c r="C227" s="3">
        <v>1.0</v>
      </c>
      <c r="D227" s="3">
        <v>0.0</v>
      </c>
      <c r="E227" s="3">
        <v>1.0</v>
      </c>
      <c r="F227" s="3">
        <v>16.0</v>
      </c>
      <c r="G227" s="3" t="b">
        <f t="shared" si="1"/>
        <v>0</v>
      </c>
      <c r="H227" s="3">
        <v>1.0</v>
      </c>
      <c r="I227" s="3">
        <v>1.0</v>
      </c>
      <c r="J227" s="3">
        <v>0.2</v>
      </c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3">
        <v>227.0</v>
      </c>
      <c r="B228" s="4">
        <v>40553.0</v>
      </c>
      <c r="C228" s="3">
        <v>1.0</v>
      </c>
      <c r="D228" s="3">
        <v>0.0</v>
      </c>
      <c r="E228" s="3">
        <v>1.0</v>
      </c>
      <c r="F228" s="3">
        <v>17.0</v>
      </c>
      <c r="G228" s="3" t="b">
        <f t="shared" si="1"/>
        <v>0</v>
      </c>
      <c r="H228" s="3">
        <v>1.0</v>
      </c>
      <c r="I228" s="3">
        <v>1.0</v>
      </c>
      <c r="J228" s="3">
        <v>0.2</v>
      </c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3">
        <v>228.0</v>
      </c>
      <c r="B229" s="4">
        <v>40553.0</v>
      </c>
      <c r="C229" s="3">
        <v>1.0</v>
      </c>
      <c r="D229" s="3">
        <v>0.0</v>
      </c>
      <c r="E229" s="3">
        <v>1.0</v>
      </c>
      <c r="F229" s="3">
        <v>18.0</v>
      </c>
      <c r="G229" s="3" t="b">
        <f t="shared" si="1"/>
        <v>0</v>
      </c>
      <c r="H229" s="3">
        <v>1.0</v>
      </c>
      <c r="I229" s="3">
        <v>1.0</v>
      </c>
      <c r="J229" s="3">
        <v>0.2</v>
      </c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3">
        <v>229.0</v>
      </c>
      <c r="B230" s="4">
        <v>40553.0</v>
      </c>
      <c r="C230" s="3">
        <v>1.0</v>
      </c>
      <c r="D230" s="3">
        <v>0.0</v>
      </c>
      <c r="E230" s="3">
        <v>1.0</v>
      </c>
      <c r="F230" s="3">
        <v>19.0</v>
      </c>
      <c r="G230" s="3" t="b">
        <f t="shared" si="1"/>
        <v>0</v>
      </c>
      <c r="H230" s="3">
        <v>1.0</v>
      </c>
      <c r="I230" s="3">
        <v>1.0</v>
      </c>
      <c r="J230" s="3">
        <v>0.16</v>
      </c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3">
        <v>230.0</v>
      </c>
      <c r="B231" s="4">
        <v>40553.0</v>
      </c>
      <c r="C231" s="3">
        <v>1.0</v>
      </c>
      <c r="D231" s="3">
        <v>0.0</v>
      </c>
      <c r="E231" s="3">
        <v>1.0</v>
      </c>
      <c r="F231" s="3">
        <v>20.0</v>
      </c>
      <c r="G231" s="3" t="b">
        <f t="shared" si="1"/>
        <v>0</v>
      </c>
      <c r="H231" s="3">
        <v>1.0</v>
      </c>
      <c r="I231" s="3">
        <v>1.0</v>
      </c>
      <c r="J231" s="3">
        <v>0.16</v>
      </c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3">
        <v>231.0</v>
      </c>
      <c r="B232" s="4">
        <v>40553.0</v>
      </c>
      <c r="C232" s="3">
        <v>1.0</v>
      </c>
      <c r="D232" s="3">
        <v>0.0</v>
      </c>
      <c r="E232" s="3">
        <v>1.0</v>
      </c>
      <c r="F232" s="3">
        <v>21.0</v>
      </c>
      <c r="G232" s="3" t="b">
        <f t="shared" si="1"/>
        <v>0</v>
      </c>
      <c r="H232" s="3">
        <v>1.0</v>
      </c>
      <c r="I232" s="3">
        <v>1.0</v>
      </c>
      <c r="J232" s="3">
        <v>0.14</v>
      </c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3">
        <v>232.0</v>
      </c>
      <c r="B233" s="4">
        <v>40553.0</v>
      </c>
      <c r="C233" s="3">
        <v>1.0</v>
      </c>
      <c r="D233" s="3">
        <v>0.0</v>
      </c>
      <c r="E233" s="3">
        <v>1.0</v>
      </c>
      <c r="F233" s="3">
        <v>22.0</v>
      </c>
      <c r="G233" s="3" t="b">
        <f t="shared" si="1"/>
        <v>0</v>
      </c>
      <c r="H233" s="3">
        <v>1.0</v>
      </c>
      <c r="I233" s="3">
        <v>1.0</v>
      </c>
      <c r="J233" s="3">
        <v>0.14</v>
      </c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3">
        <v>233.0</v>
      </c>
      <c r="B234" s="4">
        <v>40553.0</v>
      </c>
      <c r="C234" s="3">
        <v>1.0</v>
      </c>
      <c r="D234" s="3">
        <v>0.0</v>
      </c>
      <c r="E234" s="3">
        <v>1.0</v>
      </c>
      <c r="F234" s="3">
        <v>23.0</v>
      </c>
      <c r="G234" s="3" t="b">
        <f t="shared" si="1"/>
        <v>0</v>
      </c>
      <c r="H234" s="3">
        <v>1.0</v>
      </c>
      <c r="I234" s="3">
        <v>1.0</v>
      </c>
      <c r="J234" s="3">
        <v>0.14</v>
      </c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3">
        <v>234.0</v>
      </c>
      <c r="B235" s="4">
        <v>40554.0</v>
      </c>
      <c r="C235" s="3">
        <v>1.0</v>
      </c>
      <c r="D235" s="3">
        <v>0.0</v>
      </c>
      <c r="E235" s="3">
        <v>1.0</v>
      </c>
      <c r="F235" s="3">
        <v>0.0</v>
      </c>
      <c r="G235" s="3" t="b">
        <f t="shared" si="1"/>
        <v>0</v>
      </c>
      <c r="H235" s="3">
        <v>2.0</v>
      </c>
      <c r="I235" s="3">
        <v>1.0</v>
      </c>
      <c r="J235" s="3">
        <v>0.14</v>
      </c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3">
        <v>235.0</v>
      </c>
      <c r="B236" s="4">
        <v>40554.0</v>
      </c>
      <c r="C236" s="3">
        <v>1.0</v>
      </c>
      <c r="D236" s="3">
        <v>0.0</v>
      </c>
      <c r="E236" s="3">
        <v>1.0</v>
      </c>
      <c r="F236" s="3">
        <v>1.0</v>
      </c>
      <c r="G236" s="3" t="b">
        <f t="shared" si="1"/>
        <v>0</v>
      </c>
      <c r="H236" s="3">
        <v>2.0</v>
      </c>
      <c r="I236" s="3">
        <v>1.0</v>
      </c>
      <c r="J236" s="3">
        <v>0.14</v>
      </c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3">
        <v>236.0</v>
      </c>
      <c r="B237" s="4">
        <v>40554.0</v>
      </c>
      <c r="C237" s="3">
        <v>1.0</v>
      </c>
      <c r="D237" s="3">
        <v>0.0</v>
      </c>
      <c r="E237" s="3">
        <v>1.0</v>
      </c>
      <c r="F237" s="3">
        <v>2.0</v>
      </c>
      <c r="G237" s="3" t="b">
        <f t="shared" si="1"/>
        <v>0</v>
      </c>
      <c r="H237" s="3">
        <v>2.0</v>
      </c>
      <c r="I237" s="3">
        <v>2.0</v>
      </c>
      <c r="J237" s="3">
        <v>0.16</v>
      </c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3">
        <v>237.0</v>
      </c>
      <c r="B238" s="4">
        <v>40554.0</v>
      </c>
      <c r="C238" s="3">
        <v>1.0</v>
      </c>
      <c r="D238" s="3">
        <v>0.0</v>
      </c>
      <c r="E238" s="3">
        <v>1.0</v>
      </c>
      <c r="F238" s="3">
        <v>5.0</v>
      </c>
      <c r="G238" s="3" t="b">
        <f t="shared" si="1"/>
        <v>0</v>
      </c>
      <c r="H238" s="3">
        <v>2.0</v>
      </c>
      <c r="I238" s="3">
        <v>2.0</v>
      </c>
      <c r="J238" s="3">
        <v>0.16</v>
      </c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3">
        <v>238.0</v>
      </c>
      <c r="B239" s="4">
        <v>40554.0</v>
      </c>
      <c r="C239" s="3">
        <v>1.0</v>
      </c>
      <c r="D239" s="3">
        <v>0.0</v>
      </c>
      <c r="E239" s="3">
        <v>1.0</v>
      </c>
      <c r="F239" s="3">
        <v>6.0</v>
      </c>
      <c r="G239" s="3" t="b">
        <f t="shared" si="1"/>
        <v>0</v>
      </c>
      <c r="H239" s="3">
        <v>2.0</v>
      </c>
      <c r="I239" s="3">
        <v>2.0</v>
      </c>
      <c r="J239" s="3">
        <v>0.16</v>
      </c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3">
        <v>239.0</v>
      </c>
      <c r="B240" s="4">
        <v>40554.0</v>
      </c>
      <c r="C240" s="3">
        <v>1.0</v>
      </c>
      <c r="D240" s="3">
        <v>0.0</v>
      </c>
      <c r="E240" s="3">
        <v>1.0</v>
      </c>
      <c r="F240" s="3">
        <v>7.0</v>
      </c>
      <c r="G240" s="3" t="b">
        <f t="shared" si="1"/>
        <v>0</v>
      </c>
      <c r="H240" s="3">
        <v>2.0</v>
      </c>
      <c r="I240" s="3">
        <v>2.0</v>
      </c>
      <c r="J240" s="3">
        <v>0.16</v>
      </c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3">
        <v>240.0</v>
      </c>
      <c r="B241" s="4">
        <v>40554.0</v>
      </c>
      <c r="C241" s="3">
        <v>1.0</v>
      </c>
      <c r="D241" s="3">
        <v>0.0</v>
      </c>
      <c r="E241" s="3">
        <v>1.0</v>
      </c>
      <c r="F241" s="3">
        <v>8.0</v>
      </c>
      <c r="G241" s="3" t="b">
        <f t="shared" si="1"/>
        <v>0</v>
      </c>
      <c r="H241" s="3">
        <v>2.0</v>
      </c>
      <c r="I241" s="3">
        <v>2.0</v>
      </c>
      <c r="J241" s="3">
        <v>0.18</v>
      </c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3">
        <v>241.0</v>
      </c>
      <c r="B242" s="4">
        <v>40554.0</v>
      </c>
      <c r="C242" s="3">
        <v>1.0</v>
      </c>
      <c r="D242" s="3">
        <v>0.0</v>
      </c>
      <c r="E242" s="3">
        <v>1.0</v>
      </c>
      <c r="F242" s="3">
        <v>9.0</v>
      </c>
      <c r="G242" s="3" t="b">
        <f t="shared" si="1"/>
        <v>0</v>
      </c>
      <c r="H242" s="3">
        <v>2.0</v>
      </c>
      <c r="I242" s="3">
        <v>2.0</v>
      </c>
      <c r="J242" s="3">
        <v>0.18</v>
      </c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3">
        <v>242.0</v>
      </c>
      <c r="B243" s="4">
        <v>40554.0</v>
      </c>
      <c r="C243" s="3">
        <v>1.0</v>
      </c>
      <c r="D243" s="3">
        <v>0.0</v>
      </c>
      <c r="E243" s="3">
        <v>1.0</v>
      </c>
      <c r="F243" s="3">
        <v>10.0</v>
      </c>
      <c r="G243" s="3" t="b">
        <f t="shared" si="1"/>
        <v>0</v>
      </c>
      <c r="H243" s="3">
        <v>2.0</v>
      </c>
      <c r="I243" s="3">
        <v>2.0</v>
      </c>
      <c r="J243" s="3">
        <v>0.2</v>
      </c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3">
        <v>243.0</v>
      </c>
      <c r="B244" s="4">
        <v>40554.0</v>
      </c>
      <c r="C244" s="3">
        <v>1.0</v>
      </c>
      <c r="D244" s="3">
        <v>0.0</v>
      </c>
      <c r="E244" s="3">
        <v>1.0</v>
      </c>
      <c r="F244" s="3">
        <v>11.0</v>
      </c>
      <c r="G244" s="3" t="b">
        <f t="shared" si="1"/>
        <v>0</v>
      </c>
      <c r="H244" s="3">
        <v>2.0</v>
      </c>
      <c r="I244" s="3">
        <v>2.0</v>
      </c>
      <c r="J244" s="3">
        <v>0.2</v>
      </c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3">
        <v>244.0</v>
      </c>
      <c r="B245" s="4">
        <v>40554.0</v>
      </c>
      <c r="C245" s="3">
        <v>1.0</v>
      </c>
      <c r="D245" s="3">
        <v>0.0</v>
      </c>
      <c r="E245" s="3">
        <v>1.0</v>
      </c>
      <c r="F245" s="3">
        <v>12.0</v>
      </c>
      <c r="G245" s="3" t="b">
        <f t="shared" si="1"/>
        <v>0</v>
      </c>
      <c r="H245" s="3">
        <v>2.0</v>
      </c>
      <c r="I245" s="3">
        <v>2.0</v>
      </c>
      <c r="J245" s="3">
        <v>0.2</v>
      </c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3">
        <v>245.0</v>
      </c>
      <c r="B246" s="4">
        <v>40554.0</v>
      </c>
      <c r="C246" s="3">
        <v>1.0</v>
      </c>
      <c r="D246" s="3">
        <v>0.0</v>
      </c>
      <c r="E246" s="3">
        <v>1.0</v>
      </c>
      <c r="F246" s="3">
        <v>13.0</v>
      </c>
      <c r="G246" s="3" t="b">
        <f t="shared" si="1"/>
        <v>0</v>
      </c>
      <c r="H246" s="3">
        <v>2.0</v>
      </c>
      <c r="I246" s="3">
        <v>2.0</v>
      </c>
      <c r="J246" s="3">
        <v>0.2</v>
      </c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3">
        <v>246.0</v>
      </c>
      <c r="B247" s="4">
        <v>40554.0</v>
      </c>
      <c r="C247" s="3">
        <v>1.0</v>
      </c>
      <c r="D247" s="3">
        <v>0.0</v>
      </c>
      <c r="E247" s="3">
        <v>1.0</v>
      </c>
      <c r="F247" s="3">
        <v>14.0</v>
      </c>
      <c r="G247" s="3" t="b">
        <f t="shared" si="1"/>
        <v>0</v>
      </c>
      <c r="H247" s="3">
        <v>2.0</v>
      </c>
      <c r="I247" s="3">
        <v>2.0</v>
      </c>
      <c r="J247" s="3">
        <v>0.2</v>
      </c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3">
        <v>247.0</v>
      </c>
      <c r="B248" s="4">
        <v>40554.0</v>
      </c>
      <c r="C248" s="3">
        <v>1.0</v>
      </c>
      <c r="D248" s="3">
        <v>0.0</v>
      </c>
      <c r="E248" s="3">
        <v>1.0</v>
      </c>
      <c r="F248" s="3">
        <v>15.0</v>
      </c>
      <c r="G248" s="3" t="b">
        <f t="shared" si="1"/>
        <v>0</v>
      </c>
      <c r="H248" s="3">
        <v>2.0</v>
      </c>
      <c r="I248" s="3">
        <v>2.0</v>
      </c>
      <c r="J248" s="3">
        <v>0.16</v>
      </c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3">
        <v>248.0</v>
      </c>
      <c r="B249" s="4">
        <v>40554.0</v>
      </c>
      <c r="C249" s="3">
        <v>1.0</v>
      </c>
      <c r="D249" s="3">
        <v>0.0</v>
      </c>
      <c r="E249" s="3">
        <v>1.0</v>
      </c>
      <c r="F249" s="3">
        <v>16.0</v>
      </c>
      <c r="G249" s="3" t="b">
        <f t="shared" si="1"/>
        <v>0</v>
      </c>
      <c r="H249" s="3">
        <v>2.0</v>
      </c>
      <c r="I249" s="3">
        <v>2.0</v>
      </c>
      <c r="J249" s="3">
        <v>0.16</v>
      </c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3">
        <v>249.0</v>
      </c>
      <c r="B250" s="4">
        <v>40554.0</v>
      </c>
      <c r="C250" s="3">
        <v>1.0</v>
      </c>
      <c r="D250" s="3">
        <v>0.0</v>
      </c>
      <c r="E250" s="3">
        <v>1.0</v>
      </c>
      <c r="F250" s="3">
        <v>17.0</v>
      </c>
      <c r="G250" s="3" t="b">
        <f t="shared" si="1"/>
        <v>0</v>
      </c>
      <c r="H250" s="3">
        <v>2.0</v>
      </c>
      <c r="I250" s="3">
        <v>2.0</v>
      </c>
      <c r="J250" s="3">
        <v>0.16</v>
      </c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3">
        <v>250.0</v>
      </c>
      <c r="B251" s="4">
        <v>40554.0</v>
      </c>
      <c r="C251" s="3">
        <v>1.0</v>
      </c>
      <c r="D251" s="3">
        <v>0.0</v>
      </c>
      <c r="E251" s="3">
        <v>1.0</v>
      </c>
      <c r="F251" s="3">
        <v>18.0</v>
      </c>
      <c r="G251" s="3" t="b">
        <f t="shared" si="1"/>
        <v>0</v>
      </c>
      <c r="H251" s="3">
        <v>2.0</v>
      </c>
      <c r="I251" s="3">
        <v>3.0</v>
      </c>
      <c r="J251" s="3">
        <v>0.16</v>
      </c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3">
        <v>251.0</v>
      </c>
      <c r="B252" s="4">
        <v>40554.0</v>
      </c>
      <c r="C252" s="3">
        <v>1.0</v>
      </c>
      <c r="D252" s="3">
        <v>0.0</v>
      </c>
      <c r="E252" s="3">
        <v>1.0</v>
      </c>
      <c r="F252" s="3">
        <v>19.0</v>
      </c>
      <c r="G252" s="3" t="b">
        <f t="shared" si="1"/>
        <v>0</v>
      </c>
      <c r="H252" s="3">
        <v>2.0</v>
      </c>
      <c r="I252" s="3">
        <v>3.0</v>
      </c>
      <c r="J252" s="3">
        <v>0.16</v>
      </c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3">
        <v>252.0</v>
      </c>
      <c r="B253" s="4">
        <v>40554.0</v>
      </c>
      <c r="C253" s="3">
        <v>1.0</v>
      </c>
      <c r="D253" s="3">
        <v>0.0</v>
      </c>
      <c r="E253" s="3">
        <v>1.0</v>
      </c>
      <c r="F253" s="3">
        <v>20.0</v>
      </c>
      <c r="G253" s="3" t="b">
        <f t="shared" si="1"/>
        <v>0</v>
      </c>
      <c r="H253" s="3">
        <v>2.0</v>
      </c>
      <c r="I253" s="3">
        <v>3.0</v>
      </c>
      <c r="J253" s="3">
        <v>0.16</v>
      </c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3">
        <v>253.0</v>
      </c>
      <c r="B254" s="4">
        <v>40554.0</v>
      </c>
      <c r="C254" s="3">
        <v>1.0</v>
      </c>
      <c r="D254" s="3">
        <v>0.0</v>
      </c>
      <c r="E254" s="3">
        <v>1.0</v>
      </c>
      <c r="F254" s="3">
        <v>21.0</v>
      </c>
      <c r="G254" s="3" t="b">
        <f t="shared" si="1"/>
        <v>0</v>
      </c>
      <c r="H254" s="3">
        <v>2.0</v>
      </c>
      <c r="I254" s="3">
        <v>3.0</v>
      </c>
      <c r="J254" s="3">
        <v>0.16</v>
      </c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3">
        <v>254.0</v>
      </c>
      <c r="B255" s="4">
        <v>40554.0</v>
      </c>
      <c r="C255" s="3">
        <v>1.0</v>
      </c>
      <c r="D255" s="3">
        <v>0.0</v>
      </c>
      <c r="E255" s="3">
        <v>1.0</v>
      </c>
      <c r="F255" s="3">
        <v>22.0</v>
      </c>
      <c r="G255" s="3" t="b">
        <f t="shared" si="1"/>
        <v>0</v>
      </c>
      <c r="H255" s="3">
        <v>2.0</v>
      </c>
      <c r="I255" s="3">
        <v>3.0</v>
      </c>
      <c r="J255" s="3">
        <v>0.16</v>
      </c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3">
        <v>255.0</v>
      </c>
      <c r="B256" s="4">
        <v>40554.0</v>
      </c>
      <c r="C256" s="3">
        <v>1.0</v>
      </c>
      <c r="D256" s="3">
        <v>0.0</v>
      </c>
      <c r="E256" s="3">
        <v>1.0</v>
      </c>
      <c r="F256" s="3">
        <v>23.0</v>
      </c>
      <c r="G256" s="3" t="b">
        <f t="shared" si="1"/>
        <v>0</v>
      </c>
      <c r="H256" s="3">
        <v>2.0</v>
      </c>
      <c r="I256" s="3">
        <v>3.0</v>
      </c>
      <c r="J256" s="3">
        <v>0.16</v>
      </c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3">
        <v>256.0</v>
      </c>
      <c r="B257" s="4">
        <v>40555.0</v>
      </c>
      <c r="C257" s="3">
        <v>1.0</v>
      </c>
      <c r="D257" s="3">
        <v>0.0</v>
      </c>
      <c r="E257" s="3">
        <v>1.0</v>
      </c>
      <c r="F257" s="3">
        <v>0.0</v>
      </c>
      <c r="G257" s="3" t="b">
        <f t="shared" si="1"/>
        <v>0</v>
      </c>
      <c r="H257" s="3">
        <v>3.0</v>
      </c>
      <c r="I257" s="3">
        <v>2.0</v>
      </c>
      <c r="J257" s="3">
        <v>0.16</v>
      </c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3">
        <v>257.0</v>
      </c>
      <c r="B258" s="4">
        <v>40555.0</v>
      </c>
      <c r="C258" s="3">
        <v>1.0</v>
      </c>
      <c r="D258" s="3">
        <v>0.0</v>
      </c>
      <c r="E258" s="3">
        <v>1.0</v>
      </c>
      <c r="F258" s="3">
        <v>1.0</v>
      </c>
      <c r="G258" s="3" t="b">
        <f t="shared" si="1"/>
        <v>0</v>
      </c>
      <c r="H258" s="3">
        <v>3.0</v>
      </c>
      <c r="I258" s="3">
        <v>2.0</v>
      </c>
      <c r="J258" s="3">
        <v>0.16</v>
      </c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3">
        <v>258.0</v>
      </c>
      <c r="B259" s="4">
        <v>40555.0</v>
      </c>
      <c r="C259" s="3">
        <v>1.0</v>
      </c>
      <c r="D259" s="3">
        <v>0.0</v>
      </c>
      <c r="E259" s="3">
        <v>1.0</v>
      </c>
      <c r="F259" s="3">
        <v>2.0</v>
      </c>
      <c r="G259" s="3" t="b">
        <f t="shared" si="1"/>
        <v>0</v>
      </c>
      <c r="H259" s="3">
        <v>3.0</v>
      </c>
      <c r="I259" s="3">
        <v>1.0</v>
      </c>
      <c r="J259" s="3">
        <v>0.14</v>
      </c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3">
        <v>259.0</v>
      </c>
      <c r="B260" s="4">
        <v>40555.0</v>
      </c>
      <c r="C260" s="3">
        <v>1.0</v>
      </c>
      <c r="D260" s="3">
        <v>0.0</v>
      </c>
      <c r="E260" s="3">
        <v>1.0</v>
      </c>
      <c r="F260" s="3">
        <v>5.0</v>
      </c>
      <c r="G260" s="3" t="b">
        <f t="shared" si="1"/>
        <v>0</v>
      </c>
      <c r="H260" s="3">
        <v>3.0</v>
      </c>
      <c r="I260" s="3">
        <v>1.0</v>
      </c>
      <c r="J260" s="3">
        <v>0.14</v>
      </c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3">
        <v>260.0</v>
      </c>
      <c r="B261" s="4">
        <v>40555.0</v>
      </c>
      <c r="C261" s="3">
        <v>1.0</v>
      </c>
      <c r="D261" s="3">
        <v>0.0</v>
      </c>
      <c r="E261" s="3">
        <v>1.0</v>
      </c>
      <c r="F261" s="3">
        <v>6.0</v>
      </c>
      <c r="G261" s="3" t="b">
        <f t="shared" si="1"/>
        <v>0</v>
      </c>
      <c r="H261" s="3">
        <v>3.0</v>
      </c>
      <c r="I261" s="3">
        <v>1.0</v>
      </c>
      <c r="J261" s="3">
        <v>0.12</v>
      </c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3">
        <v>261.0</v>
      </c>
      <c r="B262" s="4">
        <v>40555.0</v>
      </c>
      <c r="C262" s="3">
        <v>1.0</v>
      </c>
      <c r="D262" s="3">
        <v>0.0</v>
      </c>
      <c r="E262" s="3">
        <v>1.0</v>
      </c>
      <c r="F262" s="3">
        <v>7.0</v>
      </c>
      <c r="G262" s="3" t="b">
        <f t="shared" si="1"/>
        <v>0</v>
      </c>
      <c r="H262" s="3">
        <v>3.0</v>
      </c>
      <c r="I262" s="3">
        <v>1.0</v>
      </c>
      <c r="J262" s="3">
        <v>0.14</v>
      </c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3">
        <v>262.0</v>
      </c>
      <c r="B263" s="4">
        <v>40555.0</v>
      </c>
      <c r="C263" s="3">
        <v>1.0</v>
      </c>
      <c r="D263" s="3">
        <v>0.0</v>
      </c>
      <c r="E263" s="3">
        <v>1.0</v>
      </c>
      <c r="F263" s="3">
        <v>8.0</v>
      </c>
      <c r="G263" s="3" t="b">
        <f t="shared" si="1"/>
        <v>0</v>
      </c>
      <c r="H263" s="3">
        <v>3.0</v>
      </c>
      <c r="I263" s="3">
        <v>1.0</v>
      </c>
      <c r="J263" s="3">
        <v>0.16</v>
      </c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3">
        <v>263.0</v>
      </c>
      <c r="B264" s="4">
        <v>40555.0</v>
      </c>
      <c r="C264" s="3">
        <v>1.0</v>
      </c>
      <c r="D264" s="3">
        <v>0.0</v>
      </c>
      <c r="E264" s="3">
        <v>1.0</v>
      </c>
      <c r="F264" s="3">
        <v>9.0</v>
      </c>
      <c r="G264" s="3" t="b">
        <f t="shared" si="1"/>
        <v>0</v>
      </c>
      <c r="H264" s="3">
        <v>3.0</v>
      </c>
      <c r="I264" s="3">
        <v>1.0</v>
      </c>
      <c r="J264" s="3">
        <v>0.16</v>
      </c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3">
        <v>264.0</v>
      </c>
      <c r="B265" s="4">
        <v>40555.0</v>
      </c>
      <c r="C265" s="3">
        <v>1.0</v>
      </c>
      <c r="D265" s="3">
        <v>0.0</v>
      </c>
      <c r="E265" s="3">
        <v>1.0</v>
      </c>
      <c r="F265" s="3">
        <v>10.0</v>
      </c>
      <c r="G265" s="3" t="b">
        <f t="shared" si="1"/>
        <v>0</v>
      </c>
      <c r="H265" s="3">
        <v>3.0</v>
      </c>
      <c r="I265" s="3">
        <v>1.0</v>
      </c>
      <c r="J265" s="3">
        <v>0.18</v>
      </c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3">
        <v>265.0</v>
      </c>
      <c r="B266" s="4">
        <v>40555.0</v>
      </c>
      <c r="C266" s="3">
        <v>1.0</v>
      </c>
      <c r="D266" s="3">
        <v>0.0</v>
      </c>
      <c r="E266" s="3">
        <v>1.0</v>
      </c>
      <c r="F266" s="3">
        <v>11.0</v>
      </c>
      <c r="G266" s="3" t="b">
        <f t="shared" si="1"/>
        <v>0</v>
      </c>
      <c r="H266" s="3">
        <v>3.0</v>
      </c>
      <c r="I266" s="3">
        <v>1.0</v>
      </c>
      <c r="J266" s="3">
        <v>0.2</v>
      </c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3">
        <v>266.0</v>
      </c>
      <c r="B267" s="4">
        <v>40555.0</v>
      </c>
      <c r="C267" s="3">
        <v>1.0</v>
      </c>
      <c r="D267" s="3">
        <v>0.0</v>
      </c>
      <c r="E267" s="3">
        <v>1.0</v>
      </c>
      <c r="F267" s="3">
        <v>12.0</v>
      </c>
      <c r="G267" s="3" t="b">
        <f t="shared" si="1"/>
        <v>0</v>
      </c>
      <c r="H267" s="3">
        <v>3.0</v>
      </c>
      <c r="I267" s="3">
        <v>1.0</v>
      </c>
      <c r="J267" s="3">
        <v>0.2</v>
      </c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3">
        <v>267.0</v>
      </c>
      <c r="B268" s="4">
        <v>40555.0</v>
      </c>
      <c r="C268" s="3">
        <v>1.0</v>
      </c>
      <c r="D268" s="3">
        <v>0.0</v>
      </c>
      <c r="E268" s="3">
        <v>1.0</v>
      </c>
      <c r="F268" s="3">
        <v>13.0</v>
      </c>
      <c r="G268" s="3" t="b">
        <f t="shared" si="1"/>
        <v>0</v>
      </c>
      <c r="H268" s="3">
        <v>3.0</v>
      </c>
      <c r="I268" s="3">
        <v>1.0</v>
      </c>
      <c r="J268" s="3">
        <v>0.22</v>
      </c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3">
        <v>268.0</v>
      </c>
      <c r="B269" s="4">
        <v>40555.0</v>
      </c>
      <c r="C269" s="3">
        <v>1.0</v>
      </c>
      <c r="D269" s="3">
        <v>0.0</v>
      </c>
      <c r="E269" s="3">
        <v>1.0</v>
      </c>
      <c r="F269" s="3">
        <v>14.0</v>
      </c>
      <c r="G269" s="3" t="b">
        <f t="shared" si="1"/>
        <v>0</v>
      </c>
      <c r="H269" s="3">
        <v>3.0</v>
      </c>
      <c r="I269" s="3">
        <v>1.0</v>
      </c>
      <c r="J269" s="3">
        <v>0.2</v>
      </c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3">
        <v>269.0</v>
      </c>
      <c r="B270" s="4">
        <v>40555.0</v>
      </c>
      <c r="C270" s="3">
        <v>1.0</v>
      </c>
      <c r="D270" s="3">
        <v>0.0</v>
      </c>
      <c r="E270" s="3">
        <v>1.0</v>
      </c>
      <c r="F270" s="3">
        <v>15.0</v>
      </c>
      <c r="G270" s="3" t="b">
        <f t="shared" si="1"/>
        <v>0</v>
      </c>
      <c r="H270" s="3">
        <v>3.0</v>
      </c>
      <c r="I270" s="3">
        <v>1.0</v>
      </c>
      <c r="J270" s="3">
        <v>0.2</v>
      </c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3">
        <v>270.0</v>
      </c>
      <c r="B271" s="4">
        <v>40555.0</v>
      </c>
      <c r="C271" s="3">
        <v>1.0</v>
      </c>
      <c r="D271" s="3">
        <v>0.0</v>
      </c>
      <c r="E271" s="3">
        <v>1.0</v>
      </c>
      <c r="F271" s="3">
        <v>16.0</v>
      </c>
      <c r="G271" s="3" t="b">
        <f t="shared" si="1"/>
        <v>0</v>
      </c>
      <c r="H271" s="3">
        <v>3.0</v>
      </c>
      <c r="I271" s="3">
        <v>1.0</v>
      </c>
      <c r="J271" s="3">
        <v>0.22</v>
      </c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3">
        <v>271.0</v>
      </c>
      <c r="B272" s="4">
        <v>40555.0</v>
      </c>
      <c r="C272" s="3">
        <v>1.0</v>
      </c>
      <c r="D272" s="3">
        <v>0.0</v>
      </c>
      <c r="E272" s="3">
        <v>1.0</v>
      </c>
      <c r="F272" s="3">
        <v>17.0</v>
      </c>
      <c r="G272" s="3" t="b">
        <f t="shared" si="1"/>
        <v>0</v>
      </c>
      <c r="H272" s="3">
        <v>3.0</v>
      </c>
      <c r="I272" s="3">
        <v>1.0</v>
      </c>
      <c r="J272" s="3">
        <v>0.2</v>
      </c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3">
        <v>272.0</v>
      </c>
      <c r="B273" s="4">
        <v>40555.0</v>
      </c>
      <c r="C273" s="3">
        <v>1.0</v>
      </c>
      <c r="D273" s="3">
        <v>0.0</v>
      </c>
      <c r="E273" s="3">
        <v>1.0</v>
      </c>
      <c r="F273" s="3">
        <v>18.0</v>
      </c>
      <c r="G273" s="3" t="b">
        <f t="shared" si="1"/>
        <v>0</v>
      </c>
      <c r="H273" s="3">
        <v>3.0</v>
      </c>
      <c r="I273" s="3">
        <v>1.0</v>
      </c>
      <c r="J273" s="3">
        <v>0.2</v>
      </c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3">
        <v>273.0</v>
      </c>
      <c r="B274" s="4">
        <v>40555.0</v>
      </c>
      <c r="C274" s="3">
        <v>1.0</v>
      </c>
      <c r="D274" s="3">
        <v>0.0</v>
      </c>
      <c r="E274" s="3">
        <v>1.0</v>
      </c>
      <c r="F274" s="3">
        <v>19.0</v>
      </c>
      <c r="G274" s="3" t="b">
        <f t="shared" si="1"/>
        <v>0</v>
      </c>
      <c r="H274" s="3">
        <v>3.0</v>
      </c>
      <c r="I274" s="3">
        <v>1.0</v>
      </c>
      <c r="J274" s="3">
        <v>0.18</v>
      </c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3">
        <v>274.0</v>
      </c>
      <c r="B275" s="4">
        <v>40555.0</v>
      </c>
      <c r="C275" s="3">
        <v>1.0</v>
      </c>
      <c r="D275" s="3">
        <v>0.0</v>
      </c>
      <c r="E275" s="3">
        <v>1.0</v>
      </c>
      <c r="F275" s="3">
        <v>20.0</v>
      </c>
      <c r="G275" s="3" t="b">
        <f t="shared" si="1"/>
        <v>0</v>
      </c>
      <c r="H275" s="3">
        <v>3.0</v>
      </c>
      <c r="I275" s="3">
        <v>1.0</v>
      </c>
      <c r="J275" s="3">
        <v>0.16</v>
      </c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3">
        <v>275.0</v>
      </c>
      <c r="B276" s="4">
        <v>40555.0</v>
      </c>
      <c r="C276" s="3">
        <v>1.0</v>
      </c>
      <c r="D276" s="3">
        <v>0.0</v>
      </c>
      <c r="E276" s="3">
        <v>1.0</v>
      </c>
      <c r="F276" s="3">
        <v>21.0</v>
      </c>
      <c r="G276" s="3" t="b">
        <f t="shared" si="1"/>
        <v>0</v>
      </c>
      <c r="H276" s="3">
        <v>3.0</v>
      </c>
      <c r="I276" s="3">
        <v>1.0</v>
      </c>
      <c r="J276" s="3">
        <v>0.16</v>
      </c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3">
        <v>276.0</v>
      </c>
      <c r="B277" s="4">
        <v>40555.0</v>
      </c>
      <c r="C277" s="3">
        <v>1.0</v>
      </c>
      <c r="D277" s="3">
        <v>0.0</v>
      </c>
      <c r="E277" s="3">
        <v>1.0</v>
      </c>
      <c r="F277" s="3">
        <v>22.0</v>
      </c>
      <c r="G277" s="3" t="b">
        <f t="shared" si="1"/>
        <v>0</v>
      </c>
      <c r="H277" s="3">
        <v>3.0</v>
      </c>
      <c r="I277" s="3">
        <v>1.0</v>
      </c>
      <c r="J277" s="3">
        <v>0.16</v>
      </c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3">
        <v>277.0</v>
      </c>
      <c r="B278" s="4">
        <v>40555.0</v>
      </c>
      <c r="C278" s="3">
        <v>1.0</v>
      </c>
      <c r="D278" s="3">
        <v>0.0</v>
      </c>
      <c r="E278" s="3">
        <v>1.0</v>
      </c>
      <c r="F278" s="3">
        <v>23.0</v>
      </c>
      <c r="G278" s="3" t="b">
        <f t="shared" si="1"/>
        <v>0</v>
      </c>
      <c r="H278" s="3">
        <v>3.0</v>
      </c>
      <c r="I278" s="3">
        <v>1.0</v>
      </c>
      <c r="J278" s="3">
        <v>0.14</v>
      </c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3">
        <v>278.0</v>
      </c>
      <c r="B279" s="4">
        <v>40556.0</v>
      </c>
      <c r="C279" s="3">
        <v>1.0</v>
      </c>
      <c r="D279" s="3">
        <v>0.0</v>
      </c>
      <c r="E279" s="3">
        <v>1.0</v>
      </c>
      <c r="F279" s="3">
        <v>0.0</v>
      </c>
      <c r="G279" s="3" t="b">
        <f t="shared" si="1"/>
        <v>0</v>
      </c>
      <c r="H279" s="3">
        <v>4.0</v>
      </c>
      <c r="I279" s="3">
        <v>1.0</v>
      </c>
      <c r="J279" s="3">
        <v>0.14</v>
      </c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3">
        <v>279.0</v>
      </c>
      <c r="B280" s="4">
        <v>40556.0</v>
      </c>
      <c r="C280" s="3">
        <v>1.0</v>
      </c>
      <c r="D280" s="3">
        <v>0.0</v>
      </c>
      <c r="E280" s="3">
        <v>1.0</v>
      </c>
      <c r="F280" s="3">
        <v>1.0</v>
      </c>
      <c r="G280" s="3" t="b">
        <f t="shared" si="1"/>
        <v>0</v>
      </c>
      <c r="H280" s="3">
        <v>4.0</v>
      </c>
      <c r="I280" s="3">
        <v>1.0</v>
      </c>
      <c r="J280" s="3">
        <v>0.14</v>
      </c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3">
        <v>280.0</v>
      </c>
      <c r="B281" s="4">
        <v>40556.0</v>
      </c>
      <c r="C281" s="3">
        <v>1.0</v>
      </c>
      <c r="D281" s="3">
        <v>0.0</v>
      </c>
      <c r="E281" s="3">
        <v>1.0</v>
      </c>
      <c r="F281" s="3">
        <v>2.0</v>
      </c>
      <c r="G281" s="3" t="b">
        <f t="shared" si="1"/>
        <v>0</v>
      </c>
      <c r="H281" s="3">
        <v>4.0</v>
      </c>
      <c r="I281" s="3">
        <v>1.0</v>
      </c>
      <c r="J281" s="3">
        <v>0.14</v>
      </c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3">
        <v>281.0</v>
      </c>
      <c r="B282" s="4">
        <v>40556.0</v>
      </c>
      <c r="C282" s="3">
        <v>1.0</v>
      </c>
      <c r="D282" s="3">
        <v>0.0</v>
      </c>
      <c r="E282" s="3">
        <v>1.0</v>
      </c>
      <c r="F282" s="3">
        <v>3.0</v>
      </c>
      <c r="G282" s="3" t="b">
        <f t="shared" si="1"/>
        <v>0</v>
      </c>
      <c r="H282" s="3">
        <v>4.0</v>
      </c>
      <c r="I282" s="3">
        <v>1.0</v>
      </c>
      <c r="J282" s="3">
        <v>0.14</v>
      </c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3">
        <v>282.0</v>
      </c>
      <c r="B283" s="4">
        <v>40556.0</v>
      </c>
      <c r="C283" s="3">
        <v>1.0</v>
      </c>
      <c r="D283" s="3">
        <v>0.0</v>
      </c>
      <c r="E283" s="3">
        <v>1.0</v>
      </c>
      <c r="F283" s="3">
        <v>4.0</v>
      </c>
      <c r="G283" s="3" t="b">
        <f t="shared" si="1"/>
        <v>0</v>
      </c>
      <c r="H283" s="3">
        <v>4.0</v>
      </c>
      <c r="I283" s="3">
        <v>1.0</v>
      </c>
      <c r="J283" s="3">
        <v>0.14</v>
      </c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3">
        <v>283.0</v>
      </c>
      <c r="B284" s="4">
        <v>40556.0</v>
      </c>
      <c r="C284" s="3">
        <v>1.0</v>
      </c>
      <c r="D284" s="3">
        <v>0.0</v>
      </c>
      <c r="E284" s="3">
        <v>1.0</v>
      </c>
      <c r="F284" s="3">
        <v>5.0</v>
      </c>
      <c r="G284" s="3" t="b">
        <f t="shared" si="1"/>
        <v>0</v>
      </c>
      <c r="H284" s="3">
        <v>4.0</v>
      </c>
      <c r="I284" s="3">
        <v>1.0</v>
      </c>
      <c r="J284" s="3">
        <v>0.14</v>
      </c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3">
        <v>284.0</v>
      </c>
      <c r="B285" s="4">
        <v>40556.0</v>
      </c>
      <c r="C285" s="3">
        <v>1.0</v>
      </c>
      <c r="D285" s="3">
        <v>0.0</v>
      </c>
      <c r="E285" s="3">
        <v>1.0</v>
      </c>
      <c r="F285" s="3">
        <v>6.0</v>
      </c>
      <c r="G285" s="3" t="b">
        <f t="shared" si="1"/>
        <v>0</v>
      </c>
      <c r="H285" s="3">
        <v>4.0</v>
      </c>
      <c r="I285" s="3">
        <v>1.0</v>
      </c>
      <c r="J285" s="3">
        <v>0.12</v>
      </c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3">
        <v>285.0</v>
      </c>
      <c r="B286" s="4">
        <v>40556.0</v>
      </c>
      <c r="C286" s="3">
        <v>1.0</v>
      </c>
      <c r="D286" s="3">
        <v>0.0</v>
      </c>
      <c r="E286" s="3">
        <v>1.0</v>
      </c>
      <c r="F286" s="3">
        <v>7.0</v>
      </c>
      <c r="G286" s="3" t="b">
        <f t="shared" si="1"/>
        <v>0</v>
      </c>
      <c r="H286" s="3">
        <v>4.0</v>
      </c>
      <c r="I286" s="3">
        <v>1.0</v>
      </c>
      <c r="J286" s="3">
        <v>0.12</v>
      </c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3">
        <v>286.0</v>
      </c>
      <c r="B287" s="4">
        <v>40556.0</v>
      </c>
      <c r="C287" s="3">
        <v>1.0</v>
      </c>
      <c r="D287" s="3">
        <v>0.0</v>
      </c>
      <c r="E287" s="3">
        <v>1.0</v>
      </c>
      <c r="F287" s="3">
        <v>8.0</v>
      </c>
      <c r="G287" s="3" t="b">
        <f t="shared" si="1"/>
        <v>0</v>
      </c>
      <c r="H287" s="3">
        <v>4.0</v>
      </c>
      <c r="I287" s="3">
        <v>1.0</v>
      </c>
      <c r="J287" s="3">
        <v>0.14</v>
      </c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3">
        <v>287.0</v>
      </c>
      <c r="B288" s="4">
        <v>40556.0</v>
      </c>
      <c r="C288" s="3">
        <v>1.0</v>
      </c>
      <c r="D288" s="3">
        <v>0.0</v>
      </c>
      <c r="E288" s="3">
        <v>1.0</v>
      </c>
      <c r="F288" s="3">
        <v>9.0</v>
      </c>
      <c r="G288" s="3" t="b">
        <f t="shared" si="1"/>
        <v>0</v>
      </c>
      <c r="H288" s="3">
        <v>4.0</v>
      </c>
      <c r="I288" s="3">
        <v>1.0</v>
      </c>
      <c r="J288" s="3">
        <v>0.14</v>
      </c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3">
        <v>288.0</v>
      </c>
      <c r="B289" s="4">
        <v>40556.0</v>
      </c>
      <c r="C289" s="3">
        <v>1.0</v>
      </c>
      <c r="D289" s="3">
        <v>0.0</v>
      </c>
      <c r="E289" s="3">
        <v>1.0</v>
      </c>
      <c r="F289" s="3">
        <v>10.0</v>
      </c>
      <c r="G289" s="3" t="b">
        <f t="shared" si="1"/>
        <v>0</v>
      </c>
      <c r="H289" s="3">
        <v>4.0</v>
      </c>
      <c r="I289" s="3">
        <v>2.0</v>
      </c>
      <c r="J289" s="3">
        <v>0.16</v>
      </c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3">
        <v>289.0</v>
      </c>
      <c r="B290" s="4">
        <v>40556.0</v>
      </c>
      <c r="C290" s="3">
        <v>1.0</v>
      </c>
      <c r="D290" s="3">
        <v>0.0</v>
      </c>
      <c r="E290" s="3">
        <v>1.0</v>
      </c>
      <c r="F290" s="3">
        <v>11.0</v>
      </c>
      <c r="G290" s="3" t="b">
        <f t="shared" si="1"/>
        <v>0</v>
      </c>
      <c r="H290" s="3">
        <v>4.0</v>
      </c>
      <c r="I290" s="3">
        <v>2.0</v>
      </c>
      <c r="J290" s="3">
        <v>0.2</v>
      </c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3">
        <v>290.0</v>
      </c>
      <c r="B291" s="4">
        <v>40556.0</v>
      </c>
      <c r="C291" s="3">
        <v>1.0</v>
      </c>
      <c r="D291" s="3">
        <v>0.0</v>
      </c>
      <c r="E291" s="3">
        <v>1.0</v>
      </c>
      <c r="F291" s="3">
        <v>12.0</v>
      </c>
      <c r="G291" s="3" t="b">
        <f t="shared" si="1"/>
        <v>0</v>
      </c>
      <c r="H291" s="3">
        <v>4.0</v>
      </c>
      <c r="I291" s="3">
        <v>1.0</v>
      </c>
      <c r="J291" s="3">
        <v>0.2</v>
      </c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3">
        <v>291.0</v>
      </c>
      <c r="B292" s="4">
        <v>40556.0</v>
      </c>
      <c r="C292" s="3">
        <v>1.0</v>
      </c>
      <c r="D292" s="3">
        <v>0.0</v>
      </c>
      <c r="E292" s="3">
        <v>1.0</v>
      </c>
      <c r="F292" s="3">
        <v>13.0</v>
      </c>
      <c r="G292" s="3" t="b">
        <f t="shared" si="1"/>
        <v>0</v>
      </c>
      <c r="H292" s="3">
        <v>4.0</v>
      </c>
      <c r="I292" s="3">
        <v>1.0</v>
      </c>
      <c r="J292" s="3">
        <v>0.22</v>
      </c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3">
        <v>292.0</v>
      </c>
      <c r="B293" s="4">
        <v>40556.0</v>
      </c>
      <c r="C293" s="3">
        <v>1.0</v>
      </c>
      <c r="D293" s="3">
        <v>0.0</v>
      </c>
      <c r="E293" s="3">
        <v>1.0</v>
      </c>
      <c r="F293" s="3">
        <v>14.0</v>
      </c>
      <c r="G293" s="3" t="b">
        <f t="shared" si="1"/>
        <v>0</v>
      </c>
      <c r="H293" s="3">
        <v>4.0</v>
      </c>
      <c r="I293" s="3">
        <v>1.0</v>
      </c>
      <c r="J293" s="3">
        <v>0.22</v>
      </c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3">
        <v>293.0</v>
      </c>
      <c r="B294" s="4">
        <v>40556.0</v>
      </c>
      <c r="C294" s="3">
        <v>1.0</v>
      </c>
      <c r="D294" s="3">
        <v>0.0</v>
      </c>
      <c r="E294" s="3">
        <v>1.0</v>
      </c>
      <c r="F294" s="3">
        <v>15.0</v>
      </c>
      <c r="G294" s="3" t="b">
        <f t="shared" si="1"/>
        <v>0</v>
      </c>
      <c r="H294" s="3">
        <v>4.0</v>
      </c>
      <c r="I294" s="3">
        <v>1.0</v>
      </c>
      <c r="J294" s="3">
        <v>0.24</v>
      </c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3">
        <v>294.0</v>
      </c>
      <c r="B295" s="4">
        <v>40556.0</v>
      </c>
      <c r="C295" s="3">
        <v>1.0</v>
      </c>
      <c r="D295" s="3">
        <v>0.0</v>
      </c>
      <c r="E295" s="3">
        <v>1.0</v>
      </c>
      <c r="F295" s="3">
        <v>16.0</v>
      </c>
      <c r="G295" s="3" t="b">
        <f t="shared" si="1"/>
        <v>0</v>
      </c>
      <c r="H295" s="3">
        <v>4.0</v>
      </c>
      <c r="I295" s="3">
        <v>1.0</v>
      </c>
      <c r="J295" s="3">
        <v>0.24</v>
      </c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3">
        <v>295.0</v>
      </c>
      <c r="B296" s="4">
        <v>40556.0</v>
      </c>
      <c r="C296" s="3">
        <v>1.0</v>
      </c>
      <c r="D296" s="3">
        <v>0.0</v>
      </c>
      <c r="E296" s="3">
        <v>1.0</v>
      </c>
      <c r="F296" s="3">
        <v>17.0</v>
      </c>
      <c r="G296" s="3" t="b">
        <f t="shared" si="1"/>
        <v>0</v>
      </c>
      <c r="H296" s="3">
        <v>4.0</v>
      </c>
      <c r="I296" s="3">
        <v>1.0</v>
      </c>
      <c r="J296" s="3">
        <v>0.2</v>
      </c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3">
        <v>296.0</v>
      </c>
      <c r="B297" s="4">
        <v>40556.0</v>
      </c>
      <c r="C297" s="3">
        <v>1.0</v>
      </c>
      <c r="D297" s="3">
        <v>0.0</v>
      </c>
      <c r="E297" s="3">
        <v>1.0</v>
      </c>
      <c r="F297" s="3">
        <v>18.0</v>
      </c>
      <c r="G297" s="3" t="b">
        <f t="shared" si="1"/>
        <v>0</v>
      </c>
      <c r="H297" s="3">
        <v>4.0</v>
      </c>
      <c r="I297" s="3">
        <v>1.0</v>
      </c>
      <c r="J297" s="3">
        <v>0.2</v>
      </c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3">
        <v>297.0</v>
      </c>
      <c r="B298" s="4">
        <v>40556.0</v>
      </c>
      <c r="C298" s="3">
        <v>1.0</v>
      </c>
      <c r="D298" s="3">
        <v>0.0</v>
      </c>
      <c r="E298" s="3">
        <v>1.0</v>
      </c>
      <c r="F298" s="3">
        <v>19.0</v>
      </c>
      <c r="G298" s="3" t="b">
        <f t="shared" si="1"/>
        <v>0</v>
      </c>
      <c r="H298" s="3">
        <v>4.0</v>
      </c>
      <c r="I298" s="3">
        <v>1.0</v>
      </c>
      <c r="J298" s="3">
        <v>0.16</v>
      </c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3">
        <v>298.0</v>
      </c>
      <c r="B299" s="4">
        <v>40556.0</v>
      </c>
      <c r="C299" s="3">
        <v>1.0</v>
      </c>
      <c r="D299" s="3">
        <v>0.0</v>
      </c>
      <c r="E299" s="3">
        <v>1.0</v>
      </c>
      <c r="F299" s="3">
        <v>20.0</v>
      </c>
      <c r="G299" s="3" t="b">
        <f t="shared" si="1"/>
        <v>0</v>
      </c>
      <c r="H299" s="3">
        <v>4.0</v>
      </c>
      <c r="I299" s="3">
        <v>1.0</v>
      </c>
      <c r="J299" s="3">
        <v>0.16</v>
      </c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3">
        <v>299.0</v>
      </c>
      <c r="B300" s="4">
        <v>40556.0</v>
      </c>
      <c r="C300" s="3">
        <v>1.0</v>
      </c>
      <c r="D300" s="3">
        <v>0.0</v>
      </c>
      <c r="E300" s="3">
        <v>1.0</v>
      </c>
      <c r="F300" s="3">
        <v>21.0</v>
      </c>
      <c r="G300" s="3" t="b">
        <f t="shared" si="1"/>
        <v>0</v>
      </c>
      <c r="H300" s="3">
        <v>4.0</v>
      </c>
      <c r="I300" s="3">
        <v>1.0</v>
      </c>
      <c r="J300" s="3">
        <v>0.14</v>
      </c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3">
        <v>300.0</v>
      </c>
      <c r="B301" s="4">
        <v>40556.0</v>
      </c>
      <c r="C301" s="3">
        <v>1.0</v>
      </c>
      <c r="D301" s="3">
        <v>0.0</v>
      </c>
      <c r="E301" s="3">
        <v>1.0</v>
      </c>
      <c r="F301" s="3">
        <v>22.0</v>
      </c>
      <c r="G301" s="3" t="b">
        <f t="shared" si="1"/>
        <v>0</v>
      </c>
      <c r="H301" s="3">
        <v>4.0</v>
      </c>
      <c r="I301" s="3">
        <v>1.0</v>
      </c>
      <c r="J301" s="3">
        <v>0.14</v>
      </c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3">
        <v>301.0</v>
      </c>
      <c r="B302" s="4">
        <v>40556.0</v>
      </c>
      <c r="C302" s="3">
        <v>1.0</v>
      </c>
      <c r="D302" s="3">
        <v>0.0</v>
      </c>
      <c r="E302" s="3">
        <v>1.0</v>
      </c>
      <c r="F302" s="3">
        <v>23.0</v>
      </c>
      <c r="G302" s="3" t="b">
        <f t="shared" si="1"/>
        <v>0</v>
      </c>
      <c r="H302" s="3">
        <v>4.0</v>
      </c>
      <c r="I302" s="3">
        <v>1.0</v>
      </c>
      <c r="J302" s="3">
        <v>0.12</v>
      </c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3">
        <v>302.0</v>
      </c>
      <c r="B303" s="4">
        <v>40557.0</v>
      </c>
      <c r="C303" s="3">
        <v>1.0</v>
      </c>
      <c r="D303" s="3">
        <v>0.0</v>
      </c>
      <c r="E303" s="3">
        <v>1.0</v>
      </c>
      <c r="F303" s="3">
        <v>0.0</v>
      </c>
      <c r="G303" s="3" t="b">
        <f t="shared" si="1"/>
        <v>0</v>
      </c>
      <c r="H303" s="3">
        <v>5.0</v>
      </c>
      <c r="I303" s="3">
        <v>1.0</v>
      </c>
      <c r="J303" s="3">
        <v>0.12</v>
      </c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3">
        <v>303.0</v>
      </c>
      <c r="B304" s="4">
        <v>40557.0</v>
      </c>
      <c r="C304" s="3">
        <v>1.0</v>
      </c>
      <c r="D304" s="3">
        <v>0.0</v>
      </c>
      <c r="E304" s="3">
        <v>1.0</v>
      </c>
      <c r="F304" s="3">
        <v>1.0</v>
      </c>
      <c r="G304" s="3" t="b">
        <f t="shared" si="1"/>
        <v>0</v>
      </c>
      <c r="H304" s="3">
        <v>5.0</v>
      </c>
      <c r="I304" s="3">
        <v>1.0</v>
      </c>
      <c r="J304" s="3">
        <v>0.1</v>
      </c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3">
        <v>304.0</v>
      </c>
      <c r="B305" s="4">
        <v>40557.0</v>
      </c>
      <c r="C305" s="3">
        <v>1.0</v>
      </c>
      <c r="D305" s="3">
        <v>0.0</v>
      </c>
      <c r="E305" s="3">
        <v>1.0</v>
      </c>
      <c r="F305" s="3">
        <v>2.0</v>
      </c>
      <c r="G305" s="3" t="b">
        <f t="shared" si="1"/>
        <v>0</v>
      </c>
      <c r="H305" s="3">
        <v>5.0</v>
      </c>
      <c r="I305" s="3">
        <v>1.0</v>
      </c>
      <c r="J305" s="3">
        <v>0.1</v>
      </c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3">
        <v>305.0</v>
      </c>
      <c r="B306" s="4">
        <v>40557.0</v>
      </c>
      <c r="C306" s="3">
        <v>1.0</v>
      </c>
      <c r="D306" s="3">
        <v>0.0</v>
      </c>
      <c r="E306" s="3">
        <v>1.0</v>
      </c>
      <c r="F306" s="3">
        <v>3.0</v>
      </c>
      <c r="G306" s="3" t="b">
        <f t="shared" si="1"/>
        <v>0</v>
      </c>
      <c r="H306" s="3">
        <v>5.0</v>
      </c>
      <c r="I306" s="3">
        <v>1.0</v>
      </c>
      <c r="J306" s="3">
        <v>0.1</v>
      </c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3">
        <v>306.0</v>
      </c>
      <c r="B307" s="4">
        <v>40557.0</v>
      </c>
      <c r="C307" s="3">
        <v>1.0</v>
      </c>
      <c r="D307" s="3">
        <v>0.0</v>
      </c>
      <c r="E307" s="3">
        <v>1.0</v>
      </c>
      <c r="F307" s="3">
        <v>5.0</v>
      </c>
      <c r="G307" s="3" t="b">
        <f t="shared" si="1"/>
        <v>0</v>
      </c>
      <c r="H307" s="3">
        <v>5.0</v>
      </c>
      <c r="I307" s="3">
        <v>1.0</v>
      </c>
      <c r="J307" s="3">
        <v>0.1</v>
      </c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3">
        <v>307.0</v>
      </c>
      <c r="B308" s="4">
        <v>40557.0</v>
      </c>
      <c r="C308" s="3">
        <v>1.0</v>
      </c>
      <c r="D308" s="3">
        <v>0.0</v>
      </c>
      <c r="E308" s="3">
        <v>1.0</v>
      </c>
      <c r="F308" s="3">
        <v>6.0</v>
      </c>
      <c r="G308" s="3" t="b">
        <f t="shared" si="1"/>
        <v>0</v>
      </c>
      <c r="H308" s="3">
        <v>5.0</v>
      </c>
      <c r="I308" s="3">
        <v>1.0</v>
      </c>
      <c r="J308" s="3">
        <v>0.1</v>
      </c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3">
        <v>308.0</v>
      </c>
      <c r="B309" s="4">
        <v>40557.0</v>
      </c>
      <c r="C309" s="3">
        <v>1.0</v>
      </c>
      <c r="D309" s="3">
        <v>0.0</v>
      </c>
      <c r="E309" s="3">
        <v>1.0</v>
      </c>
      <c r="F309" s="3">
        <v>7.0</v>
      </c>
      <c r="G309" s="3" t="b">
        <f t="shared" si="1"/>
        <v>0</v>
      </c>
      <c r="H309" s="3">
        <v>5.0</v>
      </c>
      <c r="I309" s="3">
        <v>1.0</v>
      </c>
      <c r="J309" s="3">
        <v>0.1</v>
      </c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3">
        <v>309.0</v>
      </c>
      <c r="B310" s="4">
        <v>40557.0</v>
      </c>
      <c r="C310" s="3">
        <v>1.0</v>
      </c>
      <c r="D310" s="3">
        <v>0.0</v>
      </c>
      <c r="E310" s="3">
        <v>1.0</v>
      </c>
      <c r="F310" s="3">
        <v>8.0</v>
      </c>
      <c r="G310" s="3" t="b">
        <f t="shared" si="1"/>
        <v>0</v>
      </c>
      <c r="H310" s="3">
        <v>5.0</v>
      </c>
      <c r="I310" s="3">
        <v>1.0</v>
      </c>
      <c r="J310" s="3">
        <v>0.12</v>
      </c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3">
        <v>310.0</v>
      </c>
      <c r="B311" s="4">
        <v>40557.0</v>
      </c>
      <c r="C311" s="3">
        <v>1.0</v>
      </c>
      <c r="D311" s="3">
        <v>0.0</v>
      </c>
      <c r="E311" s="3">
        <v>1.0</v>
      </c>
      <c r="F311" s="3">
        <v>9.0</v>
      </c>
      <c r="G311" s="3" t="b">
        <f t="shared" si="1"/>
        <v>0</v>
      </c>
      <c r="H311" s="3">
        <v>5.0</v>
      </c>
      <c r="I311" s="3">
        <v>1.0</v>
      </c>
      <c r="J311" s="3">
        <v>0.14</v>
      </c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3">
        <v>311.0</v>
      </c>
      <c r="B312" s="4">
        <v>40557.0</v>
      </c>
      <c r="C312" s="3">
        <v>1.0</v>
      </c>
      <c r="D312" s="3">
        <v>0.0</v>
      </c>
      <c r="E312" s="3">
        <v>1.0</v>
      </c>
      <c r="F312" s="3">
        <v>10.0</v>
      </c>
      <c r="G312" s="3" t="b">
        <f t="shared" si="1"/>
        <v>0</v>
      </c>
      <c r="H312" s="3">
        <v>5.0</v>
      </c>
      <c r="I312" s="3">
        <v>1.0</v>
      </c>
      <c r="J312" s="3">
        <v>0.18</v>
      </c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3">
        <v>312.0</v>
      </c>
      <c r="B313" s="4">
        <v>40557.0</v>
      </c>
      <c r="C313" s="3">
        <v>1.0</v>
      </c>
      <c r="D313" s="3">
        <v>0.0</v>
      </c>
      <c r="E313" s="3">
        <v>1.0</v>
      </c>
      <c r="F313" s="3">
        <v>11.0</v>
      </c>
      <c r="G313" s="3" t="b">
        <f t="shared" si="1"/>
        <v>0</v>
      </c>
      <c r="H313" s="3">
        <v>5.0</v>
      </c>
      <c r="I313" s="3">
        <v>1.0</v>
      </c>
      <c r="J313" s="3">
        <v>0.18</v>
      </c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3">
        <v>313.0</v>
      </c>
      <c r="B314" s="4">
        <v>40557.0</v>
      </c>
      <c r="C314" s="3">
        <v>1.0</v>
      </c>
      <c r="D314" s="3">
        <v>0.0</v>
      </c>
      <c r="E314" s="3">
        <v>1.0</v>
      </c>
      <c r="F314" s="3">
        <v>12.0</v>
      </c>
      <c r="G314" s="3" t="b">
        <f t="shared" si="1"/>
        <v>0</v>
      </c>
      <c r="H314" s="3">
        <v>5.0</v>
      </c>
      <c r="I314" s="3">
        <v>1.0</v>
      </c>
      <c r="J314" s="3">
        <v>0.2</v>
      </c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3">
        <v>314.0</v>
      </c>
      <c r="B315" s="4">
        <v>40557.0</v>
      </c>
      <c r="C315" s="3">
        <v>1.0</v>
      </c>
      <c r="D315" s="3">
        <v>0.0</v>
      </c>
      <c r="E315" s="3">
        <v>1.0</v>
      </c>
      <c r="F315" s="3">
        <v>13.0</v>
      </c>
      <c r="G315" s="3" t="b">
        <f t="shared" si="1"/>
        <v>0</v>
      </c>
      <c r="H315" s="3">
        <v>5.0</v>
      </c>
      <c r="I315" s="3">
        <v>1.0</v>
      </c>
      <c r="J315" s="3">
        <v>0.22</v>
      </c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3">
        <v>315.0</v>
      </c>
      <c r="B316" s="4">
        <v>40557.0</v>
      </c>
      <c r="C316" s="3">
        <v>1.0</v>
      </c>
      <c r="D316" s="3">
        <v>0.0</v>
      </c>
      <c r="E316" s="3">
        <v>1.0</v>
      </c>
      <c r="F316" s="3">
        <v>14.0</v>
      </c>
      <c r="G316" s="3" t="b">
        <f t="shared" si="1"/>
        <v>0</v>
      </c>
      <c r="H316" s="3">
        <v>5.0</v>
      </c>
      <c r="I316" s="3">
        <v>1.0</v>
      </c>
      <c r="J316" s="3">
        <v>0.22</v>
      </c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3">
        <v>316.0</v>
      </c>
      <c r="B317" s="4">
        <v>40557.0</v>
      </c>
      <c r="C317" s="3">
        <v>1.0</v>
      </c>
      <c r="D317" s="3">
        <v>0.0</v>
      </c>
      <c r="E317" s="3">
        <v>1.0</v>
      </c>
      <c r="F317" s="3">
        <v>15.0</v>
      </c>
      <c r="G317" s="3" t="b">
        <f t="shared" si="1"/>
        <v>0</v>
      </c>
      <c r="H317" s="3">
        <v>5.0</v>
      </c>
      <c r="I317" s="3">
        <v>1.0</v>
      </c>
      <c r="J317" s="3">
        <v>0.24</v>
      </c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3">
        <v>317.0</v>
      </c>
      <c r="B318" s="4">
        <v>40557.0</v>
      </c>
      <c r="C318" s="3">
        <v>1.0</v>
      </c>
      <c r="D318" s="3">
        <v>0.0</v>
      </c>
      <c r="E318" s="3">
        <v>1.0</v>
      </c>
      <c r="F318" s="3">
        <v>16.0</v>
      </c>
      <c r="G318" s="3" t="b">
        <f t="shared" si="1"/>
        <v>0</v>
      </c>
      <c r="H318" s="3">
        <v>5.0</v>
      </c>
      <c r="I318" s="3">
        <v>1.0</v>
      </c>
      <c r="J318" s="3">
        <v>0.22</v>
      </c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3">
        <v>318.0</v>
      </c>
      <c r="B319" s="4">
        <v>40557.0</v>
      </c>
      <c r="C319" s="3">
        <v>1.0</v>
      </c>
      <c r="D319" s="3">
        <v>0.0</v>
      </c>
      <c r="E319" s="3">
        <v>1.0</v>
      </c>
      <c r="F319" s="3">
        <v>17.0</v>
      </c>
      <c r="G319" s="3" t="b">
        <f t="shared" si="1"/>
        <v>0</v>
      </c>
      <c r="H319" s="3">
        <v>5.0</v>
      </c>
      <c r="I319" s="3">
        <v>1.0</v>
      </c>
      <c r="J319" s="3">
        <v>0.22</v>
      </c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3">
        <v>319.0</v>
      </c>
      <c r="B320" s="4">
        <v>40557.0</v>
      </c>
      <c r="C320" s="3">
        <v>1.0</v>
      </c>
      <c r="D320" s="3">
        <v>0.0</v>
      </c>
      <c r="E320" s="3">
        <v>1.0</v>
      </c>
      <c r="F320" s="3">
        <v>18.0</v>
      </c>
      <c r="G320" s="3" t="b">
        <f t="shared" si="1"/>
        <v>0</v>
      </c>
      <c r="H320" s="3">
        <v>5.0</v>
      </c>
      <c r="I320" s="3">
        <v>1.0</v>
      </c>
      <c r="J320" s="3">
        <v>0.2</v>
      </c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3">
        <v>320.0</v>
      </c>
      <c r="B321" s="4">
        <v>40557.0</v>
      </c>
      <c r="C321" s="3">
        <v>1.0</v>
      </c>
      <c r="D321" s="3">
        <v>0.0</v>
      </c>
      <c r="E321" s="3">
        <v>1.0</v>
      </c>
      <c r="F321" s="3">
        <v>19.0</v>
      </c>
      <c r="G321" s="3" t="b">
        <f t="shared" si="1"/>
        <v>0</v>
      </c>
      <c r="H321" s="3">
        <v>5.0</v>
      </c>
      <c r="I321" s="3">
        <v>1.0</v>
      </c>
      <c r="J321" s="3">
        <v>0.16</v>
      </c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3">
        <v>321.0</v>
      </c>
      <c r="B322" s="4">
        <v>40557.0</v>
      </c>
      <c r="C322" s="3">
        <v>1.0</v>
      </c>
      <c r="D322" s="3">
        <v>0.0</v>
      </c>
      <c r="E322" s="3">
        <v>1.0</v>
      </c>
      <c r="F322" s="3">
        <v>20.0</v>
      </c>
      <c r="G322" s="3" t="b">
        <f t="shared" si="1"/>
        <v>0</v>
      </c>
      <c r="H322" s="3">
        <v>5.0</v>
      </c>
      <c r="I322" s="3">
        <v>1.0</v>
      </c>
      <c r="J322" s="3">
        <v>0.18</v>
      </c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3">
        <v>322.0</v>
      </c>
      <c r="B323" s="4">
        <v>40557.0</v>
      </c>
      <c r="C323" s="3">
        <v>1.0</v>
      </c>
      <c r="D323" s="3">
        <v>0.0</v>
      </c>
      <c r="E323" s="3">
        <v>1.0</v>
      </c>
      <c r="F323" s="3">
        <v>21.0</v>
      </c>
      <c r="G323" s="3" t="b">
        <f t="shared" si="1"/>
        <v>0</v>
      </c>
      <c r="H323" s="3">
        <v>5.0</v>
      </c>
      <c r="I323" s="3">
        <v>1.0</v>
      </c>
      <c r="J323" s="3">
        <v>0.16</v>
      </c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3">
        <v>323.0</v>
      </c>
      <c r="B324" s="4">
        <v>40557.0</v>
      </c>
      <c r="C324" s="3">
        <v>1.0</v>
      </c>
      <c r="D324" s="3">
        <v>0.0</v>
      </c>
      <c r="E324" s="3">
        <v>1.0</v>
      </c>
      <c r="F324" s="3">
        <v>22.0</v>
      </c>
      <c r="G324" s="3" t="b">
        <f t="shared" si="1"/>
        <v>0</v>
      </c>
      <c r="H324" s="3">
        <v>5.0</v>
      </c>
      <c r="I324" s="3">
        <v>2.0</v>
      </c>
      <c r="J324" s="3">
        <v>0.16</v>
      </c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3">
        <v>324.0</v>
      </c>
      <c r="B325" s="4">
        <v>40557.0</v>
      </c>
      <c r="C325" s="3">
        <v>1.0</v>
      </c>
      <c r="D325" s="3">
        <v>0.0</v>
      </c>
      <c r="E325" s="3">
        <v>1.0</v>
      </c>
      <c r="F325" s="3">
        <v>23.0</v>
      </c>
      <c r="G325" s="3" t="b">
        <f t="shared" si="1"/>
        <v>0</v>
      </c>
      <c r="H325" s="3">
        <v>5.0</v>
      </c>
      <c r="I325" s="3">
        <v>2.0</v>
      </c>
      <c r="J325" s="3">
        <v>0.18</v>
      </c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3">
        <v>325.0</v>
      </c>
      <c r="B326" s="4">
        <v>40558.0</v>
      </c>
      <c r="C326" s="3">
        <v>1.0</v>
      </c>
      <c r="D326" s="3">
        <v>0.0</v>
      </c>
      <c r="E326" s="3">
        <v>1.0</v>
      </c>
      <c r="F326" s="3">
        <v>0.0</v>
      </c>
      <c r="G326" s="3" t="b">
        <f t="shared" si="1"/>
        <v>0</v>
      </c>
      <c r="H326" s="3">
        <v>6.0</v>
      </c>
      <c r="I326" s="3">
        <v>1.0</v>
      </c>
      <c r="J326" s="3">
        <v>0.18</v>
      </c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3">
        <v>326.0</v>
      </c>
      <c r="B327" s="4">
        <v>40558.0</v>
      </c>
      <c r="C327" s="3">
        <v>1.0</v>
      </c>
      <c r="D327" s="3">
        <v>0.0</v>
      </c>
      <c r="E327" s="3">
        <v>1.0</v>
      </c>
      <c r="F327" s="3">
        <v>1.0</v>
      </c>
      <c r="G327" s="3" t="b">
        <f t="shared" si="1"/>
        <v>0</v>
      </c>
      <c r="H327" s="3">
        <v>6.0</v>
      </c>
      <c r="I327" s="3">
        <v>2.0</v>
      </c>
      <c r="J327" s="3">
        <v>0.16</v>
      </c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3">
        <v>327.0</v>
      </c>
      <c r="B328" s="4">
        <v>40558.0</v>
      </c>
      <c r="C328" s="3">
        <v>1.0</v>
      </c>
      <c r="D328" s="3">
        <v>0.0</v>
      </c>
      <c r="E328" s="3">
        <v>1.0</v>
      </c>
      <c r="F328" s="3">
        <v>2.0</v>
      </c>
      <c r="G328" s="3" t="b">
        <f t="shared" si="1"/>
        <v>0</v>
      </c>
      <c r="H328" s="3">
        <v>6.0</v>
      </c>
      <c r="I328" s="3">
        <v>2.0</v>
      </c>
      <c r="J328" s="3">
        <v>0.16</v>
      </c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3">
        <v>328.0</v>
      </c>
      <c r="B329" s="4">
        <v>40558.0</v>
      </c>
      <c r="C329" s="3">
        <v>1.0</v>
      </c>
      <c r="D329" s="3">
        <v>0.0</v>
      </c>
      <c r="E329" s="3">
        <v>1.0</v>
      </c>
      <c r="F329" s="3">
        <v>3.0</v>
      </c>
      <c r="G329" s="3" t="b">
        <f t="shared" si="1"/>
        <v>0</v>
      </c>
      <c r="H329" s="3">
        <v>6.0</v>
      </c>
      <c r="I329" s="3">
        <v>2.0</v>
      </c>
      <c r="J329" s="3">
        <v>0.16</v>
      </c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3">
        <v>329.0</v>
      </c>
      <c r="B330" s="4">
        <v>40558.0</v>
      </c>
      <c r="C330" s="3">
        <v>1.0</v>
      </c>
      <c r="D330" s="3">
        <v>0.0</v>
      </c>
      <c r="E330" s="3">
        <v>1.0</v>
      </c>
      <c r="F330" s="3">
        <v>4.0</v>
      </c>
      <c r="G330" s="3" t="b">
        <f t="shared" si="1"/>
        <v>0</v>
      </c>
      <c r="H330" s="3">
        <v>6.0</v>
      </c>
      <c r="I330" s="3">
        <v>2.0</v>
      </c>
      <c r="J330" s="3">
        <v>0.16</v>
      </c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3">
        <v>330.0</v>
      </c>
      <c r="B331" s="4">
        <v>40558.0</v>
      </c>
      <c r="C331" s="3">
        <v>1.0</v>
      </c>
      <c r="D331" s="3">
        <v>0.0</v>
      </c>
      <c r="E331" s="3">
        <v>1.0</v>
      </c>
      <c r="F331" s="3">
        <v>5.0</v>
      </c>
      <c r="G331" s="3" t="b">
        <f t="shared" si="1"/>
        <v>0</v>
      </c>
      <c r="H331" s="3">
        <v>6.0</v>
      </c>
      <c r="I331" s="3">
        <v>1.0</v>
      </c>
      <c r="J331" s="3">
        <v>0.16</v>
      </c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3">
        <v>331.0</v>
      </c>
      <c r="B332" s="4">
        <v>40558.0</v>
      </c>
      <c r="C332" s="3">
        <v>1.0</v>
      </c>
      <c r="D332" s="3">
        <v>0.0</v>
      </c>
      <c r="E332" s="3">
        <v>1.0</v>
      </c>
      <c r="F332" s="3">
        <v>6.0</v>
      </c>
      <c r="G332" s="3" t="b">
        <f t="shared" si="1"/>
        <v>0</v>
      </c>
      <c r="H332" s="3">
        <v>6.0</v>
      </c>
      <c r="I332" s="3">
        <v>1.0</v>
      </c>
      <c r="J332" s="3">
        <v>0.14</v>
      </c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3">
        <v>332.0</v>
      </c>
      <c r="B333" s="4">
        <v>40558.0</v>
      </c>
      <c r="C333" s="3">
        <v>1.0</v>
      </c>
      <c r="D333" s="3">
        <v>0.0</v>
      </c>
      <c r="E333" s="3">
        <v>1.0</v>
      </c>
      <c r="F333" s="3">
        <v>7.0</v>
      </c>
      <c r="G333" s="3" t="b">
        <f t="shared" si="1"/>
        <v>0</v>
      </c>
      <c r="H333" s="3">
        <v>6.0</v>
      </c>
      <c r="I333" s="3">
        <v>1.0</v>
      </c>
      <c r="J333" s="3">
        <v>0.14</v>
      </c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3">
        <v>333.0</v>
      </c>
      <c r="B334" s="4">
        <v>40558.0</v>
      </c>
      <c r="C334" s="3">
        <v>1.0</v>
      </c>
      <c r="D334" s="3">
        <v>0.0</v>
      </c>
      <c r="E334" s="3">
        <v>1.0</v>
      </c>
      <c r="F334" s="3">
        <v>8.0</v>
      </c>
      <c r="G334" s="3" t="b">
        <f t="shared" si="1"/>
        <v>0</v>
      </c>
      <c r="H334" s="3">
        <v>6.0</v>
      </c>
      <c r="I334" s="3">
        <v>1.0</v>
      </c>
      <c r="J334" s="3">
        <v>0.14</v>
      </c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3">
        <v>334.0</v>
      </c>
      <c r="B335" s="4">
        <v>40558.0</v>
      </c>
      <c r="C335" s="3">
        <v>1.0</v>
      </c>
      <c r="D335" s="3">
        <v>0.0</v>
      </c>
      <c r="E335" s="3">
        <v>1.0</v>
      </c>
      <c r="F335" s="3">
        <v>9.0</v>
      </c>
      <c r="G335" s="3" t="b">
        <f t="shared" si="1"/>
        <v>0</v>
      </c>
      <c r="H335" s="3">
        <v>6.0</v>
      </c>
      <c r="I335" s="3">
        <v>1.0</v>
      </c>
      <c r="J335" s="3">
        <v>0.16</v>
      </c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3">
        <v>335.0</v>
      </c>
      <c r="B336" s="4">
        <v>40558.0</v>
      </c>
      <c r="C336" s="3">
        <v>1.0</v>
      </c>
      <c r="D336" s="3">
        <v>0.0</v>
      </c>
      <c r="E336" s="3">
        <v>1.0</v>
      </c>
      <c r="F336" s="3">
        <v>10.0</v>
      </c>
      <c r="G336" s="3" t="b">
        <f t="shared" si="1"/>
        <v>0</v>
      </c>
      <c r="H336" s="3">
        <v>6.0</v>
      </c>
      <c r="I336" s="3">
        <v>1.0</v>
      </c>
      <c r="J336" s="3">
        <v>0.18</v>
      </c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3">
        <v>336.0</v>
      </c>
      <c r="B337" s="4">
        <v>40558.0</v>
      </c>
      <c r="C337" s="3">
        <v>1.0</v>
      </c>
      <c r="D337" s="3">
        <v>0.0</v>
      </c>
      <c r="E337" s="3">
        <v>1.0</v>
      </c>
      <c r="F337" s="3">
        <v>11.0</v>
      </c>
      <c r="G337" s="3" t="b">
        <f t="shared" si="1"/>
        <v>0</v>
      </c>
      <c r="H337" s="3">
        <v>6.0</v>
      </c>
      <c r="I337" s="3">
        <v>1.0</v>
      </c>
      <c r="J337" s="3">
        <v>0.2</v>
      </c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3">
        <v>337.0</v>
      </c>
      <c r="B338" s="4">
        <v>40558.0</v>
      </c>
      <c r="C338" s="3">
        <v>1.0</v>
      </c>
      <c r="D338" s="3">
        <v>0.0</v>
      </c>
      <c r="E338" s="3">
        <v>1.0</v>
      </c>
      <c r="F338" s="3">
        <v>12.0</v>
      </c>
      <c r="G338" s="3" t="b">
        <f t="shared" si="1"/>
        <v>0</v>
      </c>
      <c r="H338" s="3">
        <v>6.0</v>
      </c>
      <c r="I338" s="3">
        <v>1.0</v>
      </c>
      <c r="J338" s="3">
        <v>0.24</v>
      </c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3">
        <v>338.0</v>
      </c>
      <c r="B339" s="4">
        <v>40558.0</v>
      </c>
      <c r="C339" s="3">
        <v>1.0</v>
      </c>
      <c r="D339" s="3">
        <v>0.0</v>
      </c>
      <c r="E339" s="3">
        <v>1.0</v>
      </c>
      <c r="F339" s="3">
        <v>13.0</v>
      </c>
      <c r="G339" s="3" t="b">
        <f t="shared" si="1"/>
        <v>0</v>
      </c>
      <c r="H339" s="3">
        <v>6.0</v>
      </c>
      <c r="I339" s="3">
        <v>1.0</v>
      </c>
      <c r="J339" s="3">
        <v>0.28</v>
      </c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3">
        <v>339.0</v>
      </c>
      <c r="B340" s="4">
        <v>40558.0</v>
      </c>
      <c r="C340" s="3">
        <v>1.0</v>
      </c>
      <c r="D340" s="3">
        <v>0.0</v>
      </c>
      <c r="E340" s="3">
        <v>1.0</v>
      </c>
      <c r="F340" s="3">
        <v>14.0</v>
      </c>
      <c r="G340" s="3" t="b">
        <f t="shared" si="1"/>
        <v>0</v>
      </c>
      <c r="H340" s="3">
        <v>6.0</v>
      </c>
      <c r="I340" s="3">
        <v>1.0</v>
      </c>
      <c r="J340" s="3">
        <v>0.3</v>
      </c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3">
        <v>340.0</v>
      </c>
      <c r="B341" s="4">
        <v>40558.0</v>
      </c>
      <c r="C341" s="3">
        <v>1.0</v>
      </c>
      <c r="D341" s="3">
        <v>0.0</v>
      </c>
      <c r="E341" s="3">
        <v>1.0</v>
      </c>
      <c r="F341" s="3">
        <v>15.0</v>
      </c>
      <c r="G341" s="3" t="b">
        <f t="shared" si="1"/>
        <v>0</v>
      </c>
      <c r="H341" s="3">
        <v>6.0</v>
      </c>
      <c r="I341" s="3">
        <v>2.0</v>
      </c>
      <c r="J341" s="3">
        <v>0.32</v>
      </c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3">
        <v>341.0</v>
      </c>
      <c r="B342" s="4">
        <v>40558.0</v>
      </c>
      <c r="C342" s="3">
        <v>1.0</v>
      </c>
      <c r="D342" s="3">
        <v>0.0</v>
      </c>
      <c r="E342" s="3">
        <v>1.0</v>
      </c>
      <c r="F342" s="3">
        <v>16.0</v>
      </c>
      <c r="G342" s="3" t="b">
        <f t="shared" si="1"/>
        <v>0</v>
      </c>
      <c r="H342" s="3">
        <v>6.0</v>
      </c>
      <c r="I342" s="3">
        <v>2.0</v>
      </c>
      <c r="J342" s="3">
        <v>0.34</v>
      </c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3">
        <v>342.0</v>
      </c>
      <c r="B343" s="4">
        <v>40558.0</v>
      </c>
      <c r="C343" s="3">
        <v>1.0</v>
      </c>
      <c r="D343" s="3">
        <v>0.0</v>
      </c>
      <c r="E343" s="3">
        <v>1.0</v>
      </c>
      <c r="F343" s="3">
        <v>17.0</v>
      </c>
      <c r="G343" s="3" t="b">
        <f t="shared" si="1"/>
        <v>0</v>
      </c>
      <c r="H343" s="3">
        <v>6.0</v>
      </c>
      <c r="I343" s="3">
        <v>2.0</v>
      </c>
      <c r="J343" s="3">
        <v>0.32</v>
      </c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3">
        <v>343.0</v>
      </c>
      <c r="B344" s="4">
        <v>40558.0</v>
      </c>
      <c r="C344" s="3">
        <v>1.0</v>
      </c>
      <c r="D344" s="3">
        <v>0.0</v>
      </c>
      <c r="E344" s="3">
        <v>1.0</v>
      </c>
      <c r="F344" s="3">
        <v>18.0</v>
      </c>
      <c r="G344" s="3" t="b">
        <f t="shared" si="1"/>
        <v>0</v>
      </c>
      <c r="H344" s="3">
        <v>6.0</v>
      </c>
      <c r="I344" s="3">
        <v>2.0</v>
      </c>
      <c r="J344" s="3">
        <v>0.3</v>
      </c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3">
        <v>344.0</v>
      </c>
      <c r="B345" s="4">
        <v>40558.0</v>
      </c>
      <c r="C345" s="3">
        <v>1.0</v>
      </c>
      <c r="D345" s="3">
        <v>0.0</v>
      </c>
      <c r="E345" s="3">
        <v>1.0</v>
      </c>
      <c r="F345" s="3">
        <v>19.0</v>
      </c>
      <c r="G345" s="3" t="b">
        <f t="shared" si="1"/>
        <v>0</v>
      </c>
      <c r="H345" s="3">
        <v>6.0</v>
      </c>
      <c r="I345" s="3">
        <v>2.0</v>
      </c>
      <c r="J345" s="3">
        <v>0.32</v>
      </c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3">
        <v>345.0</v>
      </c>
      <c r="B346" s="4">
        <v>40558.0</v>
      </c>
      <c r="C346" s="3">
        <v>1.0</v>
      </c>
      <c r="D346" s="3">
        <v>0.0</v>
      </c>
      <c r="E346" s="3">
        <v>1.0</v>
      </c>
      <c r="F346" s="3">
        <v>20.0</v>
      </c>
      <c r="G346" s="3" t="b">
        <f t="shared" si="1"/>
        <v>0</v>
      </c>
      <c r="H346" s="3">
        <v>6.0</v>
      </c>
      <c r="I346" s="3">
        <v>2.0</v>
      </c>
      <c r="J346" s="3">
        <v>0.32</v>
      </c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3">
        <v>346.0</v>
      </c>
      <c r="B347" s="4">
        <v>40558.0</v>
      </c>
      <c r="C347" s="3">
        <v>1.0</v>
      </c>
      <c r="D347" s="3">
        <v>0.0</v>
      </c>
      <c r="E347" s="3">
        <v>1.0</v>
      </c>
      <c r="F347" s="3">
        <v>21.0</v>
      </c>
      <c r="G347" s="3" t="b">
        <f t="shared" si="1"/>
        <v>0</v>
      </c>
      <c r="H347" s="3">
        <v>6.0</v>
      </c>
      <c r="I347" s="3">
        <v>2.0</v>
      </c>
      <c r="J347" s="3">
        <v>0.32</v>
      </c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3">
        <v>347.0</v>
      </c>
      <c r="B348" s="4">
        <v>40558.0</v>
      </c>
      <c r="C348" s="3">
        <v>1.0</v>
      </c>
      <c r="D348" s="3">
        <v>0.0</v>
      </c>
      <c r="E348" s="3">
        <v>1.0</v>
      </c>
      <c r="F348" s="3">
        <v>22.0</v>
      </c>
      <c r="G348" s="3" t="b">
        <f t="shared" si="1"/>
        <v>0</v>
      </c>
      <c r="H348" s="3">
        <v>6.0</v>
      </c>
      <c r="I348" s="3">
        <v>2.0</v>
      </c>
      <c r="J348" s="3">
        <v>0.3</v>
      </c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3">
        <v>348.0</v>
      </c>
      <c r="B349" s="4">
        <v>40558.0</v>
      </c>
      <c r="C349" s="3">
        <v>1.0</v>
      </c>
      <c r="D349" s="3">
        <v>0.0</v>
      </c>
      <c r="E349" s="3">
        <v>1.0</v>
      </c>
      <c r="F349" s="3">
        <v>23.0</v>
      </c>
      <c r="G349" s="3" t="b">
        <f t="shared" si="1"/>
        <v>0</v>
      </c>
      <c r="H349" s="3">
        <v>6.0</v>
      </c>
      <c r="I349" s="3">
        <v>1.0</v>
      </c>
      <c r="J349" s="3">
        <v>0.3</v>
      </c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3">
        <v>349.0</v>
      </c>
      <c r="B350" s="4">
        <v>40559.0</v>
      </c>
      <c r="C350" s="3">
        <v>1.0</v>
      </c>
      <c r="D350" s="3">
        <v>0.0</v>
      </c>
      <c r="E350" s="3">
        <v>1.0</v>
      </c>
      <c r="F350" s="3">
        <v>0.0</v>
      </c>
      <c r="G350" s="3" t="b">
        <f t="shared" si="1"/>
        <v>0</v>
      </c>
      <c r="H350" s="3">
        <v>0.0</v>
      </c>
      <c r="I350" s="3">
        <v>1.0</v>
      </c>
      <c r="J350" s="3">
        <v>0.26</v>
      </c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3">
        <v>350.0</v>
      </c>
      <c r="B351" s="4">
        <v>40559.0</v>
      </c>
      <c r="C351" s="3">
        <v>1.0</v>
      </c>
      <c r="D351" s="3">
        <v>0.0</v>
      </c>
      <c r="E351" s="3">
        <v>1.0</v>
      </c>
      <c r="F351" s="3">
        <v>1.0</v>
      </c>
      <c r="G351" s="3" t="b">
        <f t="shared" si="1"/>
        <v>0</v>
      </c>
      <c r="H351" s="3">
        <v>0.0</v>
      </c>
      <c r="I351" s="3">
        <v>1.0</v>
      </c>
      <c r="J351" s="3">
        <v>0.26</v>
      </c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3">
        <v>351.0</v>
      </c>
      <c r="B352" s="4">
        <v>40559.0</v>
      </c>
      <c r="C352" s="3">
        <v>1.0</v>
      </c>
      <c r="D352" s="3">
        <v>0.0</v>
      </c>
      <c r="E352" s="3">
        <v>1.0</v>
      </c>
      <c r="F352" s="3">
        <v>2.0</v>
      </c>
      <c r="G352" s="3" t="b">
        <f t="shared" si="1"/>
        <v>0</v>
      </c>
      <c r="H352" s="3">
        <v>0.0</v>
      </c>
      <c r="I352" s="3">
        <v>1.0</v>
      </c>
      <c r="J352" s="3">
        <v>0.26</v>
      </c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3">
        <v>352.0</v>
      </c>
      <c r="B353" s="4">
        <v>40559.0</v>
      </c>
      <c r="C353" s="3">
        <v>1.0</v>
      </c>
      <c r="D353" s="3">
        <v>0.0</v>
      </c>
      <c r="E353" s="3">
        <v>1.0</v>
      </c>
      <c r="F353" s="3">
        <v>3.0</v>
      </c>
      <c r="G353" s="3" t="b">
        <f t="shared" si="1"/>
        <v>0</v>
      </c>
      <c r="H353" s="3">
        <v>0.0</v>
      </c>
      <c r="I353" s="3">
        <v>1.0</v>
      </c>
      <c r="J353" s="3">
        <v>0.22</v>
      </c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3">
        <v>353.0</v>
      </c>
      <c r="B354" s="4">
        <v>40559.0</v>
      </c>
      <c r="C354" s="3">
        <v>1.0</v>
      </c>
      <c r="D354" s="3">
        <v>0.0</v>
      </c>
      <c r="E354" s="3">
        <v>1.0</v>
      </c>
      <c r="F354" s="3">
        <v>4.0</v>
      </c>
      <c r="G354" s="3" t="b">
        <f t="shared" si="1"/>
        <v>0</v>
      </c>
      <c r="H354" s="3">
        <v>0.0</v>
      </c>
      <c r="I354" s="3">
        <v>1.0</v>
      </c>
      <c r="J354" s="3">
        <v>0.26</v>
      </c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3">
        <v>354.0</v>
      </c>
      <c r="B355" s="4">
        <v>40559.0</v>
      </c>
      <c r="C355" s="3">
        <v>1.0</v>
      </c>
      <c r="D355" s="3">
        <v>0.0</v>
      </c>
      <c r="E355" s="3">
        <v>1.0</v>
      </c>
      <c r="F355" s="3">
        <v>5.0</v>
      </c>
      <c r="G355" s="3" t="b">
        <f t="shared" si="1"/>
        <v>0</v>
      </c>
      <c r="H355" s="3">
        <v>0.0</v>
      </c>
      <c r="I355" s="3">
        <v>2.0</v>
      </c>
      <c r="J355" s="3">
        <v>0.26</v>
      </c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3">
        <v>355.0</v>
      </c>
      <c r="B356" s="4">
        <v>40559.0</v>
      </c>
      <c r="C356" s="3">
        <v>1.0</v>
      </c>
      <c r="D356" s="3">
        <v>0.0</v>
      </c>
      <c r="E356" s="3">
        <v>1.0</v>
      </c>
      <c r="F356" s="3">
        <v>6.0</v>
      </c>
      <c r="G356" s="3" t="b">
        <f t="shared" si="1"/>
        <v>0</v>
      </c>
      <c r="H356" s="3">
        <v>0.0</v>
      </c>
      <c r="I356" s="3">
        <v>2.0</v>
      </c>
      <c r="J356" s="3">
        <v>0.26</v>
      </c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3">
        <v>356.0</v>
      </c>
      <c r="B357" s="4">
        <v>40559.0</v>
      </c>
      <c r="C357" s="3">
        <v>1.0</v>
      </c>
      <c r="D357" s="3">
        <v>0.0</v>
      </c>
      <c r="E357" s="3">
        <v>1.0</v>
      </c>
      <c r="F357" s="3">
        <v>7.0</v>
      </c>
      <c r="G357" s="3" t="b">
        <f t="shared" si="1"/>
        <v>0</v>
      </c>
      <c r="H357" s="3">
        <v>0.0</v>
      </c>
      <c r="I357" s="3">
        <v>2.0</v>
      </c>
      <c r="J357" s="3">
        <v>0.24</v>
      </c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3">
        <v>357.0</v>
      </c>
      <c r="B358" s="4">
        <v>40559.0</v>
      </c>
      <c r="C358" s="3">
        <v>1.0</v>
      </c>
      <c r="D358" s="3">
        <v>0.0</v>
      </c>
      <c r="E358" s="3">
        <v>1.0</v>
      </c>
      <c r="F358" s="3">
        <v>8.0</v>
      </c>
      <c r="G358" s="3" t="b">
        <f t="shared" si="1"/>
        <v>0</v>
      </c>
      <c r="H358" s="3">
        <v>0.0</v>
      </c>
      <c r="I358" s="3">
        <v>1.0</v>
      </c>
      <c r="J358" s="3">
        <v>0.22</v>
      </c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3">
        <v>358.0</v>
      </c>
      <c r="B359" s="4">
        <v>40559.0</v>
      </c>
      <c r="C359" s="3">
        <v>1.0</v>
      </c>
      <c r="D359" s="3">
        <v>0.0</v>
      </c>
      <c r="E359" s="3">
        <v>1.0</v>
      </c>
      <c r="F359" s="3">
        <v>9.0</v>
      </c>
      <c r="G359" s="3" t="b">
        <f t="shared" si="1"/>
        <v>0</v>
      </c>
      <c r="H359" s="3">
        <v>0.0</v>
      </c>
      <c r="I359" s="3">
        <v>1.0</v>
      </c>
      <c r="J359" s="3">
        <v>0.22</v>
      </c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3">
        <v>359.0</v>
      </c>
      <c r="B360" s="4">
        <v>40559.0</v>
      </c>
      <c r="C360" s="3">
        <v>1.0</v>
      </c>
      <c r="D360" s="3">
        <v>0.0</v>
      </c>
      <c r="E360" s="3">
        <v>1.0</v>
      </c>
      <c r="F360" s="3">
        <v>10.0</v>
      </c>
      <c r="G360" s="3" t="b">
        <f t="shared" si="1"/>
        <v>0</v>
      </c>
      <c r="H360" s="3">
        <v>0.0</v>
      </c>
      <c r="I360" s="3">
        <v>1.0</v>
      </c>
      <c r="J360" s="3">
        <v>0.22</v>
      </c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3">
        <v>360.0</v>
      </c>
      <c r="B361" s="4">
        <v>40559.0</v>
      </c>
      <c r="C361" s="3">
        <v>1.0</v>
      </c>
      <c r="D361" s="3">
        <v>0.0</v>
      </c>
      <c r="E361" s="3">
        <v>1.0</v>
      </c>
      <c r="F361" s="3">
        <v>11.0</v>
      </c>
      <c r="G361" s="3" t="b">
        <f t="shared" si="1"/>
        <v>0</v>
      </c>
      <c r="H361" s="3">
        <v>0.0</v>
      </c>
      <c r="I361" s="3">
        <v>1.0</v>
      </c>
      <c r="J361" s="3">
        <v>0.24</v>
      </c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3">
        <v>361.0</v>
      </c>
      <c r="B362" s="4">
        <v>40559.0</v>
      </c>
      <c r="C362" s="3">
        <v>1.0</v>
      </c>
      <c r="D362" s="3">
        <v>0.0</v>
      </c>
      <c r="E362" s="3">
        <v>1.0</v>
      </c>
      <c r="F362" s="3">
        <v>12.0</v>
      </c>
      <c r="G362" s="3" t="b">
        <f t="shared" si="1"/>
        <v>0</v>
      </c>
      <c r="H362" s="3">
        <v>0.0</v>
      </c>
      <c r="I362" s="3">
        <v>1.0</v>
      </c>
      <c r="J362" s="3">
        <v>0.24</v>
      </c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3">
        <v>362.0</v>
      </c>
      <c r="B363" s="4">
        <v>40559.0</v>
      </c>
      <c r="C363" s="3">
        <v>1.0</v>
      </c>
      <c r="D363" s="3">
        <v>0.0</v>
      </c>
      <c r="E363" s="3">
        <v>1.0</v>
      </c>
      <c r="F363" s="3">
        <v>13.0</v>
      </c>
      <c r="G363" s="3" t="b">
        <f t="shared" si="1"/>
        <v>0</v>
      </c>
      <c r="H363" s="3">
        <v>0.0</v>
      </c>
      <c r="I363" s="3">
        <v>1.0</v>
      </c>
      <c r="J363" s="3">
        <v>0.26</v>
      </c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3">
        <v>363.0</v>
      </c>
      <c r="B364" s="4">
        <v>40559.0</v>
      </c>
      <c r="C364" s="3">
        <v>1.0</v>
      </c>
      <c r="D364" s="3">
        <v>0.0</v>
      </c>
      <c r="E364" s="3">
        <v>1.0</v>
      </c>
      <c r="F364" s="3">
        <v>14.0</v>
      </c>
      <c r="G364" s="3" t="b">
        <f t="shared" si="1"/>
        <v>0</v>
      </c>
      <c r="H364" s="3">
        <v>0.0</v>
      </c>
      <c r="I364" s="3">
        <v>1.0</v>
      </c>
      <c r="J364" s="3">
        <v>0.28</v>
      </c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3">
        <v>364.0</v>
      </c>
      <c r="B365" s="4">
        <v>40559.0</v>
      </c>
      <c r="C365" s="3">
        <v>1.0</v>
      </c>
      <c r="D365" s="3">
        <v>0.0</v>
      </c>
      <c r="E365" s="3">
        <v>1.0</v>
      </c>
      <c r="F365" s="3">
        <v>15.0</v>
      </c>
      <c r="G365" s="3" t="b">
        <f t="shared" si="1"/>
        <v>0</v>
      </c>
      <c r="H365" s="3">
        <v>0.0</v>
      </c>
      <c r="I365" s="3">
        <v>1.0</v>
      </c>
      <c r="J365" s="3">
        <v>0.26</v>
      </c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3">
        <v>365.0</v>
      </c>
      <c r="B366" s="4">
        <v>40559.0</v>
      </c>
      <c r="C366" s="3">
        <v>1.0</v>
      </c>
      <c r="D366" s="3">
        <v>0.0</v>
      </c>
      <c r="E366" s="3">
        <v>1.0</v>
      </c>
      <c r="F366" s="3">
        <v>16.0</v>
      </c>
      <c r="G366" s="3" t="b">
        <f t="shared" si="1"/>
        <v>0</v>
      </c>
      <c r="H366" s="3">
        <v>0.0</v>
      </c>
      <c r="I366" s="3">
        <v>1.0</v>
      </c>
      <c r="J366" s="3">
        <v>0.24</v>
      </c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3">
        <v>366.0</v>
      </c>
      <c r="B367" s="4">
        <v>40559.0</v>
      </c>
      <c r="C367" s="3">
        <v>1.0</v>
      </c>
      <c r="D367" s="3">
        <v>0.0</v>
      </c>
      <c r="E367" s="3">
        <v>1.0</v>
      </c>
      <c r="F367" s="3">
        <v>17.0</v>
      </c>
      <c r="G367" s="3" t="b">
        <f t="shared" si="1"/>
        <v>0</v>
      </c>
      <c r="H367" s="3">
        <v>0.0</v>
      </c>
      <c r="I367" s="3">
        <v>1.0</v>
      </c>
      <c r="J367" s="3">
        <v>0.22</v>
      </c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3">
        <v>367.0</v>
      </c>
      <c r="B368" s="4">
        <v>40559.0</v>
      </c>
      <c r="C368" s="3">
        <v>1.0</v>
      </c>
      <c r="D368" s="3">
        <v>0.0</v>
      </c>
      <c r="E368" s="3">
        <v>1.0</v>
      </c>
      <c r="F368" s="3">
        <v>18.0</v>
      </c>
      <c r="G368" s="3" t="b">
        <f t="shared" si="1"/>
        <v>0</v>
      </c>
      <c r="H368" s="3">
        <v>0.0</v>
      </c>
      <c r="I368" s="3">
        <v>1.0</v>
      </c>
      <c r="J368" s="3">
        <v>0.2</v>
      </c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3">
        <v>368.0</v>
      </c>
      <c r="B369" s="4">
        <v>40559.0</v>
      </c>
      <c r="C369" s="3">
        <v>1.0</v>
      </c>
      <c r="D369" s="3">
        <v>0.0</v>
      </c>
      <c r="E369" s="3">
        <v>1.0</v>
      </c>
      <c r="F369" s="3">
        <v>19.0</v>
      </c>
      <c r="G369" s="3" t="b">
        <f t="shared" si="1"/>
        <v>0</v>
      </c>
      <c r="H369" s="3">
        <v>0.0</v>
      </c>
      <c r="I369" s="3">
        <v>1.0</v>
      </c>
      <c r="J369" s="3">
        <v>0.18</v>
      </c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3">
        <v>369.0</v>
      </c>
      <c r="B370" s="4">
        <v>40559.0</v>
      </c>
      <c r="C370" s="3">
        <v>1.0</v>
      </c>
      <c r="D370" s="3">
        <v>0.0</v>
      </c>
      <c r="E370" s="3">
        <v>1.0</v>
      </c>
      <c r="F370" s="3">
        <v>20.0</v>
      </c>
      <c r="G370" s="3" t="b">
        <f t="shared" si="1"/>
        <v>0</v>
      </c>
      <c r="H370" s="3">
        <v>0.0</v>
      </c>
      <c r="I370" s="3">
        <v>1.0</v>
      </c>
      <c r="J370" s="3">
        <v>0.18</v>
      </c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3">
        <v>370.0</v>
      </c>
      <c r="B371" s="4">
        <v>40559.0</v>
      </c>
      <c r="C371" s="3">
        <v>1.0</v>
      </c>
      <c r="D371" s="3">
        <v>0.0</v>
      </c>
      <c r="E371" s="3">
        <v>1.0</v>
      </c>
      <c r="F371" s="3">
        <v>21.0</v>
      </c>
      <c r="G371" s="3" t="b">
        <f t="shared" si="1"/>
        <v>0</v>
      </c>
      <c r="H371" s="3">
        <v>0.0</v>
      </c>
      <c r="I371" s="3">
        <v>1.0</v>
      </c>
      <c r="J371" s="3">
        <v>0.18</v>
      </c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3">
        <v>371.0</v>
      </c>
      <c r="B372" s="4">
        <v>40559.0</v>
      </c>
      <c r="C372" s="3">
        <v>1.0</v>
      </c>
      <c r="D372" s="3">
        <v>0.0</v>
      </c>
      <c r="E372" s="3">
        <v>1.0</v>
      </c>
      <c r="F372" s="3">
        <v>22.0</v>
      </c>
      <c r="G372" s="3" t="b">
        <f t="shared" si="1"/>
        <v>0</v>
      </c>
      <c r="H372" s="3">
        <v>0.0</v>
      </c>
      <c r="I372" s="3">
        <v>2.0</v>
      </c>
      <c r="J372" s="3">
        <v>0.2</v>
      </c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3">
        <v>372.0</v>
      </c>
      <c r="B373" s="4">
        <v>40559.0</v>
      </c>
      <c r="C373" s="3">
        <v>1.0</v>
      </c>
      <c r="D373" s="3">
        <v>0.0</v>
      </c>
      <c r="E373" s="3">
        <v>1.0</v>
      </c>
      <c r="F373" s="3">
        <v>23.0</v>
      </c>
      <c r="G373" s="3" t="b">
        <f t="shared" si="1"/>
        <v>0</v>
      </c>
      <c r="H373" s="3">
        <v>0.0</v>
      </c>
      <c r="I373" s="3">
        <v>2.0</v>
      </c>
      <c r="J373" s="3">
        <v>0.2</v>
      </c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3">
        <v>373.0</v>
      </c>
      <c r="B374" s="4">
        <v>40560.0</v>
      </c>
      <c r="C374" s="3">
        <v>1.0</v>
      </c>
      <c r="D374" s="3">
        <v>0.0</v>
      </c>
      <c r="E374" s="3">
        <v>1.0</v>
      </c>
      <c r="F374" s="3">
        <v>0.0</v>
      </c>
      <c r="G374" s="3" t="b">
        <f t="shared" ref="G374:G397" si="2">TRUE()</f>
        <v>1</v>
      </c>
      <c r="H374" s="3">
        <v>1.0</v>
      </c>
      <c r="I374" s="3">
        <v>2.0</v>
      </c>
      <c r="J374" s="3">
        <v>0.2</v>
      </c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3">
        <v>374.0</v>
      </c>
      <c r="B375" s="4">
        <v>40560.0</v>
      </c>
      <c r="C375" s="3">
        <v>1.0</v>
      </c>
      <c r="D375" s="3">
        <v>0.0</v>
      </c>
      <c r="E375" s="3">
        <v>1.0</v>
      </c>
      <c r="F375" s="3">
        <v>1.0</v>
      </c>
      <c r="G375" s="3" t="b">
        <f t="shared" si="2"/>
        <v>1</v>
      </c>
      <c r="H375" s="3">
        <v>1.0</v>
      </c>
      <c r="I375" s="3">
        <v>2.0</v>
      </c>
      <c r="J375" s="3">
        <v>0.2</v>
      </c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3">
        <v>375.0</v>
      </c>
      <c r="B376" s="4">
        <v>40560.0</v>
      </c>
      <c r="C376" s="3">
        <v>1.0</v>
      </c>
      <c r="D376" s="3">
        <v>0.0</v>
      </c>
      <c r="E376" s="3">
        <v>1.0</v>
      </c>
      <c r="F376" s="3">
        <v>2.0</v>
      </c>
      <c r="G376" s="3" t="b">
        <f t="shared" si="2"/>
        <v>1</v>
      </c>
      <c r="H376" s="3">
        <v>1.0</v>
      </c>
      <c r="I376" s="3">
        <v>2.0</v>
      </c>
      <c r="J376" s="3">
        <v>0.18</v>
      </c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3">
        <v>376.0</v>
      </c>
      <c r="B377" s="4">
        <v>40560.0</v>
      </c>
      <c r="C377" s="3">
        <v>1.0</v>
      </c>
      <c r="D377" s="3">
        <v>0.0</v>
      </c>
      <c r="E377" s="3">
        <v>1.0</v>
      </c>
      <c r="F377" s="3">
        <v>3.0</v>
      </c>
      <c r="G377" s="3" t="b">
        <f t="shared" si="2"/>
        <v>1</v>
      </c>
      <c r="H377" s="3">
        <v>1.0</v>
      </c>
      <c r="I377" s="3">
        <v>2.0</v>
      </c>
      <c r="J377" s="3">
        <v>0.18</v>
      </c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3">
        <v>377.0</v>
      </c>
      <c r="B378" s="4">
        <v>40560.0</v>
      </c>
      <c r="C378" s="3">
        <v>1.0</v>
      </c>
      <c r="D378" s="3">
        <v>0.0</v>
      </c>
      <c r="E378" s="3">
        <v>1.0</v>
      </c>
      <c r="F378" s="3">
        <v>4.0</v>
      </c>
      <c r="G378" s="3" t="b">
        <f t="shared" si="2"/>
        <v>1</v>
      </c>
      <c r="H378" s="3">
        <v>1.0</v>
      </c>
      <c r="I378" s="3">
        <v>2.0</v>
      </c>
      <c r="J378" s="3">
        <v>0.18</v>
      </c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3">
        <v>378.0</v>
      </c>
      <c r="B379" s="4">
        <v>40560.0</v>
      </c>
      <c r="C379" s="3">
        <v>1.0</v>
      </c>
      <c r="D379" s="3">
        <v>0.0</v>
      </c>
      <c r="E379" s="3">
        <v>1.0</v>
      </c>
      <c r="F379" s="3">
        <v>5.0</v>
      </c>
      <c r="G379" s="3" t="b">
        <f t="shared" si="2"/>
        <v>1</v>
      </c>
      <c r="H379" s="3">
        <v>1.0</v>
      </c>
      <c r="I379" s="3">
        <v>2.0</v>
      </c>
      <c r="J379" s="3">
        <v>0.18</v>
      </c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3">
        <v>379.0</v>
      </c>
      <c r="B380" s="4">
        <v>40560.0</v>
      </c>
      <c r="C380" s="3">
        <v>1.0</v>
      </c>
      <c r="D380" s="3">
        <v>0.0</v>
      </c>
      <c r="E380" s="3">
        <v>1.0</v>
      </c>
      <c r="F380" s="3">
        <v>6.0</v>
      </c>
      <c r="G380" s="3" t="b">
        <f t="shared" si="2"/>
        <v>1</v>
      </c>
      <c r="H380" s="3">
        <v>1.0</v>
      </c>
      <c r="I380" s="3">
        <v>2.0</v>
      </c>
      <c r="J380" s="3">
        <v>0.18</v>
      </c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3">
        <v>380.0</v>
      </c>
      <c r="B381" s="4">
        <v>40560.0</v>
      </c>
      <c r="C381" s="3">
        <v>1.0</v>
      </c>
      <c r="D381" s="3">
        <v>0.0</v>
      </c>
      <c r="E381" s="3">
        <v>1.0</v>
      </c>
      <c r="F381" s="3">
        <v>7.0</v>
      </c>
      <c r="G381" s="3" t="b">
        <f t="shared" si="2"/>
        <v>1</v>
      </c>
      <c r="H381" s="3">
        <v>1.0</v>
      </c>
      <c r="I381" s="3">
        <v>2.0</v>
      </c>
      <c r="J381" s="3">
        <v>0.16</v>
      </c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3">
        <v>381.0</v>
      </c>
      <c r="B382" s="4">
        <v>40560.0</v>
      </c>
      <c r="C382" s="3">
        <v>1.0</v>
      </c>
      <c r="D382" s="3">
        <v>0.0</v>
      </c>
      <c r="E382" s="3">
        <v>1.0</v>
      </c>
      <c r="F382" s="3">
        <v>8.0</v>
      </c>
      <c r="G382" s="3" t="b">
        <f t="shared" si="2"/>
        <v>1</v>
      </c>
      <c r="H382" s="3">
        <v>1.0</v>
      </c>
      <c r="I382" s="3">
        <v>2.0</v>
      </c>
      <c r="J382" s="3">
        <v>0.16</v>
      </c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3">
        <v>382.0</v>
      </c>
      <c r="B383" s="4">
        <v>40560.0</v>
      </c>
      <c r="C383" s="3">
        <v>1.0</v>
      </c>
      <c r="D383" s="3">
        <v>0.0</v>
      </c>
      <c r="E383" s="3">
        <v>1.0</v>
      </c>
      <c r="F383" s="3">
        <v>9.0</v>
      </c>
      <c r="G383" s="3" t="b">
        <f t="shared" si="2"/>
        <v>1</v>
      </c>
      <c r="H383" s="3">
        <v>1.0</v>
      </c>
      <c r="I383" s="3">
        <v>2.0</v>
      </c>
      <c r="J383" s="3">
        <v>0.16</v>
      </c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3">
        <v>383.0</v>
      </c>
      <c r="B384" s="4">
        <v>40560.0</v>
      </c>
      <c r="C384" s="3">
        <v>1.0</v>
      </c>
      <c r="D384" s="3">
        <v>0.0</v>
      </c>
      <c r="E384" s="3">
        <v>1.0</v>
      </c>
      <c r="F384" s="3">
        <v>10.0</v>
      </c>
      <c r="G384" s="3" t="b">
        <f t="shared" si="2"/>
        <v>1</v>
      </c>
      <c r="H384" s="3">
        <v>1.0</v>
      </c>
      <c r="I384" s="3">
        <v>2.0</v>
      </c>
      <c r="J384" s="3">
        <v>0.16</v>
      </c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3">
        <v>384.0</v>
      </c>
      <c r="B385" s="4">
        <v>40560.0</v>
      </c>
      <c r="C385" s="3">
        <v>1.0</v>
      </c>
      <c r="D385" s="3">
        <v>0.0</v>
      </c>
      <c r="E385" s="3">
        <v>1.0</v>
      </c>
      <c r="F385" s="3">
        <v>11.0</v>
      </c>
      <c r="G385" s="3" t="b">
        <f t="shared" si="2"/>
        <v>1</v>
      </c>
      <c r="H385" s="3">
        <v>1.0</v>
      </c>
      <c r="I385" s="3">
        <v>2.0</v>
      </c>
      <c r="J385" s="3">
        <v>0.16</v>
      </c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3">
        <v>385.0</v>
      </c>
      <c r="B386" s="4">
        <v>40560.0</v>
      </c>
      <c r="C386" s="3">
        <v>1.0</v>
      </c>
      <c r="D386" s="3">
        <v>0.0</v>
      </c>
      <c r="E386" s="3">
        <v>1.0</v>
      </c>
      <c r="F386" s="3">
        <v>12.0</v>
      </c>
      <c r="G386" s="3" t="b">
        <f t="shared" si="2"/>
        <v>1</v>
      </c>
      <c r="H386" s="3">
        <v>1.0</v>
      </c>
      <c r="I386" s="3">
        <v>2.0</v>
      </c>
      <c r="J386" s="3">
        <v>0.18</v>
      </c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3">
        <v>386.0</v>
      </c>
      <c r="B387" s="4">
        <v>40560.0</v>
      </c>
      <c r="C387" s="3">
        <v>1.0</v>
      </c>
      <c r="D387" s="3">
        <v>0.0</v>
      </c>
      <c r="E387" s="3">
        <v>1.0</v>
      </c>
      <c r="F387" s="3">
        <v>13.0</v>
      </c>
      <c r="G387" s="3" t="b">
        <f t="shared" si="2"/>
        <v>1</v>
      </c>
      <c r="H387" s="3">
        <v>1.0</v>
      </c>
      <c r="I387" s="3">
        <v>2.0</v>
      </c>
      <c r="J387" s="3">
        <v>0.18</v>
      </c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3">
        <v>387.0</v>
      </c>
      <c r="B388" s="4">
        <v>40560.0</v>
      </c>
      <c r="C388" s="3">
        <v>1.0</v>
      </c>
      <c r="D388" s="3">
        <v>0.0</v>
      </c>
      <c r="E388" s="3">
        <v>1.0</v>
      </c>
      <c r="F388" s="3">
        <v>14.0</v>
      </c>
      <c r="G388" s="3" t="b">
        <f t="shared" si="2"/>
        <v>1</v>
      </c>
      <c r="H388" s="3">
        <v>1.0</v>
      </c>
      <c r="I388" s="3">
        <v>2.0</v>
      </c>
      <c r="J388" s="3">
        <v>0.18</v>
      </c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3">
        <v>388.0</v>
      </c>
      <c r="B389" s="4">
        <v>40560.0</v>
      </c>
      <c r="C389" s="3">
        <v>1.0</v>
      </c>
      <c r="D389" s="3">
        <v>0.0</v>
      </c>
      <c r="E389" s="3">
        <v>1.0</v>
      </c>
      <c r="F389" s="3">
        <v>15.0</v>
      </c>
      <c r="G389" s="3" t="b">
        <f t="shared" si="2"/>
        <v>1</v>
      </c>
      <c r="H389" s="3">
        <v>1.0</v>
      </c>
      <c r="I389" s="3">
        <v>2.0</v>
      </c>
      <c r="J389" s="3">
        <v>0.2</v>
      </c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3">
        <v>389.0</v>
      </c>
      <c r="B390" s="4">
        <v>40560.0</v>
      </c>
      <c r="C390" s="3">
        <v>1.0</v>
      </c>
      <c r="D390" s="3">
        <v>0.0</v>
      </c>
      <c r="E390" s="3">
        <v>1.0</v>
      </c>
      <c r="F390" s="3">
        <v>16.0</v>
      </c>
      <c r="G390" s="3" t="b">
        <f t="shared" si="2"/>
        <v>1</v>
      </c>
      <c r="H390" s="3">
        <v>1.0</v>
      </c>
      <c r="I390" s="3">
        <v>2.0</v>
      </c>
      <c r="J390" s="3">
        <v>0.2</v>
      </c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3">
        <v>390.0</v>
      </c>
      <c r="B391" s="4">
        <v>40560.0</v>
      </c>
      <c r="C391" s="3">
        <v>1.0</v>
      </c>
      <c r="D391" s="3">
        <v>0.0</v>
      </c>
      <c r="E391" s="3">
        <v>1.0</v>
      </c>
      <c r="F391" s="3">
        <v>17.0</v>
      </c>
      <c r="G391" s="3" t="b">
        <f t="shared" si="2"/>
        <v>1</v>
      </c>
      <c r="H391" s="3">
        <v>1.0</v>
      </c>
      <c r="I391" s="3">
        <v>1.0</v>
      </c>
      <c r="J391" s="3">
        <v>0.2</v>
      </c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3">
        <v>391.0</v>
      </c>
      <c r="B392" s="4">
        <v>40560.0</v>
      </c>
      <c r="C392" s="3">
        <v>1.0</v>
      </c>
      <c r="D392" s="3">
        <v>0.0</v>
      </c>
      <c r="E392" s="3">
        <v>1.0</v>
      </c>
      <c r="F392" s="3">
        <v>18.0</v>
      </c>
      <c r="G392" s="3" t="b">
        <f t="shared" si="2"/>
        <v>1</v>
      </c>
      <c r="H392" s="3">
        <v>1.0</v>
      </c>
      <c r="I392" s="3">
        <v>2.0</v>
      </c>
      <c r="J392" s="3">
        <v>0.18</v>
      </c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3">
        <v>392.0</v>
      </c>
      <c r="B393" s="4">
        <v>40560.0</v>
      </c>
      <c r="C393" s="3">
        <v>1.0</v>
      </c>
      <c r="D393" s="3">
        <v>0.0</v>
      </c>
      <c r="E393" s="3">
        <v>1.0</v>
      </c>
      <c r="F393" s="3">
        <v>19.0</v>
      </c>
      <c r="G393" s="3" t="b">
        <f t="shared" si="2"/>
        <v>1</v>
      </c>
      <c r="H393" s="3">
        <v>1.0</v>
      </c>
      <c r="I393" s="3">
        <v>3.0</v>
      </c>
      <c r="J393" s="3">
        <v>0.18</v>
      </c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3">
        <v>393.0</v>
      </c>
      <c r="B394" s="4">
        <v>40560.0</v>
      </c>
      <c r="C394" s="3">
        <v>1.0</v>
      </c>
      <c r="D394" s="3">
        <v>0.0</v>
      </c>
      <c r="E394" s="3">
        <v>1.0</v>
      </c>
      <c r="F394" s="3">
        <v>20.0</v>
      </c>
      <c r="G394" s="3" t="b">
        <f t="shared" si="2"/>
        <v>1</v>
      </c>
      <c r="H394" s="3">
        <v>1.0</v>
      </c>
      <c r="I394" s="3">
        <v>3.0</v>
      </c>
      <c r="J394" s="3">
        <v>0.16</v>
      </c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3">
        <v>394.0</v>
      </c>
      <c r="B395" s="4">
        <v>40560.0</v>
      </c>
      <c r="C395" s="3">
        <v>1.0</v>
      </c>
      <c r="D395" s="3">
        <v>0.0</v>
      </c>
      <c r="E395" s="3">
        <v>1.0</v>
      </c>
      <c r="F395" s="3">
        <v>21.0</v>
      </c>
      <c r="G395" s="3" t="b">
        <f t="shared" si="2"/>
        <v>1</v>
      </c>
      <c r="H395" s="3">
        <v>1.0</v>
      </c>
      <c r="I395" s="3">
        <v>3.0</v>
      </c>
      <c r="J395" s="3">
        <v>0.16</v>
      </c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3">
        <v>395.0</v>
      </c>
      <c r="B396" s="4">
        <v>40560.0</v>
      </c>
      <c r="C396" s="3">
        <v>1.0</v>
      </c>
      <c r="D396" s="3">
        <v>0.0</v>
      </c>
      <c r="E396" s="3">
        <v>1.0</v>
      </c>
      <c r="F396" s="3">
        <v>22.0</v>
      </c>
      <c r="G396" s="3" t="b">
        <f t="shared" si="2"/>
        <v>1</v>
      </c>
      <c r="H396" s="3">
        <v>1.0</v>
      </c>
      <c r="I396" s="3">
        <v>3.0</v>
      </c>
      <c r="J396" s="3">
        <v>0.14</v>
      </c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3">
        <v>396.0</v>
      </c>
      <c r="B397" s="4">
        <v>40560.0</v>
      </c>
      <c r="C397" s="3">
        <v>1.0</v>
      </c>
      <c r="D397" s="3">
        <v>0.0</v>
      </c>
      <c r="E397" s="3">
        <v>1.0</v>
      </c>
      <c r="F397" s="3">
        <v>23.0</v>
      </c>
      <c r="G397" s="3" t="b">
        <f t="shared" si="2"/>
        <v>1</v>
      </c>
      <c r="H397" s="3">
        <v>1.0</v>
      </c>
      <c r="I397" s="3">
        <v>3.0</v>
      </c>
      <c r="J397" s="3">
        <v>0.16</v>
      </c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3">
        <v>397.0</v>
      </c>
      <c r="B398" s="4">
        <v>40561.0</v>
      </c>
      <c r="C398" s="3">
        <v>1.0</v>
      </c>
      <c r="D398" s="3">
        <v>0.0</v>
      </c>
      <c r="E398" s="3">
        <v>1.0</v>
      </c>
      <c r="F398" s="3">
        <v>12.0</v>
      </c>
      <c r="G398" s="3" t="b">
        <f t="shared" ref="G398:G611" si="3">FALSE()</f>
        <v>0</v>
      </c>
      <c r="H398" s="3">
        <v>2.0</v>
      </c>
      <c r="I398" s="3">
        <v>2.0</v>
      </c>
      <c r="J398" s="3">
        <v>0.2</v>
      </c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3">
        <v>398.0</v>
      </c>
      <c r="B399" s="4">
        <v>40561.0</v>
      </c>
      <c r="C399" s="3">
        <v>1.0</v>
      </c>
      <c r="D399" s="3">
        <v>0.0</v>
      </c>
      <c r="E399" s="3">
        <v>1.0</v>
      </c>
      <c r="F399" s="3">
        <v>13.0</v>
      </c>
      <c r="G399" s="3" t="b">
        <f t="shared" si="3"/>
        <v>0</v>
      </c>
      <c r="H399" s="3">
        <v>2.0</v>
      </c>
      <c r="I399" s="3">
        <v>2.0</v>
      </c>
      <c r="J399" s="3">
        <v>0.2</v>
      </c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3">
        <v>399.0</v>
      </c>
      <c r="B400" s="4">
        <v>40561.0</v>
      </c>
      <c r="C400" s="3">
        <v>1.0</v>
      </c>
      <c r="D400" s="3">
        <v>0.0</v>
      </c>
      <c r="E400" s="3">
        <v>1.0</v>
      </c>
      <c r="F400" s="3">
        <v>14.0</v>
      </c>
      <c r="G400" s="3" t="b">
        <f t="shared" si="3"/>
        <v>0</v>
      </c>
      <c r="H400" s="3">
        <v>2.0</v>
      </c>
      <c r="I400" s="3">
        <v>2.0</v>
      </c>
      <c r="J400" s="3">
        <v>0.22</v>
      </c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3">
        <v>400.0</v>
      </c>
      <c r="B401" s="4">
        <v>40561.0</v>
      </c>
      <c r="C401" s="3">
        <v>1.0</v>
      </c>
      <c r="D401" s="3">
        <v>0.0</v>
      </c>
      <c r="E401" s="3">
        <v>1.0</v>
      </c>
      <c r="F401" s="3">
        <v>15.0</v>
      </c>
      <c r="G401" s="3" t="b">
        <f t="shared" si="3"/>
        <v>0</v>
      </c>
      <c r="H401" s="3">
        <v>2.0</v>
      </c>
      <c r="I401" s="3">
        <v>2.0</v>
      </c>
      <c r="J401" s="3">
        <v>0.22</v>
      </c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3">
        <v>401.0</v>
      </c>
      <c r="B402" s="4">
        <v>40561.0</v>
      </c>
      <c r="C402" s="3">
        <v>1.0</v>
      </c>
      <c r="D402" s="3">
        <v>0.0</v>
      </c>
      <c r="E402" s="3">
        <v>1.0</v>
      </c>
      <c r="F402" s="3">
        <v>16.0</v>
      </c>
      <c r="G402" s="3" t="b">
        <f t="shared" si="3"/>
        <v>0</v>
      </c>
      <c r="H402" s="3">
        <v>2.0</v>
      </c>
      <c r="I402" s="3">
        <v>2.0</v>
      </c>
      <c r="J402" s="3">
        <v>0.22</v>
      </c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3">
        <v>402.0</v>
      </c>
      <c r="B403" s="4">
        <v>40561.0</v>
      </c>
      <c r="C403" s="3">
        <v>1.0</v>
      </c>
      <c r="D403" s="3">
        <v>0.0</v>
      </c>
      <c r="E403" s="3">
        <v>1.0</v>
      </c>
      <c r="F403" s="3">
        <v>17.0</v>
      </c>
      <c r="G403" s="3" t="b">
        <f t="shared" si="3"/>
        <v>0</v>
      </c>
      <c r="H403" s="3">
        <v>2.0</v>
      </c>
      <c r="I403" s="3">
        <v>2.0</v>
      </c>
      <c r="J403" s="3">
        <v>0.22</v>
      </c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3">
        <v>403.0</v>
      </c>
      <c r="B404" s="4">
        <v>40561.0</v>
      </c>
      <c r="C404" s="3">
        <v>1.0</v>
      </c>
      <c r="D404" s="3">
        <v>0.0</v>
      </c>
      <c r="E404" s="3">
        <v>1.0</v>
      </c>
      <c r="F404" s="3">
        <v>18.0</v>
      </c>
      <c r="G404" s="3" t="b">
        <f t="shared" si="3"/>
        <v>0</v>
      </c>
      <c r="H404" s="3">
        <v>2.0</v>
      </c>
      <c r="I404" s="3">
        <v>2.0</v>
      </c>
      <c r="J404" s="3">
        <v>0.22</v>
      </c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3">
        <v>404.0</v>
      </c>
      <c r="B405" s="4">
        <v>40561.0</v>
      </c>
      <c r="C405" s="3">
        <v>1.0</v>
      </c>
      <c r="D405" s="3">
        <v>0.0</v>
      </c>
      <c r="E405" s="3">
        <v>1.0</v>
      </c>
      <c r="F405" s="3">
        <v>19.0</v>
      </c>
      <c r="G405" s="3" t="b">
        <f t="shared" si="3"/>
        <v>0</v>
      </c>
      <c r="H405" s="3">
        <v>2.0</v>
      </c>
      <c r="I405" s="3">
        <v>2.0</v>
      </c>
      <c r="J405" s="3">
        <v>0.22</v>
      </c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3">
        <v>405.0</v>
      </c>
      <c r="B406" s="4">
        <v>40561.0</v>
      </c>
      <c r="C406" s="3">
        <v>1.0</v>
      </c>
      <c r="D406" s="3">
        <v>0.0</v>
      </c>
      <c r="E406" s="3">
        <v>1.0</v>
      </c>
      <c r="F406" s="3">
        <v>20.0</v>
      </c>
      <c r="G406" s="3" t="b">
        <f t="shared" si="3"/>
        <v>0</v>
      </c>
      <c r="H406" s="3">
        <v>2.0</v>
      </c>
      <c r="I406" s="3">
        <v>2.0</v>
      </c>
      <c r="J406" s="3">
        <v>0.22</v>
      </c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3">
        <v>406.0</v>
      </c>
      <c r="B407" s="4">
        <v>40561.0</v>
      </c>
      <c r="C407" s="3">
        <v>1.0</v>
      </c>
      <c r="D407" s="3">
        <v>0.0</v>
      </c>
      <c r="E407" s="3">
        <v>1.0</v>
      </c>
      <c r="F407" s="3">
        <v>21.0</v>
      </c>
      <c r="G407" s="3" t="b">
        <f t="shared" si="3"/>
        <v>0</v>
      </c>
      <c r="H407" s="3">
        <v>2.0</v>
      </c>
      <c r="I407" s="3">
        <v>2.0</v>
      </c>
      <c r="J407" s="3">
        <v>0.22</v>
      </c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3">
        <v>407.0</v>
      </c>
      <c r="B408" s="4">
        <v>40561.0</v>
      </c>
      <c r="C408" s="3">
        <v>1.0</v>
      </c>
      <c r="D408" s="3">
        <v>0.0</v>
      </c>
      <c r="E408" s="3">
        <v>1.0</v>
      </c>
      <c r="F408" s="3">
        <v>22.0</v>
      </c>
      <c r="G408" s="3" t="b">
        <f t="shared" si="3"/>
        <v>0</v>
      </c>
      <c r="H408" s="3">
        <v>2.0</v>
      </c>
      <c r="I408" s="3">
        <v>2.0</v>
      </c>
      <c r="J408" s="3">
        <v>0.22</v>
      </c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3">
        <v>408.0</v>
      </c>
      <c r="B409" s="4">
        <v>40561.0</v>
      </c>
      <c r="C409" s="3">
        <v>1.0</v>
      </c>
      <c r="D409" s="3">
        <v>0.0</v>
      </c>
      <c r="E409" s="3">
        <v>1.0</v>
      </c>
      <c r="F409" s="3">
        <v>23.0</v>
      </c>
      <c r="G409" s="3" t="b">
        <f t="shared" si="3"/>
        <v>0</v>
      </c>
      <c r="H409" s="3">
        <v>2.0</v>
      </c>
      <c r="I409" s="3">
        <v>2.0</v>
      </c>
      <c r="J409" s="3">
        <v>0.22</v>
      </c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3">
        <v>409.0</v>
      </c>
      <c r="B410" s="4">
        <v>40562.0</v>
      </c>
      <c r="C410" s="3">
        <v>1.0</v>
      </c>
      <c r="D410" s="3">
        <v>0.0</v>
      </c>
      <c r="E410" s="3">
        <v>1.0</v>
      </c>
      <c r="F410" s="3">
        <v>0.0</v>
      </c>
      <c r="G410" s="3" t="b">
        <f t="shared" si="3"/>
        <v>0</v>
      </c>
      <c r="H410" s="3">
        <v>3.0</v>
      </c>
      <c r="I410" s="3">
        <v>2.0</v>
      </c>
      <c r="J410" s="3">
        <v>0.22</v>
      </c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3">
        <v>410.0</v>
      </c>
      <c r="B411" s="4">
        <v>40562.0</v>
      </c>
      <c r="C411" s="3">
        <v>1.0</v>
      </c>
      <c r="D411" s="3">
        <v>0.0</v>
      </c>
      <c r="E411" s="3">
        <v>1.0</v>
      </c>
      <c r="F411" s="3">
        <v>1.0</v>
      </c>
      <c r="G411" s="3" t="b">
        <f t="shared" si="3"/>
        <v>0</v>
      </c>
      <c r="H411" s="3">
        <v>3.0</v>
      </c>
      <c r="I411" s="3">
        <v>3.0</v>
      </c>
      <c r="J411" s="3">
        <v>0.22</v>
      </c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3">
        <v>411.0</v>
      </c>
      <c r="B412" s="4">
        <v>40562.0</v>
      </c>
      <c r="C412" s="3">
        <v>1.0</v>
      </c>
      <c r="D412" s="3">
        <v>0.0</v>
      </c>
      <c r="E412" s="3">
        <v>1.0</v>
      </c>
      <c r="F412" s="3">
        <v>2.0</v>
      </c>
      <c r="G412" s="3" t="b">
        <f t="shared" si="3"/>
        <v>0</v>
      </c>
      <c r="H412" s="3">
        <v>3.0</v>
      </c>
      <c r="I412" s="3">
        <v>3.0</v>
      </c>
      <c r="J412" s="3">
        <v>0.22</v>
      </c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3">
        <v>412.0</v>
      </c>
      <c r="B413" s="4">
        <v>40562.0</v>
      </c>
      <c r="C413" s="3">
        <v>1.0</v>
      </c>
      <c r="D413" s="3">
        <v>0.0</v>
      </c>
      <c r="E413" s="3">
        <v>1.0</v>
      </c>
      <c r="F413" s="3">
        <v>4.0</v>
      </c>
      <c r="G413" s="3" t="b">
        <f t="shared" si="3"/>
        <v>0</v>
      </c>
      <c r="H413" s="3">
        <v>3.0</v>
      </c>
      <c r="I413" s="3">
        <v>3.0</v>
      </c>
      <c r="J413" s="3">
        <v>0.22</v>
      </c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3">
        <v>413.0</v>
      </c>
      <c r="B414" s="4">
        <v>40562.0</v>
      </c>
      <c r="C414" s="3">
        <v>1.0</v>
      </c>
      <c r="D414" s="3">
        <v>0.0</v>
      </c>
      <c r="E414" s="3">
        <v>1.0</v>
      </c>
      <c r="F414" s="3">
        <v>5.0</v>
      </c>
      <c r="G414" s="3" t="b">
        <f t="shared" si="3"/>
        <v>0</v>
      </c>
      <c r="H414" s="3">
        <v>3.0</v>
      </c>
      <c r="I414" s="3">
        <v>2.0</v>
      </c>
      <c r="J414" s="3">
        <v>0.22</v>
      </c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3">
        <v>414.0</v>
      </c>
      <c r="B415" s="4">
        <v>40562.0</v>
      </c>
      <c r="C415" s="3">
        <v>1.0</v>
      </c>
      <c r="D415" s="3">
        <v>0.0</v>
      </c>
      <c r="E415" s="3">
        <v>1.0</v>
      </c>
      <c r="F415" s="3">
        <v>6.0</v>
      </c>
      <c r="G415" s="3" t="b">
        <f t="shared" si="3"/>
        <v>0</v>
      </c>
      <c r="H415" s="3">
        <v>3.0</v>
      </c>
      <c r="I415" s="3">
        <v>2.0</v>
      </c>
      <c r="J415" s="3">
        <v>0.22</v>
      </c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3">
        <v>415.0</v>
      </c>
      <c r="B416" s="4">
        <v>40562.0</v>
      </c>
      <c r="C416" s="3">
        <v>1.0</v>
      </c>
      <c r="D416" s="3">
        <v>0.0</v>
      </c>
      <c r="E416" s="3">
        <v>1.0</v>
      </c>
      <c r="F416" s="3">
        <v>7.0</v>
      </c>
      <c r="G416" s="3" t="b">
        <f t="shared" si="3"/>
        <v>0</v>
      </c>
      <c r="H416" s="3">
        <v>3.0</v>
      </c>
      <c r="I416" s="3">
        <v>2.0</v>
      </c>
      <c r="J416" s="3">
        <v>0.24</v>
      </c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3">
        <v>416.0</v>
      </c>
      <c r="B417" s="4">
        <v>40562.0</v>
      </c>
      <c r="C417" s="3">
        <v>1.0</v>
      </c>
      <c r="D417" s="3">
        <v>0.0</v>
      </c>
      <c r="E417" s="3">
        <v>1.0</v>
      </c>
      <c r="F417" s="3">
        <v>8.0</v>
      </c>
      <c r="G417" s="3" t="b">
        <f t="shared" si="3"/>
        <v>0</v>
      </c>
      <c r="H417" s="3">
        <v>3.0</v>
      </c>
      <c r="I417" s="3">
        <v>2.0</v>
      </c>
      <c r="J417" s="3">
        <v>0.24</v>
      </c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3">
        <v>417.0</v>
      </c>
      <c r="B418" s="4">
        <v>40562.0</v>
      </c>
      <c r="C418" s="3">
        <v>1.0</v>
      </c>
      <c r="D418" s="3">
        <v>0.0</v>
      </c>
      <c r="E418" s="3">
        <v>1.0</v>
      </c>
      <c r="F418" s="3">
        <v>9.0</v>
      </c>
      <c r="G418" s="3" t="b">
        <f t="shared" si="3"/>
        <v>0</v>
      </c>
      <c r="H418" s="3">
        <v>3.0</v>
      </c>
      <c r="I418" s="3">
        <v>2.0</v>
      </c>
      <c r="J418" s="3">
        <v>0.24</v>
      </c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3">
        <v>418.0</v>
      </c>
      <c r="B419" s="4">
        <v>40562.0</v>
      </c>
      <c r="C419" s="3">
        <v>1.0</v>
      </c>
      <c r="D419" s="3">
        <v>0.0</v>
      </c>
      <c r="E419" s="3">
        <v>1.0</v>
      </c>
      <c r="F419" s="3">
        <v>10.0</v>
      </c>
      <c r="G419" s="3" t="b">
        <f t="shared" si="3"/>
        <v>0</v>
      </c>
      <c r="H419" s="3">
        <v>3.0</v>
      </c>
      <c r="I419" s="3">
        <v>2.0</v>
      </c>
      <c r="J419" s="3">
        <v>0.26</v>
      </c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3">
        <v>419.0</v>
      </c>
      <c r="B420" s="4">
        <v>40562.0</v>
      </c>
      <c r="C420" s="3">
        <v>1.0</v>
      </c>
      <c r="D420" s="3">
        <v>0.0</v>
      </c>
      <c r="E420" s="3">
        <v>1.0</v>
      </c>
      <c r="F420" s="3">
        <v>11.0</v>
      </c>
      <c r="G420" s="3" t="b">
        <f t="shared" si="3"/>
        <v>0</v>
      </c>
      <c r="H420" s="3">
        <v>3.0</v>
      </c>
      <c r="I420" s="3">
        <v>2.0</v>
      </c>
      <c r="J420" s="3">
        <v>0.28</v>
      </c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3">
        <v>420.0</v>
      </c>
      <c r="B421" s="4">
        <v>40562.0</v>
      </c>
      <c r="C421" s="3">
        <v>1.0</v>
      </c>
      <c r="D421" s="3">
        <v>0.0</v>
      </c>
      <c r="E421" s="3">
        <v>1.0</v>
      </c>
      <c r="F421" s="3">
        <v>12.0</v>
      </c>
      <c r="G421" s="3" t="b">
        <f t="shared" si="3"/>
        <v>0</v>
      </c>
      <c r="H421" s="3">
        <v>3.0</v>
      </c>
      <c r="I421" s="3">
        <v>2.0</v>
      </c>
      <c r="J421" s="3">
        <v>0.3</v>
      </c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3">
        <v>421.0</v>
      </c>
      <c r="B422" s="4">
        <v>40562.0</v>
      </c>
      <c r="C422" s="3">
        <v>1.0</v>
      </c>
      <c r="D422" s="3">
        <v>0.0</v>
      </c>
      <c r="E422" s="3">
        <v>1.0</v>
      </c>
      <c r="F422" s="3">
        <v>13.0</v>
      </c>
      <c r="G422" s="3" t="b">
        <f t="shared" si="3"/>
        <v>0</v>
      </c>
      <c r="H422" s="3">
        <v>3.0</v>
      </c>
      <c r="I422" s="3">
        <v>1.0</v>
      </c>
      <c r="J422" s="3">
        <v>0.4</v>
      </c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3">
        <v>422.0</v>
      </c>
      <c r="B423" s="4">
        <v>40562.0</v>
      </c>
      <c r="C423" s="3">
        <v>1.0</v>
      </c>
      <c r="D423" s="3">
        <v>0.0</v>
      </c>
      <c r="E423" s="3">
        <v>1.0</v>
      </c>
      <c r="F423" s="3">
        <v>14.0</v>
      </c>
      <c r="G423" s="3" t="b">
        <f t="shared" si="3"/>
        <v>0</v>
      </c>
      <c r="H423" s="3">
        <v>3.0</v>
      </c>
      <c r="I423" s="3">
        <v>1.0</v>
      </c>
      <c r="J423" s="3">
        <v>0.4</v>
      </c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3">
        <v>423.0</v>
      </c>
      <c r="B424" s="4">
        <v>40562.0</v>
      </c>
      <c r="C424" s="3">
        <v>1.0</v>
      </c>
      <c r="D424" s="3">
        <v>0.0</v>
      </c>
      <c r="E424" s="3">
        <v>1.0</v>
      </c>
      <c r="F424" s="3">
        <v>15.0</v>
      </c>
      <c r="G424" s="3" t="b">
        <f t="shared" si="3"/>
        <v>0</v>
      </c>
      <c r="H424" s="3">
        <v>3.0</v>
      </c>
      <c r="I424" s="3">
        <v>1.0</v>
      </c>
      <c r="J424" s="3">
        <v>0.4</v>
      </c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3">
        <v>424.0</v>
      </c>
      <c r="B425" s="4">
        <v>40562.0</v>
      </c>
      <c r="C425" s="3">
        <v>1.0</v>
      </c>
      <c r="D425" s="3">
        <v>0.0</v>
      </c>
      <c r="E425" s="3">
        <v>1.0</v>
      </c>
      <c r="F425" s="3">
        <v>16.0</v>
      </c>
      <c r="G425" s="3" t="b">
        <f t="shared" si="3"/>
        <v>0</v>
      </c>
      <c r="H425" s="3">
        <v>3.0</v>
      </c>
      <c r="I425" s="3">
        <v>1.0</v>
      </c>
      <c r="J425" s="3">
        <v>0.38</v>
      </c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3">
        <v>425.0</v>
      </c>
      <c r="B426" s="4">
        <v>40562.0</v>
      </c>
      <c r="C426" s="3">
        <v>1.0</v>
      </c>
      <c r="D426" s="3">
        <v>0.0</v>
      </c>
      <c r="E426" s="3">
        <v>1.0</v>
      </c>
      <c r="F426" s="3">
        <v>17.0</v>
      </c>
      <c r="G426" s="3" t="b">
        <f t="shared" si="3"/>
        <v>0</v>
      </c>
      <c r="H426" s="3">
        <v>3.0</v>
      </c>
      <c r="I426" s="3">
        <v>1.0</v>
      </c>
      <c r="J426" s="3">
        <v>0.36</v>
      </c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3">
        <v>426.0</v>
      </c>
      <c r="B427" s="4">
        <v>40562.0</v>
      </c>
      <c r="C427" s="3">
        <v>1.0</v>
      </c>
      <c r="D427" s="3">
        <v>0.0</v>
      </c>
      <c r="E427" s="3">
        <v>1.0</v>
      </c>
      <c r="F427" s="3">
        <v>18.0</v>
      </c>
      <c r="G427" s="3" t="b">
        <f t="shared" si="3"/>
        <v>0</v>
      </c>
      <c r="H427" s="3">
        <v>3.0</v>
      </c>
      <c r="I427" s="3">
        <v>1.0</v>
      </c>
      <c r="J427" s="3">
        <v>0.34</v>
      </c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3">
        <v>427.0</v>
      </c>
      <c r="B428" s="4">
        <v>40562.0</v>
      </c>
      <c r="C428" s="3">
        <v>1.0</v>
      </c>
      <c r="D428" s="3">
        <v>0.0</v>
      </c>
      <c r="E428" s="3">
        <v>1.0</v>
      </c>
      <c r="F428" s="3">
        <v>19.0</v>
      </c>
      <c r="G428" s="3" t="b">
        <f t="shared" si="3"/>
        <v>0</v>
      </c>
      <c r="H428" s="3">
        <v>3.0</v>
      </c>
      <c r="I428" s="3">
        <v>1.0</v>
      </c>
      <c r="J428" s="3">
        <v>0.32</v>
      </c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3">
        <v>428.0</v>
      </c>
      <c r="B429" s="4">
        <v>40562.0</v>
      </c>
      <c r="C429" s="3">
        <v>1.0</v>
      </c>
      <c r="D429" s="3">
        <v>0.0</v>
      </c>
      <c r="E429" s="3">
        <v>1.0</v>
      </c>
      <c r="F429" s="3">
        <v>20.0</v>
      </c>
      <c r="G429" s="3" t="b">
        <f t="shared" si="3"/>
        <v>0</v>
      </c>
      <c r="H429" s="3">
        <v>3.0</v>
      </c>
      <c r="I429" s="3">
        <v>1.0</v>
      </c>
      <c r="J429" s="3">
        <v>0.32</v>
      </c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3">
        <v>429.0</v>
      </c>
      <c r="B430" s="4">
        <v>40562.0</v>
      </c>
      <c r="C430" s="3">
        <v>1.0</v>
      </c>
      <c r="D430" s="3">
        <v>0.0</v>
      </c>
      <c r="E430" s="3">
        <v>1.0</v>
      </c>
      <c r="F430" s="3">
        <v>21.0</v>
      </c>
      <c r="G430" s="3" t="b">
        <f t="shared" si="3"/>
        <v>0</v>
      </c>
      <c r="H430" s="3">
        <v>3.0</v>
      </c>
      <c r="I430" s="3">
        <v>1.0</v>
      </c>
      <c r="J430" s="3">
        <v>0.32</v>
      </c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3">
        <v>430.0</v>
      </c>
      <c r="B431" s="4">
        <v>40562.0</v>
      </c>
      <c r="C431" s="3">
        <v>1.0</v>
      </c>
      <c r="D431" s="3">
        <v>0.0</v>
      </c>
      <c r="E431" s="3">
        <v>1.0</v>
      </c>
      <c r="F431" s="3">
        <v>22.0</v>
      </c>
      <c r="G431" s="3" t="b">
        <f t="shared" si="3"/>
        <v>0</v>
      </c>
      <c r="H431" s="3">
        <v>3.0</v>
      </c>
      <c r="I431" s="3">
        <v>1.0</v>
      </c>
      <c r="J431" s="3">
        <v>0.3</v>
      </c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3">
        <v>431.0</v>
      </c>
      <c r="B432" s="4">
        <v>40562.0</v>
      </c>
      <c r="C432" s="3">
        <v>1.0</v>
      </c>
      <c r="D432" s="3">
        <v>0.0</v>
      </c>
      <c r="E432" s="3">
        <v>1.0</v>
      </c>
      <c r="F432" s="3">
        <v>23.0</v>
      </c>
      <c r="G432" s="3" t="b">
        <f t="shared" si="3"/>
        <v>0</v>
      </c>
      <c r="H432" s="3">
        <v>3.0</v>
      </c>
      <c r="I432" s="3">
        <v>1.0</v>
      </c>
      <c r="J432" s="3">
        <v>0.3</v>
      </c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3">
        <v>432.0</v>
      </c>
      <c r="B433" s="4">
        <v>40563.0</v>
      </c>
      <c r="C433" s="3">
        <v>1.0</v>
      </c>
      <c r="D433" s="3">
        <v>0.0</v>
      </c>
      <c r="E433" s="3">
        <v>1.0</v>
      </c>
      <c r="F433" s="3">
        <v>0.0</v>
      </c>
      <c r="G433" s="3" t="b">
        <f t="shared" si="3"/>
        <v>0</v>
      </c>
      <c r="H433" s="3">
        <v>4.0</v>
      </c>
      <c r="I433" s="3">
        <v>1.0</v>
      </c>
      <c r="J433" s="3">
        <v>0.26</v>
      </c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3">
        <v>433.0</v>
      </c>
      <c r="B434" s="4">
        <v>40563.0</v>
      </c>
      <c r="C434" s="3">
        <v>1.0</v>
      </c>
      <c r="D434" s="3">
        <v>0.0</v>
      </c>
      <c r="E434" s="3">
        <v>1.0</v>
      </c>
      <c r="F434" s="3">
        <v>1.0</v>
      </c>
      <c r="G434" s="3" t="b">
        <f t="shared" si="3"/>
        <v>0</v>
      </c>
      <c r="H434" s="3">
        <v>4.0</v>
      </c>
      <c r="I434" s="3">
        <v>1.0</v>
      </c>
      <c r="J434" s="3">
        <v>0.26</v>
      </c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3">
        <v>434.0</v>
      </c>
      <c r="B435" s="4">
        <v>40563.0</v>
      </c>
      <c r="C435" s="3">
        <v>1.0</v>
      </c>
      <c r="D435" s="3">
        <v>0.0</v>
      </c>
      <c r="E435" s="3">
        <v>1.0</v>
      </c>
      <c r="F435" s="3">
        <v>2.0</v>
      </c>
      <c r="G435" s="3" t="b">
        <f t="shared" si="3"/>
        <v>0</v>
      </c>
      <c r="H435" s="3">
        <v>4.0</v>
      </c>
      <c r="I435" s="3">
        <v>1.0</v>
      </c>
      <c r="J435" s="3">
        <v>0.26</v>
      </c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3">
        <v>435.0</v>
      </c>
      <c r="B436" s="4">
        <v>40563.0</v>
      </c>
      <c r="C436" s="3">
        <v>1.0</v>
      </c>
      <c r="D436" s="3">
        <v>0.0</v>
      </c>
      <c r="E436" s="3">
        <v>1.0</v>
      </c>
      <c r="F436" s="3">
        <v>3.0</v>
      </c>
      <c r="G436" s="3" t="b">
        <f t="shared" si="3"/>
        <v>0</v>
      </c>
      <c r="H436" s="3">
        <v>4.0</v>
      </c>
      <c r="I436" s="3">
        <v>1.0</v>
      </c>
      <c r="J436" s="3">
        <v>0.26</v>
      </c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3">
        <v>436.0</v>
      </c>
      <c r="B437" s="4">
        <v>40563.0</v>
      </c>
      <c r="C437" s="3">
        <v>1.0</v>
      </c>
      <c r="D437" s="3">
        <v>0.0</v>
      </c>
      <c r="E437" s="3">
        <v>1.0</v>
      </c>
      <c r="F437" s="3">
        <v>4.0</v>
      </c>
      <c r="G437" s="3" t="b">
        <f t="shared" si="3"/>
        <v>0</v>
      </c>
      <c r="H437" s="3">
        <v>4.0</v>
      </c>
      <c r="I437" s="3">
        <v>1.0</v>
      </c>
      <c r="J437" s="3">
        <v>0.26</v>
      </c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3">
        <v>437.0</v>
      </c>
      <c r="B438" s="4">
        <v>40563.0</v>
      </c>
      <c r="C438" s="3">
        <v>1.0</v>
      </c>
      <c r="D438" s="3">
        <v>0.0</v>
      </c>
      <c r="E438" s="3">
        <v>1.0</v>
      </c>
      <c r="F438" s="3">
        <v>5.0</v>
      </c>
      <c r="G438" s="3" t="b">
        <f t="shared" si="3"/>
        <v>0</v>
      </c>
      <c r="H438" s="3">
        <v>4.0</v>
      </c>
      <c r="I438" s="3">
        <v>1.0</v>
      </c>
      <c r="J438" s="3">
        <v>0.24</v>
      </c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3">
        <v>438.0</v>
      </c>
      <c r="B439" s="4">
        <v>40563.0</v>
      </c>
      <c r="C439" s="3">
        <v>1.0</v>
      </c>
      <c r="D439" s="3">
        <v>0.0</v>
      </c>
      <c r="E439" s="3">
        <v>1.0</v>
      </c>
      <c r="F439" s="3">
        <v>6.0</v>
      </c>
      <c r="G439" s="3" t="b">
        <f t="shared" si="3"/>
        <v>0</v>
      </c>
      <c r="H439" s="3">
        <v>4.0</v>
      </c>
      <c r="I439" s="3">
        <v>1.0</v>
      </c>
      <c r="J439" s="3">
        <v>0.22</v>
      </c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3">
        <v>439.0</v>
      </c>
      <c r="B440" s="4">
        <v>40563.0</v>
      </c>
      <c r="C440" s="3">
        <v>1.0</v>
      </c>
      <c r="D440" s="3">
        <v>0.0</v>
      </c>
      <c r="E440" s="3">
        <v>1.0</v>
      </c>
      <c r="F440" s="3">
        <v>7.0</v>
      </c>
      <c r="G440" s="3" t="b">
        <f t="shared" si="3"/>
        <v>0</v>
      </c>
      <c r="H440" s="3">
        <v>4.0</v>
      </c>
      <c r="I440" s="3">
        <v>1.0</v>
      </c>
      <c r="J440" s="3">
        <v>0.22</v>
      </c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3">
        <v>440.0</v>
      </c>
      <c r="B441" s="4">
        <v>40563.0</v>
      </c>
      <c r="C441" s="3">
        <v>1.0</v>
      </c>
      <c r="D441" s="3">
        <v>0.0</v>
      </c>
      <c r="E441" s="3">
        <v>1.0</v>
      </c>
      <c r="F441" s="3">
        <v>8.0</v>
      </c>
      <c r="G441" s="3" t="b">
        <f t="shared" si="3"/>
        <v>0</v>
      </c>
      <c r="H441" s="3">
        <v>4.0</v>
      </c>
      <c r="I441" s="3">
        <v>1.0</v>
      </c>
      <c r="J441" s="3">
        <v>0.22</v>
      </c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3">
        <v>441.0</v>
      </c>
      <c r="B442" s="4">
        <v>40563.0</v>
      </c>
      <c r="C442" s="3">
        <v>1.0</v>
      </c>
      <c r="D442" s="3">
        <v>0.0</v>
      </c>
      <c r="E442" s="3">
        <v>1.0</v>
      </c>
      <c r="F442" s="3">
        <v>9.0</v>
      </c>
      <c r="G442" s="3" t="b">
        <f t="shared" si="3"/>
        <v>0</v>
      </c>
      <c r="H442" s="3">
        <v>4.0</v>
      </c>
      <c r="I442" s="3">
        <v>2.0</v>
      </c>
      <c r="J442" s="3">
        <v>0.24</v>
      </c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3">
        <v>442.0</v>
      </c>
      <c r="B443" s="4">
        <v>40563.0</v>
      </c>
      <c r="C443" s="3">
        <v>1.0</v>
      </c>
      <c r="D443" s="3">
        <v>0.0</v>
      </c>
      <c r="E443" s="3">
        <v>1.0</v>
      </c>
      <c r="F443" s="3">
        <v>10.0</v>
      </c>
      <c r="G443" s="3" t="b">
        <f t="shared" si="3"/>
        <v>0</v>
      </c>
      <c r="H443" s="3">
        <v>4.0</v>
      </c>
      <c r="I443" s="3">
        <v>1.0</v>
      </c>
      <c r="J443" s="3">
        <v>0.26</v>
      </c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3">
        <v>443.0</v>
      </c>
      <c r="B444" s="4">
        <v>40563.0</v>
      </c>
      <c r="C444" s="3">
        <v>1.0</v>
      </c>
      <c r="D444" s="3">
        <v>0.0</v>
      </c>
      <c r="E444" s="3">
        <v>1.0</v>
      </c>
      <c r="F444" s="3">
        <v>11.0</v>
      </c>
      <c r="G444" s="3" t="b">
        <f t="shared" si="3"/>
        <v>0</v>
      </c>
      <c r="H444" s="3">
        <v>4.0</v>
      </c>
      <c r="I444" s="3">
        <v>2.0</v>
      </c>
      <c r="J444" s="3">
        <v>0.28</v>
      </c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3">
        <v>444.0</v>
      </c>
      <c r="B445" s="4">
        <v>40563.0</v>
      </c>
      <c r="C445" s="3">
        <v>1.0</v>
      </c>
      <c r="D445" s="3">
        <v>0.0</v>
      </c>
      <c r="E445" s="3">
        <v>1.0</v>
      </c>
      <c r="F445" s="3">
        <v>12.0</v>
      </c>
      <c r="G445" s="3" t="b">
        <f t="shared" si="3"/>
        <v>0</v>
      </c>
      <c r="H445" s="3">
        <v>4.0</v>
      </c>
      <c r="I445" s="3">
        <v>2.0</v>
      </c>
      <c r="J445" s="3">
        <v>0.3</v>
      </c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3">
        <v>445.0</v>
      </c>
      <c r="B446" s="4">
        <v>40563.0</v>
      </c>
      <c r="C446" s="3">
        <v>1.0</v>
      </c>
      <c r="D446" s="3">
        <v>0.0</v>
      </c>
      <c r="E446" s="3">
        <v>1.0</v>
      </c>
      <c r="F446" s="3">
        <v>13.0</v>
      </c>
      <c r="G446" s="3" t="b">
        <f t="shared" si="3"/>
        <v>0</v>
      </c>
      <c r="H446" s="3">
        <v>4.0</v>
      </c>
      <c r="I446" s="3">
        <v>2.0</v>
      </c>
      <c r="J446" s="3">
        <v>0.28</v>
      </c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3">
        <v>446.0</v>
      </c>
      <c r="B447" s="4">
        <v>40563.0</v>
      </c>
      <c r="C447" s="3">
        <v>1.0</v>
      </c>
      <c r="D447" s="3">
        <v>0.0</v>
      </c>
      <c r="E447" s="3">
        <v>1.0</v>
      </c>
      <c r="F447" s="3">
        <v>14.0</v>
      </c>
      <c r="G447" s="3" t="b">
        <f t="shared" si="3"/>
        <v>0</v>
      </c>
      <c r="H447" s="3">
        <v>4.0</v>
      </c>
      <c r="I447" s="3">
        <v>2.0</v>
      </c>
      <c r="J447" s="3">
        <v>0.3</v>
      </c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3">
        <v>447.0</v>
      </c>
      <c r="B448" s="4">
        <v>40563.0</v>
      </c>
      <c r="C448" s="3">
        <v>1.0</v>
      </c>
      <c r="D448" s="3">
        <v>0.0</v>
      </c>
      <c r="E448" s="3">
        <v>1.0</v>
      </c>
      <c r="F448" s="3">
        <v>15.0</v>
      </c>
      <c r="G448" s="3" t="b">
        <f t="shared" si="3"/>
        <v>0</v>
      </c>
      <c r="H448" s="3">
        <v>4.0</v>
      </c>
      <c r="I448" s="3">
        <v>2.0</v>
      </c>
      <c r="J448" s="3">
        <v>0.32</v>
      </c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3">
        <v>448.0</v>
      </c>
      <c r="B449" s="4">
        <v>40563.0</v>
      </c>
      <c r="C449" s="3">
        <v>1.0</v>
      </c>
      <c r="D449" s="3">
        <v>0.0</v>
      </c>
      <c r="E449" s="3">
        <v>1.0</v>
      </c>
      <c r="F449" s="3">
        <v>16.0</v>
      </c>
      <c r="G449" s="3" t="b">
        <f t="shared" si="3"/>
        <v>0</v>
      </c>
      <c r="H449" s="3">
        <v>4.0</v>
      </c>
      <c r="I449" s="3">
        <v>2.0</v>
      </c>
      <c r="J449" s="3">
        <v>0.3</v>
      </c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3">
        <v>449.0</v>
      </c>
      <c r="B450" s="4">
        <v>40563.0</v>
      </c>
      <c r="C450" s="3">
        <v>1.0</v>
      </c>
      <c r="D450" s="3">
        <v>0.0</v>
      </c>
      <c r="E450" s="3">
        <v>1.0</v>
      </c>
      <c r="F450" s="3">
        <v>17.0</v>
      </c>
      <c r="G450" s="3" t="b">
        <f t="shared" si="3"/>
        <v>0</v>
      </c>
      <c r="H450" s="3">
        <v>4.0</v>
      </c>
      <c r="I450" s="3">
        <v>2.0</v>
      </c>
      <c r="J450" s="3">
        <v>0.3</v>
      </c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3">
        <v>450.0</v>
      </c>
      <c r="B451" s="4">
        <v>40563.0</v>
      </c>
      <c r="C451" s="3">
        <v>1.0</v>
      </c>
      <c r="D451" s="3">
        <v>0.0</v>
      </c>
      <c r="E451" s="3">
        <v>1.0</v>
      </c>
      <c r="F451" s="3">
        <v>18.0</v>
      </c>
      <c r="G451" s="3" t="b">
        <f t="shared" si="3"/>
        <v>0</v>
      </c>
      <c r="H451" s="3">
        <v>4.0</v>
      </c>
      <c r="I451" s="3">
        <v>2.0</v>
      </c>
      <c r="J451" s="3">
        <v>0.26</v>
      </c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3">
        <v>451.0</v>
      </c>
      <c r="B452" s="4">
        <v>40563.0</v>
      </c>
      <c r="C452" s="3">
        <v>1.0</v>
      </c>
      <c r="D452" s="3">
        <v>0.0</v>
      </c>
      <c r="E452" s="3">
        <v>1.0</v>
      </c>
      <c r="F452" s="3">
        <v>19.0</v>
      </c>
      <c r="G452" s="3" t="b">
        <f t="shared" si="3"/>
        <v>0</v>
      </c>
      <c r="H452" s="3">
        <v>4.0</v>
      </c>
      <c r="I452" s="3">
        <v>1.0</v>
      </c>
      <c r="J452" s="3">
        <v>0.26</v>
      </c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3">
        <v>452.0</v>
      </c>
      <c r="B453" s="4">
        <v>40563.0</v>
      </c>
      <c r="C453" s="3">
        <v>1.0</v>
      </c>
      <c r="D453" s="3">
        <v>0.0</v>
      </c>
      <c r="E453" s="3">
        <v>1.0</v>
      </c>
      <c r="F453" s="3">
        <v>20.0</v>
      </c>
      <c r="G453" s="3" t="b">
        <f t="shared" si="3"/>
        <v>0</v>
      </c>
      <c r="H453" s="3">
        <v>4.0</v>
      </c>
      <c r="I453" s="3">
        <v>2.0</v>
      </c>
      <c r="J453" s="3">
        <v>0.26</v>
      </c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3">
        <v>453.0</v>
      </c>
      <c r="B454" s="4">
        <v>40563.0</v>
      </c>
      <c r="C454" s="3">
        <v>1.0</v>
      </c>
      <c r="D454" s="3">
        <v>0.0</v>
      </c>
      <c r="E454" s="3">
        <v>1.0</v>
      </c>
      <c r="F454" s="3">
        <v>21.0</v>
      </c>
      <c r="G454" s="3" t="b">
        <f t="shared" si="3"/>
        <v>0</v>
      </c>
      <c r="H454" s="3">
        <v>4.0</v>
      </c>
      <c r="I454" s="3">
        <v>2.0</v>
      </c>
      <c r="J454" s="3">
        <v>0.24</v>
      </c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3">
        <v>454.0</v>
      </c>
      <c r="B455" s="4">
        <v>40563.0</v>
      </c>
      <c r="C455" s="3">
        <v>1.0</v>
      </c>
      <c r="D455" s="3">
        <v>0.0</v>
      </c>
      <c r="E455" s="3">
        <v>1.0</v>
      </c>
      <c r="F455" s="3">
        <v>22.0</v>
      </c>
      <c r="G455" s="3" t="b">
        <f t="shared" si="3"/>
        <v>0</v>
      </c>
      <c r="H455" s="3">
        <v>4.0</v>
      </c>
      <c r="I455" s="3">
        <v>2.0</v>
      </c>
      <c r="J455" s="3">
        <v>0.24</v>
      </c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3">
        <v>455.0</v>
      </c>
      <c r="B456" s="4">
        <v>40563.0</v>
      </c>
      <c r="C456" s="3">
        <v>1.0</v>
      </c>
      <c r="D456" s="3">
        <v>0.0</v>
      </c>
      <c r="E456" s="3">
        <v>1.0</v>
      </c>
      <c r="F456" s="3">
        <v>23.0</v>
      </c>
      <c r="G456" s="3" t="b">
        <f t="shared" si="3"/>
        <v>0</v>
      </c>
      <c r="H456" s="3">
        <v>4.0</v>
      </c>
      <c r="I456" s="3">
        <v>2.0</v>
      </c>
      <c r="J456" s="3">
        <v>0.24</v>
      </c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3">
        <v>456.0</v>
      </c>
      <c r="B457" s="4">
        <v>40564.0</v>
      </c>
      <c r="C457" s="3">
        <v>1.0</v>
      </c>
      <c r="D457" s="3">
        <v>0.0</v>
      </c>
      <c r="E457" s="3">
        <v>1.0</v>
      </c>
      <c r="F457" s="3">
        <v>0.0</v>
      </c>
      <c r="G457" s="3" t="b">
        <f t="shared" si="3"/>
        <v>0</v>
      </c>
      <c r="H457" s="3">
        <v>5.0</v>
      </c>
      <c r="I457" s="3">
        <v>2.0</v>
      </c>
      <c r="J457" s="3">
        <v>0.24</v>
      </c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3">
        <v>457.0</v>
      </c>
      <c r="B458" s="4">
        <v>40564.0</v>
      </c>
      <c r="C458" s="3">
        <v>1.0</v>
      </c>
      <c r="D458" s="3">
        <v>0.0</v>
      </c>
      <c r="E458" s="3">
        <v>1.0</v>
      </c>
      <c r="F458" s="3">
        <v>1.0</v>
      </c>
      <c r="G458" s="3" t="b">
        <f t="shared" si="3"/>
        <v>0</v>
      </c>
      <c r="H458" s="3">
        <v>5.0</v>
      </c>
      <c r="I458" s="3">
        <v>2.0</v>
      </c>
      <c r="J458" s="3">
        <v>0.24</v>
      </c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3">
        <v>458.0</v>
      </c>
      <c r="B459" s="4">
        <v>40564.0</v>
      </c>
      <c r="C459" s="3">
        <v>1.0</v>
      </c>
      <c r="D459" s="3">
        <v>0.0</v>
      </c>
      <c r="E459" s="3">
        <v>1.0</v>
      </c>
      <c r="F459" s="3">
        <v>2.0</v>
      </c>
      <c r="G459" s="3" t="b">
        <f t="shared" si="3"/>
        <v>0</v>
      </c>
      <c r="H459" s="3">
        <v>5.0</v>
      </c>
      <c r="I459" s="3">
        <v>3.0</v>
      </c>
      <c r="J459" s="3">
        <v>0.24</v>
      </c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3">
        <v>459.0</v>
      </c>
      <c r="B460" s="4">
        <v>40564.0</v>
      </c>
      <c r="C460" s="3">
        <v>1.0</v>
      </c>
      <c r="D460" s="3">
        <v>0.0</v>
      </c>
      <c r="E460" s="3">
        <v>1.0</v>
      </c>
      <c r="F460" s="3">
        <v>3.0</v>
      </c>
      <c r="G460" s="3" t="b">
        <f t="shared" si="3"/>
        <v>0</v>
      </c>
      <c r="H460" s="3">
        <v>5.0</v>
      </c>
      <c r="I460" s="3">
        <v>3.0</v>
      </c>
      <c r="J460" s="3">
        <v>0.22</v>
      </c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3">
        <v>460.0</v>
      </c>
      <c r="B461" s="4">
        <v>40564.0</v>
      </c>
      <c r="C461" s="3">
        <v>1.0</v>
      </c>
      <c r="D461" s="3">
        <v>0.0</v>
      </c>
      <c r="E461" s="3">
        <v>1.0</v>
      </c>
      <c r="F461" s="3">
        <v>4.0</v>
      </c>
      <c r="G461" s="3" t="b">
        <f t="shared" si="3"/>
        <v>0</v>
      </c>
      <c r="H461" s="3">
        <v>5.0</v>
      </c>
      <c r="I461" s="3">
        <v>2.0</v>
      </c>
      <c r="J461" s="3">
        <v>0.22</v>
      </c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3">
        <v>461.0</v>
      </c>
      <c r="B462" s="4">
        <v>40564.0</v>
      </c>
      <c r="C462" s="3">
        <v>1.0</v>
      </c>
      <c r="D462" s="3">
        <v>0.0</v>
      </c>
      <c r="E462" s="3">
        <v>1.0</v>
      </c>
      <c r="F462" s="3">
        <v>5.0</v>
      </c>
      <c r="G462" s="3" t="b">
        <f t="shared" si="3"/>
        <v>0</v>
      </c>
      <c r="H462" s="3">
        <v>5.0</v>
      </c>
      <c r="I462" s="3">
        <v>1.0</v>
      </c>
      <c r="J462" s="3">
        <v>0.24</v>
      </c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3">
        <v>462.0</v>
      </c>
      <c r="B463" s="4">
        <v>40564.0</v>
      </c>
      <c r="C463" s="3">
        <v>1.0</v>
      </c>
      <c r="D463" s="3">
        <v>0.0</v>
      </c>
      <c r="E463" s="3">
        <v>1.0</v>
      </c>
      <c r="F463" s="3">
        <v>6.0</v>
      </c>
      <c r="G463" s="3" t="b">
        <f t="shared" si="3"/>
        <v>0</v>
      </c>
      <c r="H463" s="3">
        <v>5.0</v>
      </c>
      <c r="I463" s="3">
        <v>1.0</v>
      </c>
      <c r="J463" s="3">
        <v>0.22</v>
      </c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3">
        <v>463.0</v>
      </c>
      <c r="B464" s="4">
        <v>40564.0</v>
      </c>
      <c r="C464" s="3">
        <v>1.0</v>
      </c>
      <c r="D464" s="3">
        <v>0.0</v>
      </c>
      <c r="E464" s="3">
        <v>1.0</v>
      </c>
      <c r="F464" s="3">
        <v>7.0</v>
      </c>
      <c r="G464" s="3" t="b">
        <f t="shared" si="3"/>
        <v>0</v>
      </c>
      <c r="H464" s="3">
        <v>5.0</v>
      </c>
      <c r="I464" s="3">
        <v>1.0</v>
      </c>
      <c r="J464" s="3">
        <v>0.2</v>
      </c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3">
        <v>464.0</v>
      </c>
      <c r="B465" s="4">
        <v>40564.0</v>
      </c>
      <c r="C465" s="3">
        <v>1.0</v>
      </c>
      <c r="D465" s="3">
        <v>0.0</v>
      </c>
      <c r="E465" s="3">
        <v>1.0</v>
      </c>
      <c r="F465" s="3">
        <v>8.0</v>
      </c>
      <c r="G465" s="3" t="b">
        <f t="shared" si="3"/>
        <v>0</v>
      </c>
      <c r="H465" s="3">
        <v>5.0</v>
      </c>
      <c r="I465" s="3">
        <v>1.0</v>
      </c>
      <c r="J465" s="3">
        <v>0.2</v>
      </c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3">
        <v>465.0</v>
      </c>
      <c r="B466" s="4">
        <v>40564.0</v>
      </c>
      <c r="C466" s="3">
        <v>1.0</v>
      </c>
      <c r="D466" s="3">
        <v>0.0</v>
      </c>
      <c r="E466" s="3">
        <v>1.0</v>
      </c>
      <c r="F466" s="3">
        <v>9.0</v>
      </c>
      <c r="G466" s="3" t="b">
        <f t="shared" si="3"/>
        <v>0</v>
      </c>
      <c r="H466" s="3">
        <v>5.0</v>
      </c>
      <c r="I466" s="3">
        <v>1.0</v>
      </c>
      <c r="J466" s="3">
        <v>0.2</v>
      </c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3">
        <v>466.0</v>
      </c>
      <c r="B467" s="4">
        <v>40564.0</v>
      </c>
      <c r="C467" s="3">
        <v>1.0</v>
      </c>
      <c r="D467" s="3">
        <v>0.0</v>
      </c>
      <c r="E467" s="3">
        <v>1.0</v>
      </c>
      <c r="F467" s="3">
        <v>10.0</v>
      </c>
      <c r="G467" s="3" t="b">
        <f t="shared" si="3"/>
        <v>0</v>
      </c>
      <c r="H467" s="3">
        <v>5.0</v>
      </c>
      <c r="I467" s="3">
        <v>1.0</v>
      </c>
      <c r="J467" s="3">
        <v>0.2</v>
      </c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3">
        <v>467.0</v>
      </c>
      <c r="B468" s="4">
        <v>40564.0</v>
      </c>
      <c r="C468" s="3">
        <v>1.0</v>
      </c>
      <c r="D468" s="3">
        <v>0.0</v>
      </c>
      <c r="E468" s="3">
        <v>1.0</v>
      </c>
      <c r="F468" s="3">
        <v>11.0</v>
      </c>
      <c r="G468" s="3" t="b">
        <f t="shared" si="3"/>
        <v>0</v>
      </c>
      <c r="H468" s="3">
        <v>5.0</v>
      </c>
      <c r="I468" s="3">
        <v>1.0</v>
      </c>
      <c r="J468" s="3">
        <v>0.22</v>
      </c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3">
        <v>468.0</v>
      </c>
      <c r="B469" s="4">
        <v>40564.0</v>
      </c>
      <c r="C469" s="3">
        <v>1.0</v>
      </c>
      <c r="D469" s="3">
        <v>0.0</v>
      </c>
      <c r="E469" s="3">
        <v>1.0</v>
      </c>
      <c r="F469" s="3">
        <v>12.0</v>
      </c>
      <c r="G469" s="3" t="b">
        <f t="shared" si="3"/>
        <v>0</v>
      </c>
      <c r="H469" s="3">
        <v>5.0</v>
      </c>
      <c r="I469" s="3">
        <v>1.0</v>
      </c>
      <c r="J469" s="3">
        <v>0.22</v>
      </c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3">
        <v>469.0</v>
      </c>
      <c r="B470" s="4">
        <v>40564.0</v>
      </c>
      <c r="C470" s="3">
        <v>1.0</v>
      </c>
      <c r="D470" s="3">
        <v>0.0</v>
      </c>
      <c r="E470" s="3">
        <v>1.0</v>
      </c>
      <c r="F470" s="3">
        <v>13.0</v>
      </c>
      <c r="G470" s="3" t="b">
        <f t="shared" si="3"/>
        <v>0</v>
      </c>
      <c r="H470" s="3">
        <v>5.0</v>
      </c>
      <c r="I470" s="3">
        <v>1.0</v>
      </c>
      <c r="J470" s="3">
        <v>0.2</v>
      </c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3">
        <v>470.0</v>
      </c>
      <c r="B471" s="4">
        <v>40564.0</v>
      </c>
      <c r="C471" s="3">
        <v>1.0</v>
      </c>
      <c r="D471" s="3">
        <v>0.0</v>
      </c>
      <c r="E471" s="3">
        <v>1.0</v>
      </c>
      <c r="F471" s="3">
        <v>14.0</v>
      </c>
      <c r="G471" s="3" t="b">
        <f t="shared" si="3"/>
        <v>0</v>
      </c>
      <c r="H471" s="3">
        <v>5.0</v>
      </c>
      <c r="I471" s="3">
        <v>1.0</v>
      </c>
      <c r="J471" s="3">
        <v>0.2</v>
      </c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3">
        <v>471.0</v>
      </c>
      <c r="B472" s="4">
        <v>40564.0</v>
      </c>
      <c r="C472" s="3">
        <v>1.0</v>
      </c>
      <c r="D472" s="3">
        <v>0.0</v>
      </c>
      <c r="E472" s="3">
        <v>1.0</v>
      </c>
      <c r="F472" s="3">
        <v>15.0</v>
      </c>
      <c r="G472" s="3" t="b">
        <f t="shared" si="3"/>
        <v>0</v>
      </c>
      <c r="H472" s="3">
        <v>5.0</v>
      </c>
      <c r="I472" s="3">
        <v>1.0</v>
      </c>
      <c r="J472" s="3">
        <v>0.16</v>
      </c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3">
        <v>472.0</v>
      </c>
      <c r="B473" s="4">
        <v>40564.0</v>
      </c>
      <c r="C473" s="3">
        <v>1.0</v>
      </c>
      <c r="D473" s="3">
        <v>0.0</v>
      </c>
      <c r="E473" s="3">
        <v>1.0</v>
      </c>
      <c r="F473" s="3">
        <v>16.0</v>
      </c>
      <c r="G473" s="3" t="b">
        <f t="shared" si="3"/>
        <v>0</v>
      </c>
      <c r="H473" s="3">
        <v>5.0</v>
      </c>
      <c r="I473" s="3">
        <v>1.0</v>
      </c>
      <c r="J473" s="3">
        <v>0.16</v>
      </c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3">
        <v>473.0</v>
      </c>
      <c r="B474" s="4">
        <v>40564.0</v>
      </c>
      <c r="C474" s="3">
        <v>1.0</v>
      </c>
      <c r="D474" s="3">
        <v>0.0</v>
      </c>
      <c r="E474" s="3">
        <v>1.0</v>
      </c>
      <c r="F474" s="3">
        <v>17.0</v>
      </c>
      <c r="G474" s="3" t="b">
        <f t="shared" si="3"/>
        <v>0</v>
      </c>
      <c r="H474" s="3">
        <v>5.0</v>
      </c>
      <c r="I474" s="3">
        <v>1.0</v>
      </c>
      <c r="J474" s="3">
        <v>0.14</v>
      </c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3">
        <v>474.0</v>
      </c>
      <c r="B475" s="4">
        <v>40564.0</v>
      </c>
      <c r="C475" s="3">
        <v>1.0</v>
      </c>
      <c r="D475" s="3">
        <v>0.0</v>
      </c>
      <c r="E475" s="3">
        <v>1.0</v>
      </c>
      <c r="F475" s="3">
        <v>18.0</v>
      </c>
      <c r="G475" s="3" t="b">
        <f t="shared" si="3"/>
        <v>0</v>
      </c>
      <c r="H475" s="3">
        <v>5.0</v>
      </c>
      <c r="I475" s="3">
        <v>1.0</v>
      </c>
      <c r="J475" s="3">
        <v>0.12</v>
      </c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3">
        <v>475.0</v>
      </c>
      <c r="B476" s="4">
        <v>40564.0</v>
      </c>
      <c r="C476" s="3">
        <v>1.0</v>
      </c>
      <c r="D476" s="3">
        <v>0.0</v>
      </c>
      <c r="E476" s="3">
        <v>1.0</v>
      </c>
      <c r="F476" s="3">
        <v>19.0</v>
      </c>
      <c r="G476" s="3" t="b">
        <f t="shared" si="3"/>
        <v>0</v>
      </c>
      <c r="H476" s="3">
        <v>5.0</v>
      </c>
      <c r="I476" s="3">
        <v>1.0</v>
      </c>
      <c r="J476" s="3">
        <v>0.12</v>
      </c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3">
        <v>476.0</v>
      </c>
      <c r="B477" s="4">
        <v>40564.0</v>
      </c>
      <c r="C477" s="3">
        <v>1.0</v>
      </c>
      <c r="D477" s="3">
        <v>0.0</v>
      </c>
      <c r="E477" s="3">
        <v>1.0</v>
      </c>
      <c r="F477" s="3">
        <v>20.0</v>
      </c>
      <c r="G477" s="3" t="b">
        <f t="shared" si="3"/>
        <v>0</v>
      </c>
      <c r="H477" s="3">
        <v>5.0</v>
      </c>
      <c r="I477" s="3">
        <v>1.0</v>
      </c>
      <c r="J477" s="3">
        <v>0.1</v>
      </c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3">
        <v>477.0</v>
      </c>
      <c r="B478" s="4">
        <v>40564.0</v>
      </c>
      <c r="C478" s="3">
        <v>1.0</v>
      </c>
      <c r="D478" s="3">
        <v>0.0</v>
      </c>
      <c r="E478" s="3">
        <v>1.0</v>
      </c>
      <c r="F478" s="3">
        <v>21.0</v>
      </c>
      <c r="G478" s="3" t="b">
        <f t="shared" si="3"/>
        <v>0</v>
      </c>
      <c r="H478" s="3">
        <v>5.0</v>
      </c>
      <c r="I478" s="3">
        <v>1.0</v>
      </c>
      <c r="J478" s="3">
        <v>0.08</v>
      </c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3">
        <v>478.0</v>
      </c>
      <c r="B479" s="4">
        <v>40564.0</v>
      </c>
      <c r="C479" s="3">
        <v>1.0</v>
      </c>
      <c r="D479" s="3">
        <v>0.0</v>
      </c>
      <c r="E479" s="3">
        <v>1.0</v>
      </c>
      <c r="F479" s="3">
        <v>22.0</v>
      </c>
      <c r="G479" s="3" t="b">
        <f t="shared" si="3"/>
        <v>0</v>
      </c>
      <c r="H479" s="3">
        <v>5.0</v>
      </c>
      <c r="I479" s="3">
        <v>1.0</v>
      </c>
      <c r="J479" s="3">
        <v>0.06</v>
      </c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3">
        <v>479.0</v>
      </c>
      <c r="B480" s="4">
        <v>40564.0</v>
      </c>
      <c r="C480" s="3">
        <v>1.0</v>
      </c>
      <c r="D480" s="3">
        <v>0.0</v>
      </c>
      <c r="E480" s="3">
        <v>1.0</v>
      </c>
      <c r="F480" s="3">
        <v>23.0</v>
      </c>
      <c r="G480" s="3" t="b">
        <f t="shared" si="3"/>
        <v>0</v>
      </c>
      <c r="H480" s="3">
        <v>5.0</v>
      </c>
      <c r="I480" s="3">
        <v>1.0</v>
      </c>
      <c r="J480" s="3">
        <v>0.06</v>
      </c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3">
        <v>480.0</v>
      </c>
      <c r="B481" s="4">
        <v>40565.0</v>
      </c>
      <c r="C481" s="3">
        <v>1.0</v>
      </c>
      <c r="D481" s="3">
        <v>0.0</v>
      </c>
      <c r="E481" s="3">
        <v>1.0</v>
      </c>
      <c r="F481" s="3">
        <v>0.0</v>
      </c>
      <c r="G481" s="3" t="b">
        <f t="shared" si="3"/>
        <v>0</v>
      </c>
      <c r="H481" s="3">
        <v>6.0</v>
      </c>
      <c r="I481" s="3">
        <v>1.0</v>
      </c>
      <c r="J481" s="3">
        <v>0.04</v>
      </c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3">
        <v>481.0</v>
      </c>
      <c r="B482" s="4">
        <v>40565.0</v>
      </c>
      <c r="C482" s="3">
        <v>1.0</v>
      </c>
      <c r="D482" s="3">
        <v>0.0</v>
      </c>
      <c r="E482" s="3">
        <v>1.0</v>
      </c>
      <c r="F482" s="3">
        <v>1.0</v>
      </c>
      <c r="G482" s="3" t="b">
        <f t="shared" si="3"/>
        <v>0</v>
      </c>
      <c r="H482" s="3">
        <v>6.0</v>
      </c>
      <c r="I482" s="3">
        <v>2.0</v>
      </c>
      <c r="J482" s="3">
        <v>0.04</v>
      </c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3">
        <v>482.0</v>
      </c>
      <c r="B483" s="4">
        <v>40565.0</v>
      </c>
      <c r="C483" s="3">
        <v>1.0</v>
      </c>
      <c r="D483" s="3">
        <v>0.0</v>
      </c>
      <c r="E483" s="3">
        <v>1.0</v>
      </c>
      <c r="F483" s="3">
        <v>2.0</v>
      </c>
      <c r="G483" s="3" t="b">
        <f t="shared" si="3"/>
        <v>0</v>
      </c>
      <c r="H483" s="3">
        <v>6.0</v>
      </c>
      <c r="I483" s="3">
        <v>2.0</v>
      </c>
      <c r="J483" s="3">
        <v>0.04</v>
      </c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3">
        <v>483.0</v>
      </c>
      <c r="B484" s="4">
        <v>40565.0</v>
      </c>
      <c r="C484" s="3">
        <v>1.0</v>
      </c>
      <c r="D484" s="3">
        <v>0.0</v>
      </c>
      <c r="E484" s="3">
        <v>1.0</v>
      </c>
      <c r="F484" s="3">
        <v>3.0</v>
      </c>
      <c r="G484" s="3" t="b">
        <f t="shared" si="3"/>
        <v>0</v>
      </c>
      <c r="H484" s="3">
        <v>6.0</v>
      </c>
      <c r="I484" s="3">
        <v>2.0</v>
      </c>
      <c r="J484" s="3">
        <v>0.04</v>
      </c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3">
        <v>484.0</v>
      </c>
      <c r="B485" s="4">
        <v>40565.0</v>
      </c>
      <c r="C485" s="3">
        <v>1.0</v>
      </c>
      <c r="D485" s="3">
        <v>0.0</v>
      </c>
      <c r="E485" s="3">
        <v>1.0</v>
      </c>
      <c r="F485" s="3">
        <v>4.0</v>
      </c>
      <c r="G485" s="3" t="b">
        <f t="shared" si="3"/>
        <v>0</v>
      </c>
      <c r="H485" s="3">
        <v>6.0</v>
      </c>
      <c r="I485" s="3">
        <v>2.0</v>
      </c>
      <c r="J485" s="3">
        <v>0.02</v>
      </c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3">
        <v>485.0</v>
      </c>
      <c r="B486" s="4">
        <v>40565.0</v>
      </c>
      <c r="C486" s="3">
        <v>1.0</v>
      </c>
      <c r="D486" s="3">
        <v>0.0</v>
      </c>
      <c r="E486" s="3">
        <v>1.0</v>
      </c>
      <c r="F486" s="3">
        <v>6.0</v>
      </c>
      <c r="G486" s="3" t="b">
        <f t="shared" si="3"/>
        <v>0</v>
      </c>
      <c r="H486" s="3">
        <v>6.0</v>
      </c>
      <c r="I486" s="3">
        <v>2.0</v>
      </c>
      <c r="J486" s="3">
        <v>0.02</v>
      </c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3">
        <v>486.0</v>
      </c>
      <c r="B487" s="4">
        <v>40565.0</v>
      </c>
      <c r="C487" s="3">
        <v>1.0</v>
      </c>
      <c r="D487" s="3">
        <v>0.0</v>
      </c>
      <c r="E487" s="3">
        <v>1.0</v>
      </c>
      <c r="F487" s="3">
        <v>7.0</v>
      </c>
      <c r="G487" s="3" t="b">
        <f t="shared" si="3"/>
        <v>0</v>
      </c>
      <c r="H487" s="3">
        <v>6.0</v>
      </c>
      <c r="I487" s="3">
        <v>1.0</v>
      </c>
      <c r="J487" s="3">
        <v>0.02</v>
      </c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3">
        <v>487.0</v>
      </c>
      <c r="B488" s="4">
        <v>40565.0</v>
      </c>
      <c r="C488" s="3">
        <v>1.0</v>
      </c>
      <c r="D488" s="3">
        <v>0.0</v>
      </c>
      <c r="E488" s="3">
        <v>1.0</v>
      </c>
      <c r="F488" s="3">
        <v>8.0</v>
      </c>
      <c r="G488" s="3" t="b">
        <f t="shared" si="3"/>
        <v>0</v>
      </c>
      <c r="H488" s="3">
        <v>6.0</v>
      </c>
      <c r="I488" s="3">
        <v>1.0</v>
      </c>
      <c r="J488" s="3">
        <v>0.02</v>
      </c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3">
        <v>488.0</v>
      </c>
      <c r="B489" s="4">
        <v>40565.0</v>
      </c>
      <c r="C489" s="3">
        <v>1.0</v>
      </c>
      <c r="D489" s="3">
        <v>0.0</v>
      </c>
      <c r="E489" s="3">
        <v>1.0</v>
      </c>
      <c r="F489" s="3">
        <v>9.0</v>
      </c>
      <c r="G489" s="3" t="b">
        <f t="shared" si="3"/>
        <v>0</v>
      </c>
      <c r="H489" s="3">
        <v>6.0</v>
      </c>
      <c r="I489" s="3">
        <v>1.0</v>
      </c>
      <c r="J489" s="3">
        <v>0.04</v>
      </c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3">
        <v>489.0</v>
      </c>
      <c r="B490" s="4">
        <v>40565.0</v>
      </c>
      <c r="C490" s="3">
        <v>1.0</v>
      </c>
      <c r="D490" s="3">
        <v>0.0</v>
      </c>
      <c r="E490" s="3">
        <v>1.0</v>
      </c>
      <c r="F490" s="3">
        <v>10.0</v>
      </c>
      <c r="G490" s="3" t="b">
        <f t="shared" si="3"/>
        <v>0</v>
      </c>
      <c r="H490" s="3">
        <v>6.0</v>
      </c>
      <c r="I490" s="3">
        <v>2.0</v>
      </c>
      <c r="J490" s="3">
        <v>0.04</v>
      </c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3">
        <v>490.0</v>
      </c>
      <c r="B491" s="4">
        <v>40565.0</v>
      </c>
      <c r="C491" s="3">
        <v>1.0</v>
      </c>
      <c r="D491" s="3">
        <v>0.0</v>
      </c>
      <c r="E491" s="3">
        <v>1.0</v>
      </c>
      <c r="F491" s="3">
        <v>11.0</v>
      </c>
      <c r="G491" s="3" t="b">
        <f t="shared" si="3"/>
        <v>0</v>
      </c>
      <c r="H491" s="3">
        <v>6.0</v>
      </c>
      <c r="I491" s="3">
        <v>2.0</v>
      </c>
      <c r="J491" s="3">
        <v>0.06</v>
      </c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3">
        <v>491.0</v>
      </c>
      <c r="B492" s="4">
        <v>40565.0</v>
      </c>
      <c r="C492" s="3">
        <v>1.0</v>
      </c>
      <c r="D492" s="3">
        <v>0.0</v>
      </c>
      <c r="E492" s="3">
        <v>1.0</v>
      </c>
      <c r="F492" s="3">
        <v>12.0</v>
      </c>
      <c r="G492" s="3" t="b">
        <f t="shared" si="3"/>
        <v>0</v>
      </c>
      <c r="H492" s="3">
        <v>6.0</v>
      </c>
      <c r="I492" s="3">
        <v>2.0</v>
      </c>
      <c r="J492" s="3">
        <v>0.06</v>
      </c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3">
        <v>492.0</v>
      </c>
      <c r="B493" s="4">
        <v>40565.0</v>
      </c>
      <c r="C493" s="3">
        <v>1.0</v>
      </c>
      <c r="D493" s="3">
        <v>0.0</v>
      </c>
      <c r="E493" s="3">
        <v>1.0</v>
      </c>
      <c r="F493" s="3">
        <v>13.0</v>
      </c>
      <c r="G493" s="3" t="b">
        <f t="shared" si="3"/>
        <v>0</v>
      </c>
      <c r="H493" s="3">
        <v>6.0</v>
      </c>
      <c r="I493" s="3">
        <v>1.0</v>
      </c>
      <c r="J493" s="3">
        <v>0.08</v>
      </c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3">
        <v>493.0</v>
      </c>
      <c r="B494" s="4">
        <v>40565.0</v>
      </c>
      <c r="C494" s="3">
        <v>1.0</v>
      </c>
      <c r="D494" s="3">
        <v>0.0</v>
      </c>
      <c r="E494" s="3">
        <v>1.0</v>
      </c>
      <c r="F494" s="3">
        <v>14.0</v>
      </c>
      <c r="G494" s="3" t="b">
        <f t="shared" si="3"/>
        <v>0</v>
      </c>
      <c r="H494" s="3">
        <v>6.0</v>
      </c>
      <c r="I494" s="3">
        <v>1.0</v>
      </c>
      <c r="J494" s="3">
        <v>0.1</v>
      </c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3">
        <v>494.0</v>
      </c>
      <c r="B495" s="4">
        <v>40565.0</v>
      </c>
      <c r="C495" s="3">
        <v>1.0</v>
      </c>
      <c r="D495" s="3">
        <v>0.0</v>
      </c>
      <c r="E495" s="3">
        <v>1.0</v>
      </c>
      <c r="F495" s="3">
        <v>15.0</v>
      </c>
      <c r="G495" s="3" t="b">
        <f t="shared" si="3"/>
        <v>0</v>
      </c>
      <c r="H495" s="3">
        <v>6.0</v>
      </c>
      <c r="I495" s="3">
        <v>1.0</v>
      </c>
      <c r="J495" s="3">
        <v>0.12</v>
      </c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3">
        <v>495.0</v>
      </c>
      <c r="B496" s="4">
        <v>40565.0</v>
      </c>
      <c r="C496" s="3">
        <v>1.0</v>
      </c>
      <c r="D496" s="3">
        <v>0.0</v>
      </c>
      <c r="E496" s="3">
        <v>1.0</v>
      </c>
      <c r="F496" s="3">
        <v>16.0</v>
      </c>
      <c r="G496" s="3" t="b">
        <f t="shared" si="3"/>
        <v>0</v>
      </c>
      <c r="H496" s="3">
        <v>6.0</v>
      </c>
      <c r="I496" s="3">
        <v>1.0</v>
      </c>
      <c r="J496" s="3">
        <v>0.12</v>
      </c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3">
        <v>496.0</v>
      </c>
      <c r="B497" s="4">
        <v>40565.0</v>
      </c>
      <c r="C497" s="3">
        <v>1.0</v>
      </c>
      <c r="D497" s="3">
        <v>0.0</v>
      </c>
      <c r="E497" s="3">
        <v>1.0</v>
      </c>
      <c r="F497" s="3">
        <v>17.0</v>
      </c>
      <c r="G497" s="3" t="b">
        <f t="shared" si="3"/>
        <v>0</v>
      </c>
      <c r="H497" s="3">
        <v>6.0</v>
      </c>
      <c r="I497" s="3">
        <v>1.0</v>
      </c>
      <c r="J497" s="3">
        <v>0.12</v>
      </c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3">
        <v>497.0</v>
      </c>
      <c r="B498" s="4">
        <v>40565.0</v>
      </c>
      <c r="C498" s="3">
        <v>1.0</v>
      </c>
      <c r="D498" s="3">
        <v>0.0</v>
      </c>
      <c r="E498" s="3">
        <v>1.0</v>
      </c>
      <c r="F498" s="3">
        <v>18.0</v>
      </c>
      <c r="G498" s="3" t="b">
        <f t="shared" si="3"/>
        <v>0</v>
      </c>
      <c r="H498" s="3">
        <v>6.0</v>
      </c>
      <c r="I498" s="3">
        <v>1.0</v>
      </c>
      <c r="J498" s="3">
        <v>0.08</v>
      </c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3">
        <v>498.0</v>
      </c>
      <c r="B499" s="4">
        <v>40565.0</v>
      </c>
      <c r="C499" s="3">
        <v>1.0</v>
      </c>
      <c r="D499" s="3">
        <v>0.0</v>
      </c>
      <c r="E499" s="3">
        <v>1.0</v>
      </c>
      <c r="F499" s="3">
        <v>19.0</v>
      </c>
      <c r="G499" s="3" t="b">
        <f t="shared" si="3"/>
        <v>0</v>
      </c>
      <c r="H499" s="3">
        <v>6.0</v>
      </c>
      <c r="I499" s="3">
        <v>1.0</v>
      </c>
      <c r="J499" s="3">
        <v>0.08</v>
      </c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3">
        <v>499.0</v>
      </c>
      <c r="B500" s="4">
        <v>40565.0</v>
      </c>
      <c r="C500" s="3">
        <v>1.0</v>
      </c>
      <c r="D500" s="3">
        <v>0.0</v>
      </c>
      <c r="E500" s="3">
        <v>1.0</v>
      </c>
      <c r="F500" s="3">
        <v>20.0</v>
      </c>
      <c r="G500" s="3" t="b">
        <f t="shared" si="3"/>
        <v>0</v>
      </c>
      <c r="H500" s="3">
        <v>6.0</v>
      </c>
      <c r="I500" s="3">
        <v>1.0</v>
      </c>
      <c r="J500" s="3">
        <v>0.06</v>
      </c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3">
        <v>500.0</v>
      </c>
      <c r="B501" s="4">
        <v>40565.0</v>
      </c>
      <c r="C501" s="3">
        <v>1.0</v>
      </c>
      <c r="D501" s="3">
        <v>0.0</v>
      </c>
      <c r="E501" s="3">
        <v>1.0</v>
      </c>
      <c r="F501" s="3">
        <v>21.0</v>
      </c>
      <c r="G501" s="3" t="b">
        <f t="shared" si="3"/>
        <v>0</v>
      </c>
      <c r="H501" s="3">
        <v>6.0</v>
      </c>
      <c r="I501" s="3">
        <v>1.0</v>
      </c>
      <c r="J501" s="3">
        <v>0.06</v>
      </c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3">
        <v>501.0</v>
      </c>
      <c r="B502" s="4">
        <v>40565.0</v>
      </c>
      <c r="C502" s="3">
        <v>1.0</v>
      </c>
      <c r="D502" s="3">
        <v>0.0</v>
      </c>
      <c r="E502" s="3">
        <v>1.0</v>
      </c>
      <c r="F502" s="3">
        <v>22.0</v>
      </c>
      <c r="G502" s="3" t="b">
        <f t="shared" si="3"/>
        <v>0</v>
      </c>
      <c r="H502" s="3">
        <v>6.0</v>
      </c>
      <c r="I502" s="3">
        <v>1.0</v>
      </c>
      <c r="J502" s="3">
        <v>0.06</v>
      </c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3">
        <v>502.0</v>
      </c>
      <c r="B503" s="4">
        <v>40565.0</v>
      </c>
      <c r="C503" s="3">
        <v>1.0</v>
      </c>
      <c r="D503" s="3">
        <v>0.0</v>
      </c>
      <c r="E503" s="3">
        <v>1.0</v>
      </c>
      <c r="F503" s="3">
        <v>23.0</v>
      </c>
      <c r="G503" s="3" t="b">
        <f t="shared" si="3"/>
        <v>0</v>
      </c>
      <c r="H503" s="3">
        <v>6.0</v>
      </c>
      <c r="I503" s="3">
        <v>1.0</v>
      </c>
      <c r="J503" s="3">
        <v>0.04</v>
      </c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3">
        <v>503.0</v>
      </c>
      <c r="B504" s="4">
        <v>40566.0</v>
      </c>
      <c r="C504" s="3">
        <v>1.0</v>
      </c>
      <c r="D504" s="3">
        <v>0.0</v>
      </c>
      <c r="E504" s="3">
        <v>1.0</v>
      </c>
      <c r="F504" s="3">
        <v>0.0</v>
      </c>
      <c r="G504" s="3" t="b">
        <f t="shared" si="3"/>
        <v>0</v>
      </c>
      <c r="H504" s="3">
        <v>0.0</v>
      </c>
      <c r="I504" s="3">
        <v>1.0</v>
      </c>
      <c r="J504" s="3">
        <v>0.04</v>
      </c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3">
        <v>504.0</v>
      </c>
      <c r="B505" s="4">
        <v>40566.0</v>
      </c>
      <c r="C505" s="3">
        <v>1.0</v>
      </c>
      <c r="D505" s="3">
        <v>0.0</v>
      </c>
      <c r="E505" s="3">
        <v>1.0</v>
      </c>
      <c r="F505" s="3">
        <v>1.0</v>
      </c>
      <c r="G505" s="3" t="b">
        <f t="shared" si="3"/>
        <v>0</v>
      </c>
      <c r="H505" s="3">
        <v>0.0</v>
      </c>
      <c r="I505" s="3">
        <v>1.0</v>
      </c>
      <c r="J505" s="3">
        <v>0.04</v>
      </c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3">
        <v>505.0</v>
      </c>
      <c r="B506" s="4">
        <v>40566.0</v>
      </c>
      <c r="C506" s="3">
        <v>1.0</v>
      </c>
      <c r="D506" s="3">
        <v>0.0</v>
      </c>
      <c r="E506" s="3">
        <v>1.0</v>
      </c>
      <c r="F506" s="3">
        <v>2.0</v>
      </c>
      <c r="G506" s="3" t="b">
        <f t="shared" si="3"/>
        <v>0</v>
      </c>
      <c r="H506" s="3">
        <v>0.0</v>
      </c>
      <c r="I506" s="3">
        <v>1.0</v>
      </c>
      <c r="J506" s="3">
        <v>0.02</v>
      </c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3">
        <v>506.0</v>
      </c>
      <c r="B507" s="4">
        <v>40566.0</v>
      </c>
      <c r="C507" s="3">
        <v>1.0</v>
      </c>
      <c r="D507" s="3">
        <v>0.0</v>
      </c>
      <c r="E507" s="3">
        <v>1.0</v>
      </c>
      <c r="F507" s="3">
        <v>3.0</v>
      </c>
      <c r="G507" s="3" t="b">
        <f t="shared" si="3"/>
        <v>0</v>
      </c>
      <c r="H507" s="3">
        <v>0.0</v>
      </c>
      <c r="I507" s="3">
        <v>1.0</v>
      </c>
      <c r="J507" s="3">
        <v>0.02</v>
      </c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3">
        <v>507.0</v>
      </c>
      <c r="B508" s="4">
        <v>40566.0</v>
      </c>
      <c r="C508" s="3">
        <v>1.0</v>
      </c>
      <c r="D508" s="3">
        <v>0.0</v>
      </c>
      <c r="E508" s="3">
        <v>1.0</v>
      </c>
      <c r="F508" s="3">
        <v>5.0</v>
      </c>
      <c r="G508" s="3" t="b">
        <f t="shared" si="3"/>
        <v>0</v>
      </c>
      <c r="H508" s="3">
        <v>0.0</v>
      </c>
      <c r="I508" s="3">
        <v>2.0</v>
      </c>
      <c r="J508" s="3">
        <v>0.04</v>
      </c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3">
        <v>508.0</v>
      </c>
      <c r="B509" s="4">
        <v>40566.0</v>
      </c>
      <c r="C509" s="3">
        <v>1.0</v>
      </c>
      <c r="D509" s="3">
        <v>0.0</v>
      </c>
      <c r="E509" s="3">
        <v>1.0</v>
      </c>
      <c r="F509" s="3">
        <v>6.0</v>
      </c>
      <c r="G509" s="3" t="b">
        <f t="shared" si="3"/>
        <v>0</v>
      </c>
      <c r="H509" s="3">
        <v>0.0</v>
      </c>
      <c r="I509" s="3">
        <v>2.0</v>
      </c>
      <c r="J509" s="3">
        <v>0.04</v>
      </c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3">
        <v>509.0</v>
      </c>
      <c r="B510" s="4">
        <v>40566.0</v>
      </c>
      <c r="C510" s="3">
        <v>1.0</v>
      </c>
      <c r="D510" s="3">
        <v>0.0</v>
      </c>
      <c r="E510" s="3">
        <v>1.0</v>
      </c>
      <c r="F510" s="3">
        <v>7.0</v>
      </c>
      <c r="G510" s="3" t="b">
        <f t="shared" si="3"/>
        <v>0</v>
      </c>
      <c r="H510" s="3">
        <v>0.0</v>
      </c>
      <c r="I510" s="3">
        <v>1.0</v>
      </c>
      <c r="J510" s="3">
        <v>0.08</v>
      </c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3">
        <v>510.0</v>
      </c>
      <c r="B511" s="4">
        <v>40566.0</v>
      </c>
      <c r="C511" s="3">
        <v>1.0</v>
      </c>
      <c r="D511" s="3">
        <v>0.0</v>
      </c>
      <c r="E511" s="3">
        <v>1.0</v>
      </c>
      <c r="F511" s="3">
        <v>8.0</v>
      </c>
      <c r="G511" s="3" t="b">
        <f t="shared" si="3"/>
        <v>0</v>
      </c>
      <c r="H511" s="3">
        <v>0.0</v>
      </c>
      <c r="I511" s="3">
        <v>1.0</v>
      </c>
      <c r="J511" s="3">
        <v>0.06</v>
      </c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3">
        <v>511.0</v>
      </c>
      <c r="B512" s="4">
        <v>40566.0</v>
      </c>
      <c r="C512" s="3">
        <v>1.0</v>
      </c>
      <c r="D512" s="3">
        <v>0.0</v>
      </c>
      <c r="E512" s="3">
        <v>1.0</v>
      </c>
      <c r="F512" s="3">
        <v>9.0</v>
      </c>
      <c r="G512" s="3" t="b">
        <f t="shared" si="3"/>
        <v>0</v>
      </c>
      <c r="H512" s="3">
        <v>0.0</v>
      </c>
      <c r="I512" s="3">
        <v>1.0</v>
      </c>
      <c r="J512" s="3">
        <v>0.1</v>
      </c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3">
        <v>512.0</v>
      </c>
      <c r="B513" s="4">
        <v>40566.0</v>
      </c>
      <c r="C513" s="3">
        <v>1.0</v>
      </c>
      <c r="D513" s="3">
        <v>0.0</v>
      </c>
      <c r="E513" s="3">
        <v>1.0</v>
      </c>
      <c r="F513" s="3">
        <v>10.0</v>
      </c>
      <c r="G513" s="3" t="b">
        <f t="shared" si="3"/>
        <v>0</v>
      </c>
      <c r="H513" s="3">
        <v>0.0</v>
      </c>
      <c r="I513" s="3">
        <v>1.0</v>
      </c>
      <c r="J513" s="3">
        <v>0.14</v>
      </c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3">
        <v>513.0</v>
      </c>
      <c r="B514" s="4">
        <v>40566.0</v>
      </c>
      <c r="C514" s="3">
        <v>1.0</v>
      </c>
      <c r="D514" s="3">
        <v>0.0</v>
      </c>
      <c r="E514" s="3">
        <v>1.0</v>
      </c>
      <c r="F514" s="3">
        <v>11.0</v>
      </c>
      <c r="G514" s="3" t="b">
        <f t="shared" si="3"/>
        <v>0</v>
      </c>
      <c r="H514" s="3">
        <v>0.0</v>
      </c>
      <c r="I514" s="3">
        <v>1.0</v>
      </c>
      <c r="J514" s="3">
        <v>0.14</v>
      </c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3">
        <v>514.0</v>
      </c>
      <c r="B515" s="4">
        <v>40566.0</v>
      </c>
      <c r="C515" s="3">
        <v>1.0</v>
      </c>
      <c r="D515" s="3">
        <v>0.0</v>
      </c>
      <c r="E515" s="3">
        <v>1.0</v>
      </c>
      <c r="F515" s="3">
        <v>12.0</v>
      </c>
      <c r="G515" s="3" t="b">
        <f t="shared" si="3"/>
        <v>0</v>
      </c>
      <c r="H515" s="3">
        <v>0.0</v>
      </c>
      <c r="I515" s="3">
        <v>1.0</v>
      </c>
      <c r="J515" s="3">
        <v>0.16</v>
      </c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3">
        <v>515.0</v>
      </c>
      <c r="B516" s="4">
        <v>40566.0</v>
      </c>
      <c r="C516" s="3">
        <v>1.0</v>
      </c>
      <c r="D516" s="3">
        <v>0.0</v>
      </c>
      <c r="E516" s="3">
        <v>1.0</v>
      </c>
      <c r="F516" s="3">
        <v>13.0</v>
      </c>
      <c r="G516" s="3" t="b">
        <f t="shared" si="3"/>
        <v>0</v>
      </c>
      <c r="H516" s="3">
        <v>0.0</v>
      </c>
      <c r="I516" s="3">
        <v>1.0</v>
      </c>
      <c r="J516" s="3">
        <v>0.14</v>
      </c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3">
        <v>516.0</v>
      </c>
      <c r="B517" s="4">
        <v>40566.0</v>
      </c>
      <c r="C517" s="3">
        <v>1.0</v>
      </c>
      <c r="D517" s="3">
        <v>0.0</v>
      </c>
      <c r="E517" s="3">
        <v>1.0</v>
      </c>
      <c r="F517" s="3">
        <v>14.0</v>
      </c>
      <c r="G517" s="3" t="b">
        <f t="shared" si="3"/>
        <v>0</v>
      </c>
      <c r="H517" s="3">
        <v>0.0</v>
      </c>
      <c r="I517" s="3">
        <v>1.0</v>
      </c>
      <c r="J517" s="3">
        <v>0.16</v>
      </c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3">
        <v>517.0</v>
      </c>
      <c r="B518" s="4">
        <v>40566.0</v>
      </c>
      <c r="C518" s="3">
        <v>1.0</v>
      </c>
      <c r="D518" s="3">
        <v>0.0</v>
      </c>
      <c r="E518" s="3">
        <v>1.0</v>
      </c>
      <c r="F518" s="3">
        <v>15.0</v>
      </c>
      <c r="G518" s="3" t="b">
        <f t="shared" si="3"/>
        <v>0</v>
      </c>
      <c r="H518" s="3">
        <v>0.0</v>
      </c>
      <c r="I518" s="3">
        <v>1.0</v>
      </c>
      <c r="J518" s="3">
        <v>0.16</v>
      </c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3">
        <v>518.0</v>
      </c>
      <c r="B519" s="4">
        <v>40566.0</v>
      </c>
      <c r="C519" s="3">
        <v>1.0</v>
      </c>
      <c r="D519" s="3">
        <v>0.0</v>
      </c>
      <c r="E519" s="3">
        <v>1.0</v>
      </c>
      <c r="F519" s="3">
        <v>16.0</v>
      </c>
      <c r="G519" s="3" t="b">
        <f t="shared" si="3"/>
        <v>0</v>
      </c>
      <c r="H519" s="3">
        <v>0.0</v>
      </c>
      <c r="I519" s="3">
        <v>1.0</v>
      </c>
      <c r="J519" s="3">
        <v>0.16</v>
      </c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3">
        <v>519.0</v>
      </c>
      <c r="B520" s="4">
        <v>40566.0</v>
      </c>
      <c r="C520" s="3">
        <v>1.0</v>
      </c>
      <c r="D520" s="3">
        <v>0.0</v>
      </c>
      <c r="E520" s="3">
        <v>1.0</v>
      </c>
      <c r="F520" s="3">
        <v>17.0</v>
      </c>
      <c r="G520" s="3" t="b">
        <f t="shared" si="3"/>
        <v>0</v>
      </c>
      <c r="H520" s="3">
        <v>0.0</v>
      </c>
      <c r="I520" s="3">
        <v>1.0</v>
      </c>
      <c r="J520" s="3">
        <v>0.14</v>
      </c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3">
        <v>520.0</v>
      </c>
      <c r="B521" s="4">
        <v>40566.0</v>
      </c>
      <c r="C521" s="3">
        <v>1.0</v>
      </c>
      <c r="D521" s="3">
        <v>0.0</v>
      </c>
      <c r="E521" s="3">
        <v>1.0</v>
      </c>
      <c r="F521" s="3">
        <v>18.0</v>
      </c>
      <c r="G521" s="3" t="b">
        <f t="shared" si="3"/>
        <v>0</v>
      </c>
      <c r="H521" s="3">
        <v>0.0</v>
      </c>
      <c r="I521" s="3">
        <v>1.0</v>
      </c>
      <c r="J521" s="3">
        <v>0.12</v>
      </c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3">
        <v>521.0</v>
      </c>
      <c r="B522" s="4">
        <v>40566.0</v>
      </c>
      <c r="C522" s="3">
        <v>1.0</v>
      </c>
      <c r="D522" s="3">
        <v>0.0</v>
      </c>
      <c r="E522" s="3">
        <v>1.0</v>
      </c>
      <c r="F522" s="3">
        <v>19.0</v>
      </c>
      <c r="G522" s="3" t="b">
        <f t="shared" si="3"/>
        <v>0</v>
      </c>
      <c r="H522" s="3">
        <v>0.0</v>
      </c>
      <c r="I522" s="3">
        <v>1.0</v>
      </c>
      <c r="J522" s="3">
        <v>0.12</v>
      </c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3">
        <v>522.0</v>
      </c>
      <c r="B523" s="4">
        <v>40566.0</v>
      </c>
      <c r="C523" s="3">
        <v>1.0</v>
      </c>
      <c r="D523" s="3">
        <v>0.0</v>
      </c>
      <c r="E523" s="3">
        <v>1.0</v>
      </c>
      <c r="F523" s="3">
        <v>20.0</v>
      </c>
      <c r="G523" s="3" t="b">
        <f t="shared" si="3"/>
        <v>0</v>
      </c>
      <c r="H523" s="3">
        <v>0.0</v>
      </c>
      <c r="I523" s="3">
        <v>1.0</v>
      </c>
      <c r="J523" s="3">
        <v>0.1</v>
      </c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3">
        <v>523.0</v>
      </c>
      <c r="B524" s="4">
        <v>40566.0</v>
      </c>
      <c r="C524" s="3">
        <v>1.0</v>
      </c>
      <c r="D524" s="3">
        <v>0.0</v>
      </c>
      <c r="E524" s="3">
        <v>1.0</v>
      </c>
      <c r="F524" s="3">
        <v>21.0</v>
      </c>
      <c r="G524" s="3" t="b">
        <f t="shared" si="3"/>
        <v>0</v>
      </c>
      <c r="H524" s="3">
        <v>0.0</v>
      </c>
      <c r="I524" s="3">
        <v>1.0</v>
      </c>
      <c r="J524" s="3">
        <v>0.1</v>
      </c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3">
        <v>524.0</v>
      </c>
      <c r="B525" s="4">
        <v>40566.0</v>
      </c>
      <c r="C525" s="3">
        <v>1.0</v>
      </c>
      <c r="D525" s="3">
        <v>0.0</v>
      </c>
      <c r="E525" s="3">
        <v>1.0</v>
      </c>
      <c r="F525" s="3">
        <v>22.0</v>
      </c>
      <c r="G525" s="3" t="b">
        <f t="shared" si="3"/>
        <v>0</v>
      </c>
      <c r="H525" s="3">
        <v>0.0</v>
      </c>
      <c r="I525" s="3">
        <v>1.0</v>
      </c>
      <c r="J525" s="3">
        <v>0.08</v>
      </c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3">
        <v>525.0</v>
      </c>
      <c r="B526" s="4">
        <v>40566.0</v>
      </c>
      <c r="C526" s="3">
        <v>1.0</v>
      </c>
      <c r="D526" s="3">
        <v>0.0</v>
      </c>
      <c r="E526" s="3">
        <v>1.0</v>
      </c>
      <c r="F526" s="3">
        <v>23.0</v>
      </c>
      <c r="G526" s="3" t="b">
        <f t="shared" si="3"/>
        <v>0</v>
      </c>
      <c r="H526" s="3">
        <v>0.0</v>
      </c>
      <c r="I526" s="3">
        <v>1.0</v>
      </c>
      <c r="J526" s="3">
        <v>0.06</v>
      </c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3">
        <v>526.0</v>
      </c>
      <c r="B527" s="4">
        <v>40567.0</v>
      </c>
      <c r="C527" s="3">
        <v>1.0</v>
      </c>
      <c r="D527" s="3">
        <v>0.0</v>
      </c>
      <c r="E527" s="3">
        <v>1.0</v>
      </c>
      <c r="F527" s="3">
        <v>0.0</v>
      </c>
      <c r="G527" s="3" t="b">
        <f t="shared" si="3"/>
        <v>0</v>
      </c>
      <c r="H527" s="3">
        <v>1.0</v>
      </c>
      <c r="I527" s="3">
        <v>1.0</v>
      </c>
      <c r="J527" s="3">
        <v>0.06</v>
      </c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3">
        <v>527.0</v>
      </c>
      <c r="B528" s="4">
        <v>40567.0</v>
      </c>
      <c r="C528" s="3">
        <v>1.0</v>
      </c>
      <c r="D528" s="3">
        <v>0.0</v>
      </c>
      <c r="E528" s="3">
        <v>1.0</v>
      </c>
      <c r="F528" s="3">
        <v>1.0</v>
      </c>
      <c r="G528" s="3" t="b">
        <f t="shared" si="3"/>
        <v>0</v>
      </c>
      <c r="H528" s="3">
        <v>1.0</v>
      </c>
      <c r="I528" s="3">
        <v>1.0</v>
      </c>
      <c r="J528" s="3">
        <v>0.04</v>
      </c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3">
        <v>528.0</v>
      </c>
      <c r="B529" s="4">
        <v>40567.0</v>
      </c>
      <c r="C529" s="3">
        <v>1.0</v>
      </c>
      <c r="D529" s="3">
        <v>0.0</v>
      </c>
      <c r="E529" s="3">
        <v>1.0</v>
      </c>
      <c r="F529" s="3">
        <v>3.0</v>
      </c>
      <c r="G529" s="3" t="b">
        <f t="shared" si="3"/>
        <v>0</v>
      </c>
      <c r="H529" s="3">
        <v>1.0</v>
      </c>
      <c r="I529" s="3">
        <v>1.0</v>
      </c>
      <c r="J529" s="3">
        <v>0.04</v>
      </c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3">
        <v>529.0</v>
      </c>
      <c r="B530" s="4">
        <v>40567.0</v>
      </c>
      <c r="C530" s="3">
        <v>1.0</v>
      </c>
      <c r="D530" s="3">
        <v>0.0</v>
      </c>
      <c r="E530" s="3">
        <v>1.0</v>
      </c>
      <c r="F530" s="3">
        <v>4.0</v>
      </c>
      <c r="G530" s="3" t="b">
        <f t="shared" si="3"/>
        <v>0</v>
      </c>
      <c r="H530" s="3">
        <v>1.0</v>
      </c>
      <c r="I530" s="3">
        <v>1.0</v>
      </c>
      <c r="J530" s="3">
        <v>0.02</v>
      </c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3">
        <v>530.0</v>
      </c>
      <c r="B531" s="4">
        <v>40567.0</v>
      </c>
      <c r="C531" s="3">
        <v>1.0</v>
      </c>
      <c r="D531" s="3">
        <v>0.0</v>
      </c>
      <c r="E531" s="3">
        <v>1.0</v>
      </c>
      <c r="F531" s="3">
        <v>5.0</v>
      </c>
      <c r="G531" s="3" t="b">
        <f t="shared" si="3"/>
        <v>0</v>
      </c>
      <c r="H531" s="3">
        <v>1.0</v>
      </c>
      <c r="I531" s="3">
        <v>1.0</v>
      </c>
      <c r="J531" s="3">
        <v>0.02</v>
      </c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3">
        <v>531.0</v>
      </c>
      <c r="B532" s="4">
        <v>40567.0</v>
      </c>
      <c r="C532" s="3">
        <v>1.0</v>
      </c>
      <c r="D532" s="3">
        <v>0.0</v>
      </c>
      <c r="E532" s="3">
        <v>1.0</v>
      </c>
      <c r="F532" s="3">
        <v>6.0</v>
      </c>
      <c r="G532" s="3" t="b">
        <f t="shared" si="3"/>
        <v>0</v>
      </c>
      <c r="H532" s="3">
        <v>1.0</v>
      </c>
      <c r="I532" s="3">
        <v>1.0</v>
      </c>
      <c r="J532" s="3">
        <v>0.02</v>
      </c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3">
        <v>532.0</v>
      </c>
      <c r="B533" s="4">
        <v>40567.0</v>
      </c>
      <c r="C533" s="3">
        <v>1.0</v>
      </c>
      <c r="D533" s="3">
        <v>0.0</v>
      </c>
      <c r="E533" s="3">
        <v>1.0</v>
      </c>
      <c r="F533" s="3">
        <v>7.0</v>
      </c>
      <c r="G533" s="3" t="b">
        <f t="shared" si="3"/>
        <v>0</v>
      </c>
      <c r="H533" s="3">
        <v>1.0</v>
      </c>
      <c r="I533" s="3">
        <v>1.0</v>
      </c>
      <c r="J533" s="3">
        <v>0.02</v>
      </c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3">
        <v>533.0</v>
      </c>
      <c r="B534" s="4">
        <v>40567.0</v>
      </c>
      <c r="C534" s="3">
        <v>1.0</v>
      </c>
      <c r="D534" s="3">
        <v>0.0</v>
      </c>
      <c r="E534" s="3">
        <v>1.0</v>
      </c>
      <c r="F534" s="3">
        <v>8.0</v>
      </c>
      <c r="G534" s="3" t="b">
        <f t="shared" si="3"/>
        <v>0</v>
      </c>
      <c r="H534" s="3">
        <v>1.0</v>
      </c>
      <c r="I534" s="3">
        <v>1.0</v>
      </c>
      <c r="J534" s="3">
        <v>0.04</v>
      </c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3">
        <v>534.0</v>
      </c>
      <c r="B535" s="4">
        <v>40567.0</v>
      </c>
      <c r="C535" s="3">
        <v>1.0</v>
      </c>
      <c r="D535" s="3">
        <v>0.0</v>
      </c>
      <c r="E535" s="3">
        <v>1.0</v>
      </c>
      <c r="F535" s="3">
        <v>9.0</v>
      </c>
      <c r="G535" s="3" t="b">
        <f t="shared" si="3"/>
        <v>0</v>
      </c>
      <c r="H535" s="3">
        <v>1.0</v>
      </c>
      <c r="I535" s="3">
        <v>1.0</v>
      </c>
      <c r="J535" s="3">
        <v>0.06</v>
      </c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3">
        <v>535.0</v>
      </c>
      <c r="B536" s="4">
        <v>40567.0</v>
      </c>
      <c r="C536" s="3">
        <v>1.0</v>
      </c>
      <c r="D536" s="3">
        <v>0.0</v>
      </c>
      <c r="E536" s="3">
        <v>1.0</v>
      </c>
      <c r="F536" s="3">
        <v>10.0</v>
      </c>
      <c r="G536" s="3" t="b">
        <f t="shared" si="3"/>
        <v>0</v>
      </c>
      <c r="H536" s="3">
        <v>1.0</v>
      </c>
      <c r="I536" s="3">
        <v>1.0</v>
      </c>
      <c r="J536" s="3">
        <v>0.1</v>
      </c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3">
        <v>536.0</v>
      </c>
      <c r="B537" s="4">
        <v>40567.0</v>
      </c>
      <c r="C537" s="3">
        <v>1.0</v>
      </c>
      <c r="D537" s="3">
        <v>0.0</v>
      </c>
      <c r="E537" s="3">
        <v>1.0</v>
      </c>
      <c r="F537" s="3">
        <v>11.0</v>
      </c>
      <c r="G537" s="3" t="b">
        <f t="shared" si="3"/>
        <v>0</v>
      </c>
      <c r="H537" s="3">
        <v>1.0</v>
      </c>
      <c r="I537" s="3">
        <v>1.0</v>
      </c>
      <c r="J537" s="3">
        <v>0.1</v>
      </c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3">
        <v>537.0</v>
      </c>
      <c r="B538" s="4">
        <v>40567.0</v>
      </c>
      <c r="C538" s="3">
        <v>1.0</v>
      </c>
      <c r="D538" s="3">
        <v>0.0</v>
      </c>
      <c r="E538" s="3">
        <v>1.0</v>
      </c>
      <c r="F538" s="3">
        <v>12.0</v>
      </c>
      <c r="G538" s="3" t="b">
        <f t="shared" si="3"/>
        <v>0</v>
      </c>
      <c r="H538" s="3">
        <v>1.0</v>
      </c>
      <c r="I538" s="3">
        <v>2.0</v>
      </c>
      <c r="J538" s="3">
        <v>0.12</v>
      </c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3">
        <v>538.0</v>
      </c>
      <c r="B539" s="4">
        <v>40567.0</v>
      </c>
      <c r="C539" s="3">
        <v>1.0</v>
      </c>
      <c r="D539" s="3">
        <v>0.0</v>
      </c>
      <c r="E539" s="3">
        <v>1.0</v>
      </c>
      <c r="F539" s="3">
        <v>13.0</v>
      </c>
      <c r="G539" s="3" t="b">
        <f t="shared" si="3"/>
        <v>0</v>
      </c>
      <c r="H539" s="3">
        <v>1.0</v>
      </c>
      <c r="I539" s="3">
        <v>2.0</v>
      </c>
      <c r="J539" s="3">
        <v>0.14</v>
      </c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3">
        <v>539.0</v>
      </c>
      <c r="B540" s="4">
        <v>40567.0</v>
      </c>
      <c r="C540" s="3">
        <v>1.0</v>
      </c>
      <c r="D540" s="3">
        <v>0.0</v>
      </c>
      <c r="E540" s="3">
        <v>1.0</v>
      </c>
      <c r="F540" s="3">
        <v>14.0</v>
      </c>
      <c r="G540" s="3" t="b">
        <f t="shared" si="3"/>
        <v>0</v>
      </c>
      <c r="H540" s="3">
        <v>1.0</v>
      </c>
      <c r="I540" s="3">
        <v>2.0</v>
      </c>
      <c r="J540" s="3">
        <v>0.14</v>
      </c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3">
        <v>540.0</v>
      </c>
      <c r="B541" s="4">
        <v>40567.0</v>
      </c>
      <c r="C541" s="3">
        <v>1.0</v>
      </c>
      <c r="D541" s="3">
        <v>0.0</v>
      </c>
      <c r="E541" s="3">
        <v>1.0</v>
      </c>
      <c r="F541" s="3">
        <v>15.0</v>
      </c>
      <c r="G541" s="3" t="b">
        <f t="shared" si="3"/>
        <v>0</v>
      </c>
      <c r="H541" s="3">
        <v>1.0</v>
      </c>
      <c r="I541" s="3">
        <v>1.0</v>
      </c>
      <c r="J541" s="3">
        <v>0.16</v>
      </c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3">
        <v>541.0</v>
      </c>
      <c r="B542" s="4">
        <v>40567.0</v>
      </c>
      <c r="C542" s="3">
        <v>1.0</v>
      </c>
      <c r="D542" s="3">
        <v>0.0</v>
      </c>
      <c r="E542" s="3">
        <v>1.0</v>
      </c>
      <c r="F542" s="3">
        <v>16.0</v>
      </c>
      <c r="G542" s="3" t="b">
        <f t="shared" si="3"/>
        <v>0</v>
      </c>
      <c r="H542" s="3">
        <v>1.0</v>
      </c>
      <c r="I542" s="3">
        <v>1.0</v>
      </c>
      <c r="J542" s="3">
        <v>0.16</v>
      </c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3">
        <v>542.0</v>
      </c>
      <c r="B543" s="4">
        <v>40567.0</v>
      </c>
      <c r="C543" s="3">
        <v>1.0</v>
      </c>
      <c r="D543" s="3">
        <v>0.0</v>
      </c>
      <c r="E543" s="3">
        <v>1.0</v>
      </c>
      <c r="F543" s="3">
        <v>17.0</v>
      </c>
      <c r="G543" s="3" t="b">
        <f t="shared" si="3"/>
        <v>0</v>
      </c>
      <c r="H543" s="3">
        <v>1.0</v>
      </c>
      <c r="I543" s="3">
        <v>1.0</v>
      </c>
      <c r="J543" s="3">
        <v>0.14</v>
      </c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3">
        <v>543.0</v>
      </c>
      <c r="B544" s="4">
        <v>40567.0</v>
      </c>
      <c r="C544" s="3">
        <v>1.0</v>
      </c>
      <c r="D544" s="3">
        <v>0.0</v>
      </c>
      <c r="E544" s="3">
        <v>1.0</v>
      </c>
      <c r="F544" s="3">
        <v>18.0</v>
      </c>
      <c r="G544" s="3" t="b">
        <f t="shared" si="3"/>
        <v>0</v>
      </c>
      <c r="H544" s="3">
        <v>1.0</v>
      </c>
      <c r="I544" s="3">
        <v>1.0</v>
      </c>
      <c r="J544" s="3">
        <v>0.14</v>
      </c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3">
        <v>544.0</v>
      </c>
      <c r="B545" s="4">
        <v>40567.0</v>
      </c>
      <c r="C545" s="3">
        <v>1.0</v>
      </c>
      <c r="D545" s="3">
        <v>0.0</v>
      </c>
      <c r="E545" s="3">
        <v>1.0</v>
      </c>
      <c r="F545" s="3">
        <v>19.0</v>
      </c>
      <c r="G545" s="3" t="b">
        <f t="shared" si="3"/>
        <v>0</v>
      </c>
      <c r="H545" s="3">
        <v>1.0</v>
      </c>
      <c r="I545" s="3">
        <v>1.0</v>
      </c>
      <c r="J545" s="3">
        <v>0.14</v>
      </c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3">
        <v>545.0</v>
      </c>
      <c r="B546" s="4">
        <v>40567.0</v>
      </c>
      <c r="C546" s="3">
        <v>1.0</v>
      </c>
      <c r="D546" s="3">
        <v>0.0</v>
      </c>
      <c r="E546" s="3">
        <v>1.0</v>
      </c>
      <c r="F546" s="3">
        <v>20.0</v>
      </c>
      <c r="G546" s="3" t="b">
        <f t="shared" si="3"/>
        <v>0</v>
      </c>
      <c r="H546" s="3">
        <v>1.0</v>
      </c>
      <c r="I546" s="3">
        <v>1.0</v>
      </c>
      <c r="J546" s="3">
        <v>0.14</v>
      </c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3">
        <v>546.0</v>
      </c>
      <c r="B547" s="4">
        <v>40567.0</v>
      </c>
      <c r="C547" s="3">
        <v>1.0</v>
      </c>
      <c r="D547" s="3">
        <v>0.0</v>
      </c>
      <c r="E547" s="3">
        <v>1.0</v>
      </c>
      <c r="F547" s="3">
        <v>21.0</v>
      </c>
      <c r="G547" s="3" t="b">
        <f t="shared" si="3"/>
        <v>0</v>
      </c>
      <c r="H547" s="3">
        <v>1.0</v>
      </c>
      <c r="I547" s="3">
        <v>1.0</v>
      </c>
      <c r="J547" s="3">
        <v>0.14</v>
      </c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3">
        <v>547.0</v>
      </c>
      <c r="B548" s="4">
        <v>40567.0</v>
      </c>
      <c r="C548" s="3">
        <v>1.0</v>
      </c>
      <c r="D548" s="3">
        <v>0.0</v>
      </c>
      <c r="E548" s="3">
        <v>1.0</v>
      </c>
      <c r="F548" s="3">
        <v>22.0</v>
      </c>
      <c r="G548" s="3" t="b">
        <f t="shared" si="3"/>
        <v>0</v>
      </c>
      <c r="H548" s="3">
        <v>1.0</v>
      </c>
      <c r="I548" s="3">
        <v>2.0</v>
      </c>
      <c r="J548" s="3">
        <v>0.14</v>
      </c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3">
        <v>548.0</v>
      </c>
      <c r="B549" s="4">
        <v>40567.0</v>
      </c>
      <c r="C549" s="3">
        <v>1.0</v>
      </c>
      <c r="D549" s="3">
        <v>0.0</v>
      </c>
      <c r="E549" s="3">
        <v>1.0</v>
      </c>
      <c r="F549" s="3">
        <v>23.0</v>
      </c>
      <c r="G549" s="3" t="b">
        <f t="shared" si="3"/>
        <v>0</v>
      </c>
      <c r="H549" s="3">
        <v>1.0</v>
      </c>
      <c r="I549" s="3">
        <v>2.0</v>
      </c>
      <c r="J549" s="3">
        <v>0.16</v>
      </c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3">
        <v>549.0</v>
      </c>
      <c r="B550" s="4">
        <v>40568.0</v>
      </c>
      <c r="C550" s="3">
        <v>1.0</v>
      </c>
      <c r="D550" s="3">
        <v>0.0</v>
      </c>
      <c r="E550" s="3">
        <v>1.0</v>
      </c>
      <c r="F550" s="3">
        <v>0.0</v>
      </c>
      <c r="G550" s="3" t="b">
        <f t="shared" si="3"/>
        <v>0</v>
      </c>
      <c r="H550" s="3">
        <v>2.0</v>
      </c>
      <c r="I550" s="3">
        <v>2.0</v>
      </c>
      <c r="J550" s="3">
        <v>0.16</v>
      </c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3">
        <v>550.0</v>
      </c>
      <c r="B551" s="4">
        <v>40568.0</v>
      </c>
      <c r="C551" s="3">
        <v>1.0</v>
      </c>
      <c r="D551" s="3">
        <v>0.0</v>
      </c>
      <c r="E551" s="3">
        <v>1.0</v>
      </c>
      <c r="F551" s="3">
        <v>1.0</v>
      </c>
      <c r="G551" s="3" t="b">
        <f t="shared" si="3"/>
        <v>0</v>
      </c>
      <c r="H551" s="3">
        <v>2.0</v>
      </c>
      <c r="I551" s="3">
        <v>2.0</v>
      </c>
      <c r="J551" s="3">
        <v>0.16</v>
      </c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3">
        <v>551.0</v>
      </c>
      <c r="B552" s="4">
        <v>40568.0</v>
      </c>
      <c r="C552" s="3">
        <v>1.0</v>
      </c>
      <c r="D552" s="3">
        <v>0.0</v>
      </c>
      <c r="E552" s="3">
        <v>1.0</v>
      </c>
      <c r="F552" s="3">
        <v>2.0</v>
      </c>
      <c r="G552" s="3" t="b">
        <f t="shared" si="3"/>
        <v>0</v>
      </c>
      <c r="H552" s="3">
        <v>2.0</v>
      </c>
      <c r="I552" s="3">
        <v>1.0</v>
      </c>
      <c r="J552" s="3">
        <v>0.16</v>
      </c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3">
        <v>552.0</v>
      </c>
      <c r="B553" s="4">
        <v>40568.0</v>
      </c>
      <c r="C553" s="3">
        <v>1.0</v>
      </c>
      <c r="D553" s="3">
        <v>0.0</v>
      </c>
      <c r="E553" s="3">
        <v>1.0</v>
      </c>
      <c r="F553" s="3">
        <v>4.0</v>
      </c>
      <c r="G553" s="3" t="b">
        <f t="shared" si="3"/>
        <v>0</v>
      </c>
      <c r="H553" s="3">
        <v>2.0</v>
      </c>
      <c r="I553" s="3">
        <v>1.0</v>
      </c>
      <c r="J553" s="3">
        <v>0.14</v>
      </c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3">
        <v>553.0</v>
      </c>
      <c r="B554" s="4">
        <v>40568.0</v>
      </c>
      <c r="C554" s="3">
        <v>1.0</v>
      </c>
      <c r="D554" s="3">
        <v>0.0</v>
      </c>
      <c r="E554" s="3">
        <v>1.0</v>
      </c>
      <c r="F554" s="3">
        <v>5.0</v>
      </c>
      <c r="G554" s="3" t="b">
        <f t="shared" si="3"/>
        <v>0</v>
      </c>
      <c r="H554" s="3">
        <v>2.0</v>
      </c>
      <c r="I554" s="3">
        <v>1.0</v>
      </c>
      <c r="J554" s="3">
        <v>0.14</v>
      </c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3">
        <v>554.0</v>
      </c>
      <c r="B555" s="4">
        <v>40568.0</v>
      </c>
      <c r="C555" s="3">
        <v>1.0</v>
      </c>
      <c r="D555" s="3">
        <v>0.0</v>
      </c>
      <c r="E555" s="3">
        <v>1.0</v>
      </c>
      <c r="F555" s="3">
        <v>6.0</v>
      </c>
      <c r="G555" s="3" t="b">
        <f t="shared" si="3"/>
        <v>0</v>
      </c>
      <c r="H555" s="3">
        <v>2.0</v>
      </c>
      <c r="I555" s="3">
        <v>1.0</v>
      </c>
      <c r="J555" s="3">
        <v>0.16</v>
      </c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3">
        <v>555.0</v>
      </c>
      <c r="B556" s="4">
        <v>40568.0</v>
      </c>
      <c r="C556" s="3">
        <v>1.0</v>
      </c>
      <c r="D556" s="3">
        <v>0.0</v>
      </c>
      <c r="E556" s="3">
        <v>1.0</v>
      </c>
      <c r="F556" s="3">
        <v>7.0</v>
      </c>
      <c r="G556" s="3" t="b">
        <f t="shared" si="3"/>
        <v>0</v>
      </c>
      <c r="H556" s="3">
        <v>2.0</v>
      </c>
      <c r="I556" s="3">
        <v>1.0</v>
      </c>
      <c r="J556" s="3">
        <v>0.16</v>
      </c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3">
        <v>556.0</v>
      </c>
      <c r="B557" s="4">
        <v>40568.0</v>
      </c>
      <c r="C557" s="3">
        <v>1.0</v>
      </c>
      <c r="D557" s="3">
        <v>0.0</v>
      </c>
      <c r="E557" s="3">
        <v>1.0</v>
      </c>
      <c r="F557" s="3">
        <v>8.0</v>
      </c>
      <c r="G557" s="3" t="b">
        <f t="shared" si="3"/>
        <v>0</v>
      </c>
      <c r="H557" s="3">
        <v>2.0</v>
      </c>
      <c r="I557" s="3">
        <v>2.0</v>
      </c>
      <c r="J557" s="3">
        <v>0.16</v>
      </c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3">
        <v>557.0</v>
      </c>
      <c r="B558" s="4">
        <v>40568.0</v>
      </c>
      <c r="C558" s="3">
        <v>1.0</v>
      </c>
      <c r="D558" s="3">
        <v>0.0</v>
      </c>
      <c r="E558" s="3">
        <v>1.0</v>
      </c>
      <c r="F558" s="3">
        <v>9.0</v>
      </c>
      <c r="G558" s="3" t="b">
        <f t="shared" si="3"/>
        <v>0</v>
      </c>
      <c r="H558" s="3">
        <v>2.0</v>
      </c>
      <c r="I558" s="3">
        <v>2.0</v>
      </c>
      <c r="J558" s="3">
        <v>0.2</v>
      </c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3">
        <v>558.0</v>
      </c>
      <c r="B559" s="4">
        <v>40568.0</v>
      </c>
      <c r="C559" s="3">
        <v>1.0</v>
      </c>
      <c r="D559" s="3">
        <v>0.0</v>
      </c>
      <c r="E559" s="3">
        <v>1.0</v>
      </c>
      <c r="F559" s="3">
        <v>10.0</v>
      </c>
      <c r="G559" s="3" t="b">
        <f t="shared" si="3"/>
        <v>0</v>
      </c>
      <c r="H559" s="3">
        <v>2.0</v>
      </c>
      <c r="I559" s="3">
        <v>2.0</v>
      </c>
      <c r="J559" s="3">
        <v>0.22</v>
      </c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3">
        <v>559.0</v>
      </c>
      <c r="B560" s="4">
        <v>40568.0</v>
      </c>
      <c r="C560" s="3">
        <v>1.0</v>
      </c>
      <c r="D560" s="3">
        <v>0.0</v>
      </c>
      <c r="E560" s="3">
        <v>1.0</v>
      </c>
      <c r="F560" s="3">
        <v>11.0</v>
      </c>
      <c r="G560" s="3" t="b">
        <f t="shared" si="3"/>
        <v>0</v>
      </c>
      <c r="H560" s="3">
        <v>2.0</v>
      </c>
      <c r="I560" s="3">
        <v>2.0</v>
      </c>
      <c r="J560" s="3">
        <v>0.24</v>
      </c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3">
        <v>560.0</v>
      </c>
      <c r="B561" s="4">
        <v>40568.0</v>
      </c>
      <c r="C561" s="3">
        <v>1.0</v>
      </c>
      <c r="D561" s="3">
        <v>0.0</v>
      </c>
      <c r="E561" s="3">
        <v>1.0</v>
      </c>
      <c r="F561" s="3">
        <v>12.0</v>
      </c>
      <c r="G561" s="3" t="b">
        <f t="shared" si="3"/>
        <v>0</v>
      </c>
      <c r="H561" s="3">
        <v>2.0</v>
      </c>
      <c r="I561" s="3">
        <v>2.0</v>
      </c>
      <c r="J561" s="3">
        <v>0.26</v>
      </c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3">
        <v>561.0</v>
      </c>
      <c r="B562" s="4">
        <v>40568.0</v>
      </c>
      <c r="C562" s="3">
        <v>1.0</v>
      </c>
      <c r="D562" s="3">
        <v>0.0</v>
      </c>
      <c r="E562" s="3">
        <v>1.0</v>
      </c>
      <c r="F562" s="3">
        <v>13.0</v>
      </c>
      <c r="G562" s="3" t="b">
        <f t="shared" si="3"/>
        <v>0</v>
      </c>
      <c r="H562" s="3">
        <v>2.0</v>
      </c>
      <c r="I562" s="3">
        <v>2.0</v>
      </c>
      <c r="J562" s="3">
        <v>0.26</v>
      </c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3">
        <v>562.0</v>
      </c>
      <c r="B563" s="4">
        <v>40568.0</v>
      </c>
      <c r="C563" s="3">
        <v>1.0</v>
      </c>
      <c r="D563" s="3">
        <v>0.0</v>
      </c>
      <c r="E563" s="3">
        <v>1.0</v>
      </c>
      <c r="F563" s="3">
        <v>14.0</v>
      </c>
      <c r="G563" s="3" t="b">
        <f t="shared" si="3"/>
        <v>0</v>
      </c>
      <c r="H563" s="3">
        <v>2.0</v>
      </c>
      <c r="I563" s="3">
        <v>2.0</v>
      </c>
      <c r="J563" s="3">
        <v>0.3</v>
      </c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3">
        <v>563.0</v>
      </c>
      <c r="B564" s="4">
        <v>40568.0</v>
      </c>
      <c r="C564" s="3">
        <v>1.0</v>
      </c>
      <c r="D564" s="3">
        <v>0.0</v>
      </c>
      <c r="E564" s="3">
        <v>1.0</v>
      </c>
      <c r="F564" s="3">
        <v>15.0</v>
      </c>
      <c r="G564" s="3" t="b">
        <f t="shared" si="3"/>
        <v>0</v>
      </c>
      <c r="H564" s="3">
        <v>2.0</v>
      </c>
      <c r="I564" s="3">
        <v>2.0</v>
      </c>
      <c r="J564" s="3">
        <v>0.32</v>
      </c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3">
        <v>564.0</v>
      </c>
      <c r="B565" s="4">
        <v>40568.0</v>
      </c>
      <c r="C565" s="3">
        <v>1.0</v>
      </c>
      <c r="D565" s="3">
        <v>0.0</v>
      </c>
      <c r="E565" s="3">
        <v>1.0</v>
      </c>
      <c r="F565" s="3">
        <v>16.0</v>
      </c>
      <c r="G565" s="3" t="b">
        <f t="shared" si="3"/>
        <v>0</v>
      </c>
      <c r="H565" s="3">
        <v>2.0</v>
      </c>
      <c r="I565" s="3">
        <v>2.0</v>
      </c>
      <c r="J565" s="3">
        <v>0.32</v>
      </c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3">
        <v>565.0</v>
      </c>
      <c r="B566" s="4">
        <v>40568.0</v>
      </c>
      <c r="C566" s="3">
        <v>1.0</v>
      </c>
      <c r="D566" s="3">
        <v>0.0</v>
      </c>
      <c r="E566" s="3">
        <v>1.0</v>
      </c>
      <c r="F566" s="3">
        <v>17.0</v>
      </c>
      <c r="G566" s="3" t="b">
        <f t="shared" si="3"/>
        <v>0</v>
      </c>
      <c r="H566" s="3">
        <v>2.0</v>
      </c>
      <c r="I566" s="3">
        <v>1.0</v>
      </c>
      <c r="J566" s="3">
        <v>0.3</v>
      </c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3">
        <v>566.0</v>
      </c>
      <c r="B567" s="4">
        <v>40568.0</v>
      </c>
      <c r="C567" s="3">
        <v>1.0</v>
      </c>
      <c r="D567" s="3">
        <v>0.0</v>
      </c>
      <c r="E567" s="3">
        <v>1.0</v>
      </c>
      <c r="F567" s="3">
        <v>18.0</v>
      </c>
      <c r="G567" s="3" t="b">
        <f t="shared" si="3"/>
        <v>0</v>
      </c>
      <c r="H567" s="3">
        <v>2.0</v>
      </c>
      <c r="I567" s="3">
        <v>2.0</v>
      </c>
      <c r="J567" s="3">
        <v>0.3</v>
      </c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3">
        <v>567.0</v>
      </c>
      <c r="B568" s="4">
        <v>40568.0</v>
      </c>
      <c r="C568" s="3">
        <v>1.0</v>
      </c>
      <c r="D568" s="3">
        <v>0.0</v>
      </c>
      <c r="E568" s="3">
        <v>1.0</v>
      </c>
      <c r="F568" s="3">
        <v>19.0</v>
      </c>
      <c r="G568" s="3" t="b">
        <f t="shared" si="3"/>
        <v>0</v>
      </c>
      <c r="H568" s="3">
        <v>2.0</v>
      </c>
      <c r="I568" s="3">
        <v>2.0</v>
      </c>
      <c r="J568" s="3">
        <v>0.26</v>
      </c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3">
        <v>568.0</v>
      </c>
      <c r="B569" s="4">
        <v>40568.0</v>
      </c>
      <c r="C569" s="3">
        <v>1.0</v>
      </c>
      <c r="D569" s="3">
        <v>0.0</v>
      </c>
      <c r="E569" s="3">
        <v>1.0</v>
      </c>
      <c r="F569" s="3">
        <v>20.0</v>
      </c>
      <c r="G569" s="3" t="b">
        <f t="shared" si="3"/>
        <v>0</v>
      </c>
      <c r="H569" s="3">
        <v>2.0</v>
      </c>
      <c r="I569" s="3">
        <v>1.0</v>
      </c>
      <c r="J569" s="3">
        <v>0.24</v>
      </c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3">
        <v>569.0</v>
      </c>
      <c r="B570" s="4">
        <v>40568.0</v>
      </c>
      <c r="C570" s="3">
        <v>1.0</v>
      </c>
      <c r="D570" s="3">
        <v>0.0</v>
      </c>
      <c r="E570" s="3">
        <v>1.0</v>
      </c>
      <c r="F570" s="3">
        <v>21.0</v>
      </c>
      <c r="G570" s="3" t="b">
        <f t="shared" si="3"/>
        <v>0</v>
      </c>
      <c r="H570" s="3">
        <v>2.0</v>
      </c>
      <c r="I570" s="3">
        <v>1.0</v>
      </c>
      <c r="J570" s="3">
        <v>0.24</v>
      </c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3">
        <v>570.0</v>
      </c>
      <c r="B571" s="4">
        <v>40568.0</v>
      </c>
      <c r="C571" s="3">
        <v>1.0</v>
      </c>
      <c r="D571" s="3">
        <v>0.0</v>
      </c>
      <c r="E571" s="3">
        <v>1.0</v>
      </c>
      <c r="F571" s="3">
        <v>22.0</v>
      </c>
      <c r="G571" s="3" t="b">
        <f t="shared" si="3"/>
        <v>0</v>
      </c>
      <c r="H571" s="3">
        <v>2.0</v>
      </c>
      <c r="I571" s="3">
        <v>1.0</v>
      </c>
      <c r="J571" s="3">
        <v>0.22</v>
      </c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3">
        <v>571.0</v>
      </c>
      <c r="B572" s="4">
        <v>40568.0</v>
      </c>
      <c r="C572" s="3">
        <v>1.0</v>
      </c>
      <c r="D572" s="3">
        <v>0.0</v>
      </c>
      <c r="E572" s="3">
        <v>1.0</v>
      </c>
      <c r="F572" s="3">
        <v>23.0</v>
      </c>
      <c r="G572" s="3" t="b">
        <f t="shared" si="3"/>
        <v>0</v>
      </c>
      <c r="H572" s="3">
        <v>2.0</v>
      </c>
      <c r="I572" s="3">
        <v>2.0</v>
      </c>
      <c r="J572" s="3">
        <v>0.22</v>
      </c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3">
        <v>572.0</v>
      </c>
      <c r="B573" s="4">
        <v>40569.0</v>
      </c>
      <c r="C573" s="3">
        <v>1.0</v>
      </c>
      <c r="D573" s="3">
        <v>0.0</v>
      </c>
      <c r="E573" s="3">
        <v>1.0</v>
      </c>
      <c r="F573" s="3">
        <v>0.0</v>
      </c>
      <c r="G573" s="3" t="b">
        <f t="shared" si="3"/>
        <v>0</v>
      </c>
      <c r="H573" s="3">
        <v>3.0</v>
      </c>
      <c r="I573" s="3">
        <v>2.0</v>
      </c>
      <c r="J573" s="3">
        <v>0.22</v>
      </c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3">
        <v>573.0</v>
      </c>
      <c r="B574" s="4">
        <v>40569.0</v>
      </c>
      <c r="C574" s="3">
        <v>1.0</v>
      </c>
      <c r="D574" s="3">
        <v>0.0</v>
      </c>
      <c r="E574" s="3">
        <v>1.0</v>
      </c>
      <c r="F574" s="3">
        <v>1.0</v>
      </c>
      <c r="G574" s="3" t="b">
        <f t="shared" si="3"/>
        <v>0</v>
      </c>
      <c r="H574" s="3">
        <v>3.0</v>
      </c>
      <c r="I574" s="3">
        <v>2.0</v>
      </c>
      <c r="J574" s="3">
        <v>0.24</v>
      </c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3">
        <v>574.0</v>
      </c>
      <c r="B575" s="4">
        <v>40569.0</v>
      </c>
      <c r="C575" s="3">
        <v>1.0</v>
      </c>
      <c r="D575" s="3">
        <v>0.0</v>
      </c>
      <c r="E575" s="3">
        <v>1.0</v>
      </c>
      <c r="F575" s="3">
        <v>2.0</v>
      </c>
      <c r="G575" s="3" t="b">
        <f t="shared" si="3"/>
        <v>0</v>
      </c>
      <c r="H575" s="3">
        <v>3.0</v>
      </c>
      <c r="I575" s="3">
        <v>3.0</v>
      </c>
      <c r="J575" s="3">
        <v>0.22</v>
      </c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3">
        <v>575.0</v>
      </c>
      <c r="B576" s="4">
        <v>40569.0</v>
      </c>
      <c r="C576" s="3">
        <v>1.0</v>
      </c>
      <c r="D576" s="3">
        <v>0.0</v>
      </c>
      <c r="E576" s="3">
        <v>1.0</v>
      </c>
      <c r="F576" s="3">
        <v>5.0</v>
      </c>
      <c r="G576" s="3" t="b">
        <f t="shared" si="3"/>
        <v>0</v>
      </c>
      <c r="H576" s="3">
        <v>3.0</v>
      </c>
      <c r="I576" s="3">
        <v>3.0</v>
      </c>
      <c r="J576" s="3">
        <v>0.2</v>
      </c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3">
        <v>576.0</v>
      </c>
      <c r="B577" s="4">
        <v>40569.0</v>
      </c>
      <c r="C577" s="3">
        <v>1.0</v>
      </c>
      <c r="D577" s="3">
        <v>0.0</v>
      </c>
      <c r="E577" s="3">
        <v>1.0</v>
      </c>
      <c r="F577" s="3">
        <v>6.0</v>
      </c>
      <c r="G577" s="3" t="b">
        <f t="shared" si="3"/>
        <v>0</v>
      </c>
      <c r="H577" s="3">
        <v>3.0</v>
      </c>
      <c r="I577" s="3">
        <v>3.0</v>
      </c>
      <c r="J577" s="3">
        <v>0.2</v>
      </c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3">
        <v>577.0</v>
      </c>
      <c r="B578" s="4">
        <v>40569.0</v>
      </c>
      <c r="C578" s="3">
        <v>1.0</v>
      </c>
      <c r="D578" s="3">
        <v>0.0</v>
      </c>
      <c r="E578" s="3">
        <v>1.0</v>
      </c>
      <c r="F578" s="3">
        <v>7.0</v>
      </c>
      <c r="G578" s="3" t="b">
        <f t="shared" si="3"/>
        <v>0</v>
      </c>
      <c r="H578" s="3">
        <v>3.0</v>
      </c>
      <c r="I578" s="3">
        <v>3.0</v>
      </c>
      <c r="J578" s="3">
        <v>0.22</v>
      </c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3">
        <v>578.0</v>
      </c>
      <c r="B579" s="4">
        <v>40569.0</v>
      </c>
      <c r="C579" s="3">
        <v>1.0</v>
      </c>
      <c r="D579" s="3">
        <v>0.0</v>
      </c>
      <c r="E579" s="3">
        <v>1.0</v>
      </c>
      <c r="F579" s="3">
        <v>8.0</v>
      </c>
      <c r="G579" s="3" t="b">
        <f t="shared" si="3"/>
        <v>0</v>
      </c>
      <c r="H579" s="3">
        <v>3.0</v>
      </c>
      <c r="I579" s="3">
        <v>3.0</v>
      </c>
      <c r="J579" s="3">
        <v>0.22</v>
      </c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3">
        <v>579.0</v>
      </c>
      <c r="B580" s="4">
        <v>40569.0</v>
      </c>
      <c r="C580" s="3">
        <v>1.0</v>
      </c>
      <c r="D580" s="3">
        <v>0.0</v>
      </c>
      <c r="E580" s="3">
        <v>1.0</v>
      </c>
      <c r="F580" s="3">
        <v>9.0</v>
      </c>
      <c r="G580" s="3" t="b">
        <f t="shared" si="3"/>
        <v>0</v>
      </c>
      <c r="H580" s="3">
        <v>3.0</v>
      </c>
      <c r="I580" s="3">
        <v>3.0</v>
      </c>
      <c r="J580" s="3">
        <v>0.22</v>
      </c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3">
        <v>580.0</v>
      </c>
      <c r="B581" s="4">
        <v>40569.0</v>
      </c>
      <c r="C581" s="3">
        <v>1.0</v>
      </c>
      <c r="D581" s="3">
        <v>0.0</v>
      </c>
      <c r="E581" s="3">
        <v>1.0</v>
      </c>
      <c r="F581" s="3">
        <v>10.0</v>
      </c>
      <c r="G581" s="3" t="b">
        <f t="shared" si="3"/>
        <v>0</v>
      </c>
      <c r="H581" s="3">
        <v>3.0</v>
      </c>
      <c r="I581" s="3">
        <v>3.0</v>
      </c>
      <c r="J581" s="3">
        <v>0.22</v>
      </c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3">
        <v>581.0</v>
      </c>
      <c r="B582" s="4">
        <v>40569.0</v>
      </c>
      <c r="C582" s="3">
        <v>1.0</v>
      </c>
      <c r="D582" s="3">
        <v>0.0</v>
      </c>
      <c r="E582" s="3">
        <v>1.0</v>
      </c>
      <c r="F582" s="3">
        <v>11.0</v>
      </c>
      <c r="G582" s="3" t="b">
        <f t="shared" si="3"/>
        <v>0</v>
      </c>
      <c r="H582" s="3">
        <v>3.0</v>
      </c>
      <c r="I582" s="3">
        <v>3.0</v>
      </c>
      <c r="J582" s="3">
        <v>0.22</v>
      </c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3">
        <v>582.0</v>
      </c>
      <c r="B583" s="4">
        <v>40569.0</v>
      </c>
      <c r="C583" s="3">
        <v>1.0</v>
      </c>
      <c r="D583" s="3">
        <v>0.0</v>
      </c>
      <c r="E583" s="3">
        <v>1.0</v>
      </c>
      <c r="F583" s="3">
        <v>12.0</v>
      </c>
      <c r="G583" s="3" t="b">
        <f t="shared" si="3"/>
        <v>0</v>
      </c>
      <c r="H583" s="3">
        <v>3.0</v>
      </c>
      <c r="I583" s="3">
        <v>3.0</v>
      </c>
      <c r="J583" s="3">
        <v>0.22</v>
      </c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3">
        <v>583.0</v>
      </c>
      <c r="B584" s="4">
        <v>40569.0</v>
      </c>
      <c r="C584" s="3">
        <v>1.0</v>
      </c>
      <c r="D584" s="3">
        <v>0.0</v>
      </c>
      <c r="E584" s="3">
        <v>1.0</v>
      </c>
      <c r="F584" s="3">
        <v>13.0</v>
      </c>
      <c r="G584" s="3" t="b">
        <f t="shared" si="3"/>
        <v>0</v>
      </c>
      <c r="H584" s="3">
        <v>3.0</v>
      </c>
      <c r="I584" s="3">
        <v>3.0</v>
      </c>
      <c r="J584" s="3">
        <v>0.22</v>
      </c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3">
        <v>584.0</v>
      </c>
      <c r="B585" s="4">
        <v>40569.0</v>
      </c>
      <c r="C585" s="3">
        <v>1.0</v>
      </c>
      <c r="D585" s="3">
        <v>0.0</v>
      </c>
      <c r="E585" s="3">
        <v>1.0</v>
      </c>
      <c r="F585" s="3">
        <v>14.0</v>
      </c>
      <c r="G585" s="3" t="b">
        <f t="shared" si="3"/>
        <v>0</v>
      </c>
      <c r="H585" s="3">
        <v>3.0</v>
      </c>
      <c r="I585" s="3">
        <v>3.0</v>
      </c>
      <c r="J585" s="3">
        <v>0.22</v>
      </c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3">
        <v>585.0</v>
      </c>
      <c r="B586" s="4">
        <v>40569.0</v>
      </c>
      <c r="C586" s="3">
        <v>1.0</v>
      </c>
      <c r="D586" s="3">
        <v>0.0</v>
      </c>
      <c r="E586" s="3">
        <v>1.0</v>
      </c>
      <c r="F586" s="3">
        <v>15.0</v>
      </c>
      <c r="G586" s="3" t="b">
        <f t="shared" si="3"/>
        <v>0</v>
      </c>
      <c r="H586" s="3">
        <v>3.0</v>
      </c>
      <c r="I586" s="3">
        <v>3.0</v>
      </c>
      <c r="J586" s="3">
        <v>0.22</v>
      </c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3">
        <v>586.0</v>
      </c>
      <c r="B587" s="4">
        <v>40569.0</v>
      </c>
      <c r="C587" s="3">
        <v>1.0</v>
      </c>
      <c r="D587" s="3">
        <v>0.0</v>
      </c>
      <c r="E587" s="3">
        <v>1.0</v>
      </c>
      <c r="F587" s="3">
        <v>16.0</v>
      </c>
      <c r="G587" s="3" t="b">
        <f t="shared" si="3"/>
        <v>0</v>
      </c>
      <c r="H587" s="3">
        <v>3.0</v>
      </c>
      <c r="I587" s="3">
        <v>4.0</v>
      </c>
      <c r="J587" s="3">
        <v>0.22</v>
      </c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3">
        <v>587.0</v>
      </c>
      <c r="B588" s="4">
        <v>40569.0</v>
      </c>
      <c r="C588" s="3">
        <v>1.0</v>
      </c>
      <c r="D588" s="3">
        <v>0.0</v>
      </c>
      <c r="E588" s="3">
        <v>1.0</v>
      </c>
      <c r="F588" s="3">
        <v>17.0</v>
      </c>
      <c r="G588" s="3" t="b">
        <f t="shared" si="3"/>
        <v>0</v>
      </c>
      <c r="H588" s="3">
        <v>3.0</v>
      </c>
      <c r="I588" s="3">
        <v>3.0</v>
      </c>
      <c r="J588" s="3">
        <v>0.2</v>
      </c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3">
        <v>588.0</v>
      </c>
      <c r="B589" s="4">
        <v>40570.0</v>
      </c>
      <c r="C589" s="3">
        <v>1.0</v>
      </c>
      <c r="D589" s="3">
        <v>0.0</v>
      </c>
      <c r="E589" s="3">
        <v>1.0</v>
      </c>
      <c r="F589" s="3">
        <v>16.0</v>
      </c>
      <c r="G589" s="3" t="b">
        <f t="shared" si="3"/>
        <v>0</v>
      </c>
      <c r="H589" s="3">
        <v>4.0</v>
      </c>
      <c r="I589" s="3">
        <v>1.0</v>
      </c>
      <c r="J589" s="3">
        <v>0.22</v>
      </c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3">
        <v>589.0</v>
      </c>
      <c r="B590" s="4">
        <v>40570.0</v>
      </c>
      <c r="C590" s="3">
        <v>1.0</v>
      </c>
      <c r="D590" s="3">
        <v>0.0</v>
      </c>
      <c r="E590" s="3">
        <v>1.0</v>
      </c>
      <c r="F590" s="3">
        <v>17.0</v>
      </c>
      <c r="G590" s="3" t="b">
        <f t="shared" si="3"/>
        <v>0</v>
      </c>
      <c r="H590" s="3">
        <v>4.0</v>
      </c>
      <c r="I590" s="3">
        <v>1.0</v>
      </c>
      <c r="J590" s="3">
        <v>0.22</v>
      </c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3">
        <v>590.0</v>
      </c>
      <c r="B591" s="4">
        <v>40570.0</v>
      </c>
      <c r="C591" s="3">
        <v>1.0</v>
      </c>
      <c r="D591" s="3">
        <v>0.0</v>
      </c>
      <c r="E591" s="3">
        <v>1.0</v>
      </c>
      <c r="F591" s="3">
        <v>18.0</v>
      </c>
      <c r="G591" s="3" t="b">
        <f t="shared" si="3"/>
        <v>0</v>
      </c>
      <c r="H591" s="3">
        <v>4.0</v>
      </c>
      <c r="I591" s="3">
        <v>1.0</v>
      </c>
      <c r="J591" s="3">
        <v>0.2</v>
      </c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3">
        <v>591.0</v>
      </c>
      <c r="B592" s="4">
        <v>40570.0</v>
      </c>
      <c r="C592" s="3">
        <v>1.0</v>
      </c>
      <c r="D592" s="3">
        <v>0.0</v>
      </c>
      <c r="E592" s="3">
        <v>1.0</v>
      </c>
      <c r="F592" s="3">
        <v>19.0</v>
      </c>
      <c r="G592" s="3" t="b">
        <f t="shared" si="3"/>
        <v>0</v>
      </c>
      <c r="H592" s="3">
        <v>4.0</v>
      </c>
      <c r="I592" s="3">
        <v>1.0</v>
      </c>
      <c r="J592" s="3">
        <v>0.2</v>
      </c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3">
        <v>592.0</v>
      </c>
      <c r="B593" s="4">
        <v>40570.0</v>
      </c>
      <c r="C593" s="3">
        <v>1.0</v>
      </c>
      <c r="D593" s="3">
        <v>0.0</v>
      </c>
      <c r="E593" s="3">
        <v>1.0</v>
      </c>
      <c r="F593" s="3">
        <v>20.0</v>
      </c>
      <c r="G593" s="3" t="b">
        <f t="shared" si="3"/>
        <v>0</v>
      </c>
      <c r="H593" s="3">
        <v>4.0</v>
      </c>
      <c r="I593" s="3">
        <v>1.0</v>
      </c>
      <c r="J593" s="3">
        <v>0.18</v>
      </c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3">
        <v>593.0</v>
      </c>
      <c r="B594" s="4">
        <v>40570.0</v>
      </c>
      <c r="C594" s="3">
        <v>1.0</v>
      </c>
      <c r="D594" s="3">
        <v>0.0</v>
      </c>
      <c r="E594" s="3">
        <v>1.0</v>
      </c>
      <c r="F594" s="3">
        <v>21.0</v>
      </c>
      <c r="G594" s="3" t="b">
        <f t="shared" si="3"/>
        <v>0</v>
      </c>
      <c r="H594" s="3">
        <v>4.0</v>
      </c>
      <c r="I594" s="3">
        <v>1.0</v>
      </c>
      <c r="J594" s="3">
        <v>0.18</v>
      </c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3">
        <v>594.0</v>
      </c>
      <c r="B595" s="4">
        <v>40570.0</v>
      </c>
      <c r="C595" s="3">
        <v>1.0</v>
      </c>
      <c r="D595" s="3">
        <v>0.0</v>
      </c>
      <c r="E595" s="3">
        <v>1.0</v>
      </c>
      <c r="F595" s="3">
        <v>22.0</v>
      </c>
      <c r="G595" s="3" t="b">
        <f t="shared" si="3"/>
        <v>0</v>
      </c>
      <c r="H595" s="3">
        <v>4.0</v>
      </c>
      <c r="I595" s="3">
        <v>1.0</v>
      </c>
      <c r="J595" s="3">
        <v>0.18</v>
      </c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3">
        <v>595.0</v>
      </c>
      <c r="B596" s="4">
        <v>40570.0</v>
      </c>
      <c r="C596" s="3">
        <v>1.0</v>
      </c>
      <c r="D596" s="3">
        <v>0.0</v>
      </c>
      <c r="E596" s="3">
        <v>1.0</v>
      </c>
      <c r="F596" s="3">
        <v>23.0</v>
      </c>
      <c r="G596" s="3" t="b">
        <f t="shared" si="3"/>
        <v>0</v>
      </c>
      <c r="H596" s="3">
        <v>4.0</v>
      </c>
      <c r="I596" s="3">
        <v>1.0</v>
      </c>
      <c r="J596" s="3">
        <v>0.18</v>
      </c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3">
        <v>596.0</v>
      </c>
      <c r="B597" s="4">
        <v>40571.0</v>
      </c>
      <c r="C597" s="3">
        <v>1.0</v>
      </c>
      <c r="D597" s="3">
        <v>0.0</v>
      </c>
      <c r="E597" s="3">
        <v>1.0</v>
      </c>
      <c r="F597" s="3">
        <v>0.0</v>
      </c>
      <c r="G597" s="3" t="b">
        <f t="shared" si="3"/>
        <v>0</v>
      </c>
      <c r="H597" s="3">
        <v>5.0</v>
      </c>
      <c r="I597" s="3">
        <v>2.0</v>
      </c>
      <c r="J597" s="3">
        <v>0.2</v>
      </c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3">
        <v>597.0</v>
      </c>
      <c r="B598" s="4">
        <v>40571.0</v>
      </c>
      <c r="C598" s="3">
        <v>1.0</v>
      </c>
      <c r="D598" s="3">
        <v>0.0</v>
      </c>
      <c r="E598" s="3">
        <v>1.0</v>
      </c>
      <c r="F598" s="3">
        <v>1.0</v>
      </c>
      <c r="G598" s="3" t="b">
        <f t="shared" si="3"/>
        <v>0</v>
      </c>
      <c r="H598" s="3">
        <v>5.0</v>
      </c>
      <c r="I598" s="3">
        <v>2.0</v>
      </c>
      <c r="J598" s="3">
        <v>0.2</v>
      </c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3">
        <v>598.0</v>
      </c>
      <c r="B599" s="4">
        <v>40571.0</v>
      </c>
      <c r="C599" s="3">
        <v>1.0</v>
      </c>
      <c r="D599" s="3">
        <v>0.0</v>
      </c>
      <c r="E599" s="3">
        <v>1.0</v>
      </c>
      <c r="F599" s="3">
        <v>2.0</v>
      </c>
      <c r="G599" s="3" t="b">
        <f t="shared" si="3"/>
        <v>0</v>
      </c>
      <c r="H599" s="3">
        <v>5.0</v>
      </c>
      <c r="I599" s="3">
        <v>2.0</v>
      </c>
      <c r="J599" s="3">
        <v>0.2</v>
      </c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3">
        <v>599.0</v>
      </c>
      <c r="B600" s="4">
        <v>40571.0</v>
      </c>
      <c r="C600" s="3">
        <v>1.0</v>
      </c>
      <c r="D600" s="3">
        <v>0.0</v>
      </c>
      <c r="E600" s="3">
        <v>1.0</v>
      </c>
      <c r="F600" s="3">
        <v>3.0</v>
      </c>
      <c r="G600" s="3" t="b">
        <f t="shared" si="3"/>
        <v>0</v>
      </c>
      <c r="H600" s="3">
        <v>5.0</v>
      </c>
      <c r="I600" s="3">
        <v>2.0</v>
      </c>
      <c r="J600" s="3">
        <v>0.2</v>
      </c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3">
        <v>600.0</v>
      </c>
      <c r="B601" s="4">
        <v>40571.0</v>
      </c>
      <c r="C601" s="3">
        <v>1.0</v>
      </c>
      <c r="D601" s="3">
        <v>0.0</v>
      </c>
      <c r="E601" s="3">
        <v>1.0</v>
      </c>
      <c r="F601" s="3">
        <v>5.0</v>
      </c>
      <c r="G601" s="3" t="b">
        <f t="shared" si="3"/>
        <v>0</v>
      </c>
      <c r="H601" s="3">
        <v>5.0</v>
      </c>
      <c r="I601" s="3">
        <v>2.0</v>
      </c>
      <c r="J601" s="3">
        <v>0.18</v>
      </c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3">
        <v>601.0</v>
      </c>
      <c r="B602" s="4">
        <v>40571.0</v>
      </c>
      <c r="C602" s="3">
        <v>1.0</v>
      </c>
      <c r="D602" s="3">
        <v>0.0</v>
      </c>
      <c r="E602" s="3">
        <v>1.0</v>
      </c>
      <c r="F602" s="3">
        <v>6.0</v>
      </c>
      <c r="G602" s="3" t="b">
        <f t="shared" si="3"/>
        <v>0</v>
      </c>
      <c r="H602" s="3">
        <v>5.0</v>
      </c>
      <c r="I602" s="3">
        <v>2.0</v>
      </c>
      <c r="J602" s="3">
        <v>0.18</v>
      </c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3">
        <v>602.0</v>
      </c>
      <c r="B603" s="4">
        <v>40571.0</v>
      </c>
      <c r="C603" s="3">
        <v>1.0</v>
      </c>
      <c r="D603" s="3">
        <v>0.0</v>
      </c>
      <c r="E603" s="3">
        <v>1.0</v>
      </c>
      <c r="F603" s="3">
        <v>7.0</v>
      </c>
      <c r="G603" s="3" t="b">
        <f t="shared" si="3"/>
        <v>0</v>
      </c>
      <c r="H603" s="3">
        <v>5.0</v>
      </c>
      <c r="I603" s="3">
        <v>2.0</v>
      </c>
      <c r="J603" s="3">
        <v>0.16</v>
      </c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3">
        <v>603.0</v>
      </c>
      <c r="B604" s="4">
        <v>40571.0</v>
      </c>
      <c r="C604" s="3">
        <v>1.0</v>
      </c>
      <c r="D604" s="3">
        <v>0.0</v>
      </c>
      <c r="E604" s="3">
        <v>1.0</v>
      </c>
      <c r="F604" s="3">
        <v>8.0</v>
      </c>
      <c r="G604" s="3" t="b">
        <f t="shared" si="3"/>
        <v>0</v>
      </c>
      <c r="H604" s="3">
        <v>5.0</v>
      </c>
      <c r="I604" s="3">
        <v>2.0</v>
      </c>
      <c r="J604" s="3">
        <v>0.16</v>
      </c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3">
        <v>604.0</v>
      </c>
      <c r="B605" s="4">
        <v>40571.0</v>
      </c>
      <c r="C605" s="3">
        <v>1.0</v>
      </c>
      <c r="D605" s="3">
        <v>0.0</v>
      </c>
      <c r="E605" s="3">
        <v>1.0</v>
      </c>
      <c r="F605" s="3">
        <v>9.0</v>
      </c>
      <c r="G605" s="3" t="b">
        <f t="shared" si="3"/>
        <v>0</v>
      </c>
      <c r="H605" s="3">
        <v>5.0</v>
      </c>
      <c r="I605" s="3">
        <v>3.0</v>
      </c>
      <c r="J605" s="3">
        <v>0.18</v>
      </c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3">
        <v>605.0</v>
      </c>
      <c r="B606" s="4">
        <v>40571.0</v>
      </c>
      <c r="C606" s="3">
        <v>1.0</v>
      </c>
      <c r="D606" s="3">
        <v>0.0</v>
      </c>
      <c r="E606" s="3">
        <v>1.0</v>
      </c>
      <c r="F606" s="3">
        <v>10.0</v>
      </c>
      <c r="G606" s="3" t="b">
        <f t="shared" si="3"/>
        <v>0</v>
      </c>
      <c r="H606" s="3">
        <v>5.0</v>
      </c>
      <c r="I606" s="3">
        <v>3.0</v>
      </c>
      <c r="J606" s="3">
        <v>0.18</v>
      </c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3">
        <v>606.0</v>
      </c>
      <c r="B607" s="4">
        <v>40571.0</v>
      </c>
      <c r="C607" s="3">
        <v>1.0</v>
      </c>
      <c r="D607" s="3">
        <v>0.0</v>
      </c>
      <c r="E607" s="3">
        <v>1.0</v>
      </c>
      <c r="F607" s="3">
        <v>11.0</v>
      </c>
      <c r="G607" s="3" t="b">
        <f t="shared" si="3"/>
        <v>0</v>
      </c>
      <c r="H607" s="3">
        <v>5.0</v>
      </c>
      <c r="I607" s="3">
        <v>3.0</v>
      </c>
      <c r="J607" s="3">
        <v>0.18</v>
      </c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3">
        <v>607.0</v>
      </c>
      <c r="B608" s="4">
        <v>40571.0</v>
      </c>
      <c r="C608" s="3">
        <v>1.0</v>
      </c>
      <c r="D608" s="3">
        <v>0.0</v>
      </c>
      <c r="E608" s="3">
        <v>1.0</v>
      </c>
      <c r="F608" s="3">
        <v>12.0</v>
      </c>
      <c r="G608" s="3" t="b">
        <f t="shared" si="3"/>
        <v>0</v>
      </c>
      <c r="H608" s="3">
        <v>5.0</v>
      </c>
      <c r="I608" s="3">
        <v>3.0</v>
      </c>
      <c r="J608" s="3">
        <v>0.18</v>
      </c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3">
        <v>608.0</v>
      </c>
      <c r="B609" s="4">
        <v>40571.0</v>
      </c>
      <c r="C609" s="3">
        <v>1.0</v>
      </c>
      <c r="D609" s="3">
        <v>0.0</v>
      </c>
      <c r="E609" s="3">
        <v>1.0</v>
      </c>
      <c r="F609" s="3">
        <v>13.0</v>
      </c>
      <c r="G609" s="3" t="b">
        <f t="shared" si="3"/>
        <v>0</v>
      </c>
      <c r="H609" s="3">
        <v>5.0</v>
      </c>
      <c r="I609" s="3">
        <v>3.0</v>
      </c>
      <c r="J609" s="3">
        <v>0.18</v>
      </c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3">
        <v>609.0</v>
      </c>
      <c r="B610" s="4">
        <v>40571.0</v>
      </c>
      <c r="C610" s="3">
        <v>1.0</v>
      </c>
      <c r="D610" s="3">
        <v>0.0</v>
      </c>
      <c r="E610" s="3">
        <v>1.0</v>
      </c>
      <c r="F610" s="3">
        <v>14.0</v>
      </c>
      <c r="G610" s="3" t="b">
        <f t="shared" si="3"/>
        <v>0</v>
      </c>
      <c r="H610" s="3">
        <v>5.0</v>
      </c>
      <c r="I610" s="3">
        <v>3.0</v>
      </c>
      <c r="J610" s="3">
        <v>0.22</v>
      </c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3">
        <v>610.0</v>
      </c>
      <c r="B611" s="4">
        <v>40571.0</v>
      </c>
      <c r="C611" s="3">
        <v>1.0</v>
      </c>
      <c r="D611" s="3">
        <v>0.0</v>
      </c>
      <c r="E611" s="3">
        <v>1.0</v>
      </c>
      <c r="F611" s="3">
        <v>15.0</v>
      </c>
      <c r="G611" s="3" t="b">
        <f t="shared" si="3"/>
        <v>0</v>
      </c>
      <c r="H611" s="3">
        <v>5.0</v>
      </c>
      <c r="I611" s="3">
        <v>2.0</v>
      </c>
      <c r="J611" s="3">
        <v>0.2</v>
      </c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autoFilter ref="$A$1:$J$611"/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25"/>
    <col customWidth="1" min="2" max="2" width="15.5"/>
    <col customWidth="1" min="3" max="3" width="15.75"/>
    <col customWidth="1" min="4" max="4" width="20.13"/>
    <col customWidth="1" min="5" max="5" width="13.75"/>
    <col customWidth="1" min="6" max="6" width="17.75"/>
    <col customWidth="1" min="7" max="7" width="10.75"/>
    <col customWidth="1" min="8" max="8" width="17.25"/>
    <col customWidth="1" min="9" max="9" width="14.75"/>
    <col customWidth="1" min="10" max="26" width="18.25"/>
  </cols>
  <sheetData>
    <row r="1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5" t="s">
        <v>16</v>
      </c>
      <c r="I1" s="5" t="s">
        <v>17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>
        <v>0.2879</v>
      </c>
      <c r="C2" s="3">
        <v>0.81</v>
      </c>
      <c r="D2" s="3">
        <v>0.0</v>
      </c>
      <c r="E2" s="3">
        <v>3.0</v>
      </c>
      <c r="F2" s="3">
        <v>13.0</v>
      </c>
      <c r="G2" s="3">
        <v>16.0</v>
      </c>
      <c r="H2" s="8" t="str">
        <f t="shared" ref="H2:H611" si="1">IF(E2+F2=G2, "Ok", "Error")</f>
        <v>Ok</v>
      </c>
      <c r="I2" s="8">
        <f t="shared" ref="I2:I611" si="2">COUNTIF(H2:H610,"Error")</f>
        <v>0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3">
        <v>2.0</v>
      </c>
      <c r="B3" s="3">
        <v>0.2727</v>
      </c>
      <c r="C3" s="3">
        <v>0.8</v>
      </c>
      <c r="D3" s="3">
        <v>0.0</v>
      </c>
      <c r="E3" s="3">
        <v>8.0</v>
      </c>
      <c r="F3" s="3">
        <v>32.0</v>
      </c>
      <c r="G3" s="3">
        <v>40.0</v>
      </c>
      <c r="H3" s="8" t="str">
        <f t="shared" si="1"/>
        <v>Ok</v>
      </c>
      <c r="I3" s="8">
        <f t="shared" si="2"/>
        <v>0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3">
        <v>3.0</v>
      </c>
      <c r="B4" s="3">
        <v>0.2727</v>
      </c>
      <c r="C4" s="3">
        <v>0.8</v>
      </c>
      <c r="D4" s="3">
        <v>0.0</v>
      </c>
      <c r="E4" s="3">
        <v>5.0</v>
      </c>
      <c r="F4" s="3">
        <v>27.0</v>
      </c>
      <c r="G4" s="3">
        <v>32.0</v>
      </c>
      <c r="H4" s="8" t="str">
        <f t="shared" si="1"/>
        <v>Ok</v>
      </c>
      <c r="I4" s="8">
        <f t="shared" si="2"/>
        <v>0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3">
        <v>4.0</v>
      </c>
      <c r="B5" s="3">
        <v>0.2879</v>
      </c>
      <c r="C5" s="3">
        <v>0.75</v>
      </c>
      <c r="D5" s="3">
        <v>0.0</v>
      </c>
      <c r="E5" s="3">
        <v>3.0</v>
      </c>
      <c r="F5" s="3">
        <v>10.0</v>
      </c>
      <c r="G5" s="3">
        <v>13.0</v>
      </c>
      <c r="H5" s="8" t="str">
        <f t="shared" si="1"/>
        <v>Ok</v>
      </c>
      <c r="I5" s="8">
        <f t="shared" si="2"/>
        <v>0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3">
        <v>5.0</v>
      </c>
      <c r="B6" s="3">
        <v>0.2879</v>
      </c>
      <c r="C6" s="3">
        <v>0.75</v>
      </c>
      <c r="D6" s="3">
        <v>0.0</v>
      </c>
      <c r="E6" s="3">
        <v>0.0</v>
      </c>
      <c r="F6" s="3">
        <v>1.0</v>
      </c>
      <c r="G6" s="3">
        <v>1.0</v>
      </c>
      <c r="H6" s="8" t="str">
        <f t="shared" si="1"/>
        <v>Ok</v>
      </c>
      <c r="I6" s="8">
        <f t="shared" si="2"/>
        <v>0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3">
        <v>6.0</v>
      </c>
      <c r="B7" s="3">
        <v>0.2576</v>
      </c>
      <c r="C7" s="3">
        <v>0.75</v>
      </c>
      <c r="D7" s="3">
        <v>0.0896</v>
      </c>
      <c r="E7" s="3">
        <v>0.0</v>
      </c>
      <c r="F7" s="3">
        <v>1.0</v>
      </c>
      <c r="G7" s="3">
        <v>1.0</v>
      </c>
      <c r="H7" s="8" t="str">
        <f t="shared" si="1"/>
        <v>Ok</v>
      </c>
      <c r="I7" s="8">
        <f t="shared" si="2"/>
        <v>0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3">
        <v>7.0</v>
      </c>
      <c r="B8" s="3">
        <v>0.2727</v>
      </c>
      <c r="C8" s="3">
        <v>0.8</v>
      </c>
      <c r="D8" s="3">
        <v>0.0</v>
      </c>
      <c r="E8" s="3">
        <v>2.0</v>
      </c>
      <c r="F8" s="3">
        <v>0.0</v>
      </c>
      <c r="G8" s="3">
        <v>2.0</v>
      </c>
      <c r="H8" s="8" t="str">
        <f t="shared" si="1"/>
        <v>Ok</v>
      </c>
      <c r="I8" s="8">
        <f t="shared" si="2"/>
        <v>0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3">
        <v>8.0</v>
      </c>
      <c r="B9" s="3">
        <v>0.2576</v>
      </c>
      <c r="C9" s="3">
        <v>0.86</v>
      </c>
      <c r="D9" s="3">
        <v>0.0</v>
      </c>
      <c r="E9" s="3">
        <v>1.0</v>
      </c>
      <c r="F9" s="3">
        <v>2.0</v>
      </c>
      <c r="G9" s="3">
        <v>3.0</v>
      </c>
      <c r="H9" s="8" t="str">
        <f t="shared" si="1"/>
        <v>Ok</v>
      </c>
      <c r="I9" s="8">
        <f t="shared" si="2"/>
        <v>0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3">
        <v>9.0</v>
      </c>
      <c r="B10" s="8"/>
      <c r="C10" s="3">
        <v>0.75</v>
      </c>
      <c r="D10" s="3">
        <v>0.0</v>
      </c>
      <c r="E10" s="3">
        <v>1.0</v>
      </c>
      <c r="F10" s="3">
        <v>7.0</v>
      </c>
      <c r="G10" s="3">
        <v>8.0</v>
      </c>
      <c r="H10" s="8" t="str">
        <f t="shared" si="1"/>
        <v>Ok</v>
      </c>
      <c r="I10" s="8">
        <f t="shared" si="2"/>
        <v>0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3">
        <v>10.0</v>
      </c>
      <c r="B11" s="3">
        <v>0.3485</v>
      </c>
      <c r="C11" s="3">
        <v>0.76</v>
      </c>
      <c r="D11" s="3">
        <v>0.0</v>
      </c>
      <c r="E11" s="3">
        <v>8.0</v>
      </c>
      <c r="F11" s="3">
        <v>6.0</v>
      </c>
      <c r="G11" s="3">
        <v>14.0</v>
      </c>
      <c r="H11" s="8" t="str">
        <f t="shared" si="1"/>
        <v>Ok</v>
      </c>
      <c r="I11" s="8">
        <f t="shared" si="2"/>
        <v>0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3">
        <v>11.0</v>
      </c>
      <c r="B12" s="3">
        <v>0.3939</v>
      </c>
      <c r="C12" s="3">
        <v>0.76</v>
      </c>
      <c r="D12" s="3">
        <v>0.2537</v>
      </c>
      <c r="E12" s="3">
        <v>12.0</v>
      </c>
      <c r="F12" s="3">
        <v>24.0</v>
      </c>
      <c r="G12" s="3">
        <v>36.0</v>
      </c>
      <c r="H12" s="8" t="str">
        <f t="shared" si="1"/>
        <v>Ok</v>
      </c>
      <c r="I12" s="8">
        <f t="shared" si="2"/>
        <v>0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3">
        <v>12.0</v>
      </c>
      <c r="B13" s="3">
        <v>0.3333</v>
      </c>
      <c r="C13" s="3">
        <v>0.81</v>
      </c>
      <c r="D13" s="3">
        <v>0.2836</v>
      </c>
      <c r="E13" s="3">
        <v>26.0</v>
      </c>
      <c r="F13" s="3">
        <v>30.0</v>
      </c>
      <c r="G13" s="3">
        <v>56.0</v>
      </c>
      <c r="H13" s="8" t="str">
        <f t="shared" si="1"/>
        <v>Ok</v>
      </c>
      <c r="I13" s="8">
        <f t="shared" si="2"/>
        <v>0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3">
        <v>13.0</v>
      </c>
      <c r="B14" s="3">
        <v>0.4242</v>
      </c>
      <c r="C14" s="3">
        <v>0.77</v>
      </c>
      <c r="D14" s="3">
        <v>0.2836</v>
      </c>
      <c r="E14" s="3">
        <v>29.0</v>
      </c>
      <c r="F14" s="3">
        <v>55.0</v>
      </c>
      <c r="G14" s="3">
        <v>84.0</v>
      </c>
      <c r="H14" s="8" t="str">
        <f t="shared" si="1"/>
        <v>Ok</v>
      </c>
      <c r="I14" s="8">
        <f t="shared" si="2"/>
        <v>0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3">
        <v>14.0</v>
      </c>
      <c r="B15" s="3">
        <v>0.4545</v>
      </c>
      <c r="C15" s="3">
        <v>0.72</v>
      </c>
      <c r="D15" s="3">
        <v>0.2985</v>
      </c>
      <c r="E15" s="3">
        <v>47.0</v>
      </c>
      <c r="F15" s="3">
        <v>47.0</v>
      </c>
      <c r="G15" s="3">
        <v>94.0</v>
      </c>
      <c r="H15" s="8" t="str">
        <f t="shared" si="1"/>
        <v>Ok</v>
      </c>
      <c r="I15" s="8">
        <f t="shared" si="2"/>
        <v>0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3">
        <v>15.0</v>
      </c>
      <c r="B16" s="3">
        <v>0.4545</v>
      </c>
      <c r="C16" s="3">
        <v>0.72</v>
      </c>
      <c r="D16" s="3">
        <v>0.2836</v>
      </c>
      <c r="E16" s="3">
        <v>35.0</v>
      </c>
      <c r="F16" s="3">
        <v>71.0</v>
      </c>
      <c r="G16" s="3">
        <v>106.0</v>
      </c>
      <c r="H16" s="8" t="str">
        <f t="shared" si="1"/>
        <v>Ok</v>
      </c>
      <c r="I16" s="8">
        <f t="shared" si="2"/>
        <v>0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3">
        <v>16.0</v>
      </c>
      <c r="B17" s="3">
        <v>0.4394</v>
      </c>
      <c r="C17" s="3">
        <v>0.77</v>
      </c>
      <c r="D17" s="3">
        <v>0.2985</v>
      </c>
      <c r="E17" s="3">
        <v>40.0</v>
      </c>
      <c r="F17" s="3">
        <v>70.0</v>
      </c>
      <c r="G17" s="3">
        <v>110.0</v>
      </c>
      <c r="H17" s="8" t="str">
        <f t="shared" si="1"/>
        <v>Ok</v>
      </c>
      <c r="I17" s="8">
        <f t="shared" si="2"/>
        <v>0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3">
        <v>17.0</v>
      </c>
      <c r="B18" s="3">
        <v>0.4242</v>
      </c>
      <c r="C18" s="3">
        <v>0.82</v>
      </c>
      <c r="D18" s="3">
        <v>0.2985</v>
      </c>
      <c r="E18" s="3">
        <v>41.0</v>
      </c>
      <c r="F18" s="3">
        <v>52.0</v>
      </c>
      <c r="G18" s="3">
        <v>93.0</v>
      </c>
      <c r="H18" s="8" t="str">
        <f t="shared" si="1"/>
        <v>Ok</v>
      </c>
      <c r="I18" s="8">
        <f t="shared" si="2"/>
        <v>0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3">
        <v>18.0</v>
      </c>
      <c r="B19" s="8"/>
      <c r="C19" s="3">
        <v>0.82</v>
      </c>
      <c r="D19" s="3">
        <v>0.2836</v>
      </c>
      <c r="E19" s="3">
        <v>15.0</v>
      </c>
      <c r="F19" s="3">
        <v>52.0</v>
      </c>
      <c r="G19" s="3">
        <v>67.0</v>
      </c>
      <c r="H19" s="8" t="str">
        <f t="shared" si="1"/>
        <v>Ok</v>
      </c>
      <c r="I19" s="8">
        <f t="shared" si="2"/>
        <v>0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3">
        <v>19.0</v>
      </c>
      <c r="B20" s="3">
        <v>0.4242</v>
      </c>
      <c r="C20" s="3">
        <v>0.88</v>
      </c>
      <c r="D20" s="3">
        <v>0.2537</v>
      </c>
      <c r="E20" s="3">
        <v>9.0</v>
      </c>
      <c r="F20" s="3">
        <v>26.0</v>
      </c>
      <c r="G20" s="3">
        <v>35.0</v>
      </c>
      <c r="H20" s="8" t="str">
        <f t="shared" si="1"/>
        <v>Ok</v>
      </c>
      <c r="I20" s="8">
        <f t="shared" si="2"/>
        <v>0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3">
        <v>20.0</v>
      </c>
      <c r="B21" s="3">
        <v>0.4242</v>
      </c>
      <c r="C21" s="3">
        <v>0.88</v>
      </c>
      <c r="D21" s="3">
        <v>0.2537</v>
      </c>
      <c r="E21" s="3">
        <v>6.0</v>
      </c>
      <c r="F21" s="3">
        <v>31.0</v>
      </c>
      <c r="G21" s="3">
        <v>37.0</v>
      </c>
      <c r="H21" s="8" t="str">
        <f t="shared" si="1"/>
        <v>Ok</v>
      </c>
      <c r="I21" s="8">
        <f t="shared" si="2"/>
        <v>0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3">
        <v>21.0</v>
      </c>
      <c r="B22" s="3">
        <v>0.4091</v>
      </c>
      <c r="C22" s="3">
        <v>0.87</v>
      </c>
      <c r="D22" s="3">
        <v>0.2537</v>
      </c>
      <c r="E22" s="3">
        <v>11.0</v>
      </c>
      <c r="F22" s="3">
        <v>25.0</v>
      </c>
      <c r="G22" s="3">
        <v>36.0</v>
      </c>
      <c r="H22" s="8" t="str">
        <f t="shared" si="1"/>
        <v>Ok</v>
      </c>
      <c r="I22" s="8">
        <f t="shared" si="2"/>
        <v>0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3">
        <v>22.0</v>
      </c>
      <c r="B23" s="3">
        <v>0.4091</v>
      </c>
      <c r="C23" s="3">
        <v>0.87</v>
      </c>
      <c r="D23" s="3">
        <v>0.194</v>
      </c>
      <c r="E23" s="3">
        <v>3.0</v>
      </c>
      <c r="F23" s="3">
        <v>31.0</v>
      </c>
      <c r="G23" s="3">
        <v>34.0</v>
      </c>
      <c r="H23" s="8" t="str">
        <f t="shared" si="1"/>
        <v>Ok</v>
      </c>
      <c r="I23" s="8">
        <f t="shared" si="2"/>
        <v>0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3">
        <v>23.0</v>
      </c>
      <c r="B24" s="3">
        <v>0.4091</v>
      </c>
      <c r="C24" s="3">
        <v>0.94</v>
      </c>
      <c r="D24" s="3">
        <v>0.2239</v>
      </c>
      <c r="E24" s="3">
        <v>11.0</v>
      </c>
      <c r="F24" s="3">
        <v>17.0</v>
      </c>
      <c r="G24" s="3">
        <v>28.0</v>
      </c>
      <c r="H24" s="8" t="str">
        <f t="shared" si="1"/>
        <v>Ok</v>
      </c>
      <c r="I24" s="8">
        <f t="shared" si="2"/>
        <v>0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3">
        <v>24.0</v>
      </c>
      <c r="B25" s="8"/>
      <c r="C25" s="3">
        <v>0.88</v>
      </c>
      <c r="D25" s="3">
        <v>0.2985</v>
      </c>
      <c r="E25" s="3">
        <v>15.0</v>
      </c>
      <c r="F25" s="3">
        <v>24.0</v>
      </c>
      <c r="G25" s="3">
        <v>39.0</v>
      </c>
      <c r="H25" s="8" t="str">
        <f t="shared" si="1"/>
        <v>Ok</v>
      </c>
      <c r="I25" s="8">
        <f t="shared" si="2"/>
        <v>0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3">
        <v>25.0</v>
      </c>
      <c r="B26" s="3">
        <v>0.4545</v>
      </c>
      <c r="C26" s="3">
        <v>0.88</v>
      </c>
      <c r="D26" s="3">
        <v>0.2985</v>
      </c>
      <c r="E26" s="3">
        <v>4.0</v>
      </c>
      <c r="F26" s="3">
        <v>13.0</v>
      </c>
      <c r="G26" s="3">
        <v>17.0</v>
      </c>
      <c r="H26" s="8" t="str">
        <f t="shared" si="1"/>
        <v>Ok</v>
      </c>
      <c r="I26" s="8">
        <f t="shared" si="2"/>
        <v>0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3">
        <v>26.0</v>
      </c>
      <c r="B27" s="3">
        <v>0.4394</v>
      </c>
      <c r="C27" s="3">
        <v>0.94</v>
      </c>
      <c r="D27" s="3">
        <v>0.2537</v>
      </c>
      <c r="E27" s="3">
        <v>1.0</v>
      </c>
      <c r="F27" s="3">
        <v>16.0</v>
      </c>
      <c r="G27" s="3">
        <v>17.0</v>
      </c>
      <c r="H27" s="8" t="str">
        <f t="shared" si="1"/>
        <v>Ok</v>
      </c>
      <c r="I27" s="8">
        <f t="shared" si="2"/>
        <v>0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3">
        <v>27.0</v>
      </c>
      <c r="B28" s="3">
        <v>0.4242</v>
      </c>
      <c r="C28" s="3">
        <v>1.0</v>
      </c>
      <c r="D28" s="3">
        <v>0.2836</v>
      </c>
      <c r="E28" s="3">
        <v>1.0</v>
      </c>
      <c r="F28" s="3">
        <v>8.0</v>
      </c>
      <c r="G28" s="3">
        <v>9.0</v>
      </c>
      <c r="H28" s="8" t="str">
        <f t="shared" si="1"/>
        <v>Ok</v>
      </c>
      <c r="I28" s="8">
        <f t="shared" si="2"/>
        <v>0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3">
        <v>28.0</v>
      </c>
      <c r="B29" s="3">
        <v>0.4545</v>
      </c>
      <c r="C29" s="3">
        <v>0.94</v>
      </c>
      <c r="D29" s="3">
        <v>0.194</v>
      </c>
      <c r="E29" s="3">
        <v>2.0</v>
      </c>
      <c r="F29" s="3">
        <v>4.0</v>
      </c>
      <c r="G29" s="3">
        <v>6.0</v>
      </c>
      <c r="H29" s="8" t="str">
        <f t="shared" si="1"/>
        <v>Ok</v>
      </c>
      <c r="I29" s="8">
        <f t="shared" si="2"/>
        <v>0</v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3">
        <v>29.0</v>
      </c>
      <c r="B30" s="8"/>
      <c r="C30" s="3">
        <v>0.94</v>
      </c>
      <c r="D30" s="3">
        <v>0.194</v>
      </c>
      <c r="E30" s="3">
        <v>2.0</v>
      </c>
      <c r="F30" s="3">
        <v>1.0</v>
      </c>
      <c r="G30" s="3">
        <v>3.0</v>
      </c>
      <c r="H30" s="8" t="str">
        <f t="shared" si="1"/>
        <v>Ok</v>
      </c>
      <c r="I30" s="8">
        <f t="shared" si="2"/>
        <v>0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3">
        <v>30.0</v>
      </c>
      <c r="B31" s="3">
        <v>0.4242</v>
      </c>
      <c r="C31" s="3">
        <v>0.77</v>
      </c>
      <c r="D31" s="3">
        <v>0.2985</v>
      </c>
      <c r="E31" s="3">
        <v>0.0</v>
      </c>
      <c r="F31" s="3">
        <v>2.0</v>
      </c>
      <c r="G31" s="3">
        <v>2.0</v>
      </c>
      <c r="H31" s="8" t="str">
        <f t="shared" si="1"/>
        <v>Ok</v>
      </c>
      <c r="I31" s="8">
        <f t="shared" si="2"/>
        <v>0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3">
        <v>31.0</v>
      </c>
      <c r="B32" s="3">
        <v>0.4091</v>
      </c>
      <c r="C32" s="3">
        <v>0.76</v>
      </c>
      <c r="D32" s="3">
        <v>0.194</v>
      </c>
      <c r="E32" s="3">
        <v>0.0</v>
      </c>
      <c r="F32" s="3">
        <v>1.0</v>
      </c>
      <c r="G32" s="3">
        <v>1.0</v>
      </c>
      <c r="H32" s="8" t="str">
        <f t="shared" si="1"/>
        <v>Ok</v>
      </c>
      <c r="I32" s="8">
        <f t="shared" si="2"/>
        <v>0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3">
        <v>32.0</v>
      </c>
      <c r="B33" s="3">
        <v>0.4091</v>
      </c>
      <c r="C33" s="3">
        <v>0.71</v>
      </c>
      <c r="D33" s="3">
        <v>0.2239</v>
      </c>
      <c r="E33" s="3">
        <v>0.0</v>
      </c>
      <c r="F33" s="3">
        <v>8.0</v>
      </c>
      <c r="G33" s="3">
        <v>8.0</v>
      </c>
      <c r="H33" s="8" t="str">
        <f t="shared" si="1"/>
        <v>Ok</v>
      </c>
      <c r="I33" s="8">
        <f t="shared" si="2"/>
        <v>0</v>
      </c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3">
        <v>33.0</v>
      </c>
      <c r="B34" s="8"/>
      <c r="C34" s="3">
        <v>0.76</v>
      </c>
      <c r="D34" s="3">
        <v>0.2239</v>
      </c>
      <c r="E34" s="3">
        <v>1.0</v>
      </c>
      <c r="F34" s="3">
        <v>19.0</v>
      </c>
      <c r="G34" s="3">
        <v>20.0</v>
      </c>
      <c r="H34" s="8" t="str">
        <f t="shared" si="1"/>
        <v>Ok</v>
      </c>
      <c r="I34" s="8">
        <f t="shared" si="2"/>
        <v>0</v>
      </c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3">
        <v>34.0</v>
      </c>
      <c r="B35" s="3">
        <v>0.3485</v>
      </c>
      <c r="C35" s="3">
        <v>0.81</v>
      </c>
      <c r="D35" s="3">
        <v>0.2239</v>
      </c>
      <c r="E35" s="3">
        <v>7.0</v>
      </c>
      <c r="F35" s="3">
        <v>46.0</v>
      </c>
      <c r="G35" s="3">
        <v>53.0</v>
      </c>
      <c r="H35" s="8" t="str">
        <f t="shared" si="1"/>
        <v>Ok</v>
      </c>
      <c r="I35" s="8">
        <f t="shared" si="2"/>
        <v>0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3">
        <v>35.0</v>
      </c>
      <c r="B36" s="3">
        <v>0.3333</v>
      </c>
      <c r="C36" s="3">
        <v>0.71</v>
      </c>
      <c r="D36" s="3">
        <v>0.2537</v>
      </c>
      <c r="E36" s="3">
        <v>16.0</v>
      </c>
      <c r="F36" s="3">
        <v>54.0</v>
      </c>
      <c r="G36" s="3">
        <v>70.0</v>
      </c>
      <c r="H36" s="8" t="str">
        <f t="shared" si="1"/>
        <v>Ok</v>
      </c>
      <c r="I36" s="8">
        <f t="shared" si="2"/>
        <v>0</v>
      </c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3">
        <v>36.0</v>
      </c>
      <c r="B37" s="3">
        <v>0.3333</v>
      </c>
      <c r="C37" s="3">
        <v>0.66</v>
      </c>
      <c r="D37" s="3">
        <v>0.2985</v>
      </c>
      <c r="E37" s="3">
        <v>20.0</v>
      </c>
      <c r="F37" s="3">
        <v>73.0</v>
      </c>
      <c r="G37" s="3">
        <v>93.0</v>
      </c>
      <c r="H37" s="8" t="str">
        <f t="shared" si="1"/>
        <v>Ok</v>
      </c>
      <c r="I37" s="8">
        <f t="shared" si="2"/>
        <v>0</v>
      </c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3">
        <v>37.0</v>
      </c>
      <c r="B38" s="3">
        <v>0.3485</v>
      </c>
      <c r="C38" s="3">
        <v>0.66</v>
      </c>
      <c r="D38" s="3">
        <v>0.1343</v>
      </c>
      <c r="E38" s="3">
        <v>11.0</v>
      </c>
      <c r="F38" s="3">
        <v>64.0</v>
      </c>
      <c r="G38" s="3">
        <v>75.0</v>
      </c>
      <c r="H38" s="8" t="str">
        <f t="shared" si="1"/>
        <v>Ok</v>
      </c>
      <c r="I38" s="8">
        <f t="shared" si="2"/>
        <v>0</v>
      </c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3">
        <v>38.0</v>
      </c>
      <c r="B39" s="8"/>
      <c r="C39" s="3">
        <v>0.76</v>
      </c>
      <c r="D39" s="3">
        <v>0.194</v>
      </c>
      <c r="E39" s="3">
        <v>4.0</v>
      </c>
      <c r="F39" s="3">
        <v>55.0</v>
      </c>
      <c r="G39" s="3">
        <v>59.0</v>
      </c>
      <c r="H39" s="8" t="str">
        <f t="shared" si="1"/>
        <v>Ok</v>
      </c>
      <c r="I39" s="8">
        <f t="shared" si="2"/>
        <v>0</v>
      </c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3">
        <v>39.0</v>
      </c>
      <c r="B40" s="3">
        <v>0.3333</v>
      </c>
      <c r="C40" s="3">
        <v>0.81</v>
      </c>
      <c r="D40" s="3">
        <v>0.1642</v>
      </c>
      <c r="E40" s="3">
        <v>19.0</v>
      </c>
      <c r="F40" s="3">
        <v>55.0</v>
      </c>
      <c r="G40" s="3">
        <v>74.0</v>
      </c>
      <c r="H40" s="8" t="str">
        <f t="shared" si="1"/>
        <v>Ok</v>
      </c>
      <c r="I40" s="8">
        <f t="shared" si="2"/>
        <v>0</v>
      </c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3">
        <v>40.0</v>
      </c>
      <c r="B41" s="3">
        <v>0.3333</v>
      </c>
      <c r="C41" s="3">
        <v>0.71</v>
      </c>
      <c r="D41" s="3">
        <v>0.1642</v>
      </c>
      <c r="E41" s="3">
        <v>9.0</v>
      </c>
      <c r="F41" s="3">
        <v>67.0</v>
      </c>
      <c r="G41" s="3">
        <v>76.0</v>
      </c>
      <c r="H41" s="8" t="str">
        <f t="shared" si="1"/>
        <v>Ok</v>
      </c>
      <c r="I41" s="8">
        <f t="shared" si="2"/>
        <v>0</v>
      </c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3">
        <v>41.0</v>
      </c>
      <c r="B42" s="3">
        <v>0.3333</v>
      </c>
      <c r="C42" s="3">
        <v>0.57</v>
      </c>
      <c r="D42" s="3">
        <v>0.194</v>
      </c>
      <c r="E42" s="3">
        <v>7.0</v>
      </c>
      <c r="F42" s="3">
        <v>58.0</v>
      </c>
      <c r="G42" s="3">
        <v>65.0</v>
      </c>
      <c r="H42" s="8" t="str">
        <f t="shared" si="1"/>
        <v>Ok</v>
      </c>
      <c r="I42" s="8">
        <f t="shared" si="2"/>
        <v>0</v>
      </c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3">
        <v>42.0</v>
      </c>
      <c r="B43" s="3">
        <v>0.3333</v>
      </c>
      <c r="C43" s="3">
        <v>0.46</v>
      </c>
      <c r="D43" s="3">
        <v>0.3284</v>
      </c>
      <c r="E43" s="3">
        <v>10.0</v>
      </c>
      <c r="F43" s="3">
        <v>43.0</v>
      </c>
      <c r="G43" s="3">
        <v>53.0</v>
      </c>
      <c r="H43" s="8" t="str">
        <f t="shared" si="1"/>
        <v>Ok</v>
      </c>
      <c r="I43" s="8">
        <f t="shared" si="2"/>
        <v>0</v>
      </c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3">
        <v>43.0</v>
      </c>
      <c r="B44" s="3">
        <v>0.2879</v>
      </c>
      <c r="C44" s="3">
        <v>0.42</v>
      </c>
      <c r="D44" s="3">
        <v>0.4478</v>
      </c>
      <c r="E44" s="3">
        <v>1.0</v>
      </c>
      <c r="F44" s="3">
        <v>29.0</v>
      </c>
      <c r="G44" s="3">
        <v>30.0</v>
      </c>
      <c r="H44" s="8" t="str">
        <f t="shared" si="1"/>
        <v>Ok</v>
      </c>
      <c r="I44" s="8">
        <f t="shared" si="2"/>
        <v>0</v>
      </c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3">
        <v>44.0</v>
      </c>
      <c r="B45" s="8"/>
      <c r="C45" s="3">
        <v>0.39</v>
      </c>
      <c r="D45" s="3">
        <v>0.3582</v>
      </c>
      <c r="E45" s="3">
        <v>5.0</v>
      </c>
      <c r="F45" s="3">
        <v>17.0</v>
      </c>
      <c r="G45" s="3">
        <v>22.0</v>
      </c>
      <c r="H45" s="8" t="str">
        <f t="shared" si="1"/>
        <v>Ok</v>
      </c>
      <c r="I45" s="8">
        <f t="shared" si="2"/>
        <v>0</v>
      </c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3">
        <v>45.0</v>
      </c>
      <c r="B46" s="3">
        <v>0.2273</v>
      </c>
      <c r="C46" s="3">
        <v>0.44</v>
      </c>
      <c r="D46" s="3">
        <v>0.3284</v>
      </c>
      <c r="E46" s="3">
        <v>11.0</v>
      </c>
      <c r="F46" s="3">
        <v>20.0</v>
      </c>
      <c r="G46" s="3">
        <v>31.0</v>
      </c>
      <c r="H46" s="8" t="str">
        <f t="shared" si="1"/>
        <v>Ok</v>
      </c>
      <c r="I46" s="8">
        <f t="shared" si="2"/>
        <v>0</v>
      </c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3">
        <v>46.0</v>
      </c>
      <c r="B47" s="3">
        <v>0.2121</v>
      </c>
      <c r="C47" s="3">
        <v>0.44</v>
      </c>
      <c r="D47" s="3">
        <v>0.2985</v>
      </c>
      <c r="E47" s="3">
        <v>0.0</v>
      </c>
      <c r="F47" s="3">
        <v>9.0</v>
      </c>
      <c r="G47" s="3">
        <v>9.0</v>
      </c>
      <c r="H47" s="8" t="str">
        <f t="shared" si="1"/>
        <v>Ok</v>
      </c>
      <c r="I47" s="8">
        <f t="shared" si="2"/>
        <v>0</v>
      </c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3">
        <v>47.0</v>
      </c>
      <c r="B48" s="3">
        <v>0.2273</v>
      </c>
      <c r="C48" s="3">
        <v>0.47</v>
      </c>
      <c r="D48" s="3">
        <v>0.1642</v>
      </c>
      <c r="E48" s="3">
        <v>0.0</v>
      </c>
      <c r="F48" s="3">
        <v>8.0</v>
      </c>
      <c r="G48" s="3">
        <v>8.0</v>
      </c>
      <c r="H48" s="8" t="str">
        <f t="shared" si="1"/>
        <v>Ok</v>
      </c>
      <c r="I48" s="8">
        <f t="shared" si="2"/>
        <v>0</v>
      </c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3">
        <v>48.0</v>
      </c>
      <c r="B49" s="3">
        <v>0.197</v>
      </c>
      <c r="C49" s="3">
        <v>0.44</v>
      </c>
      <c r="D49" s="3">
        <v>0.3582</v>
      </c>
      <c r="E49" s="3">
        <v>0.0</v>
      </c>
      <c r="F49" s="3">
        <v>5.0</v>
      </c>
      <c r="G49" s="3">
        <v>5.0</v>
      </c>
      <c r="H49" s="8" t="str">
        <f t="shared" si="1"/>
        <v>Ok</v>
      </c>
      <c r="I49" s="8">
        <f t="shared" si="2"/>
        <v>0</v>
      </c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3">
        <v>49.0</v>
      </c>
      <c r="B50" s="8"/>
      <c r="C50" s="3">
        <v>0.44</v>
      </c>
      <c r="D50" s="3">
        <v>0.4179</v>
      </c>
      <c r="E50" s="3">
        <v>0.0</v>
      </c>
      <c r="F50" s="3">
        <v>2.0</v>
      </c>
      <c r="G50" s="3">
        <v>2.0</v>
      </c>
      <c r="H50" s="8" t="str">
        <f t="shared" si="1"/>
        <v>Ok</v>
      </c>
      <c r="I50" s="8">
        <f t="shared" si="2"/>
        <v>0</v>
      </c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3">
        <v>50.0</v>
      </c>
      <c r="B51" s="3">
        <v>0.1364</v>
      </c>
      <c r="C51" s="3">
        <v>0.47</v>
      </c>
      <c r="D51" s="3">
        <v>0.3881</v>
      </c>
      <c r="E51" s="3">
        <v>0.0</v>
      </c>
      <c r="F51" s="3">
        <v>1.0</v>
      </c>
      <c r="G51" s="3">
        <v>1.0</v>
      </c>
      <c r="H51" s="8" t="str">
        <f t="shared" si="1"/>
        <v>Ok</v>
      </c>
      <c r="I51" s="8">
        <f t="shared" si="2"/>
        <v>0</v>
      </c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3">
        <v>51.0</v>
      </c>
      <c r="B52" s="3">
        <v>0.1364</v>
      </c>
      <c r="C52" s="3">
        <v>0.47</v>
      </c>
      <c r="D52" s="3">
        <v>0.2836</v>
      </c>
      <c r="E52" s="3">
        <v>0.0</v>
      </c>
      <c r="F52" s="3">
        <v>3.0</v>
      </c>
      <c r="G52" s="3">
        <v>3.0</v>
      </c>
      <c r="H52" s="8" t="str">
        <f t="shared" si="1"/>
        <v>Ok</v>
      </c>
      <c r="I52" s="8">
        <f t="shared" si="2"/>
        <v>0</v>
      </c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3">
        <v>52.0</v>
      </c>
      <c r="B53" s="3">
        <v>0.1061</v>
      </c>
      <c r="C53" s="3">
        <v>0.5</v>
      </c>
      <c r="D53" s="3">
        <v>0.3881</v>
      </c>
      <c r="E53" s="3">
        <v>0.0</v>
      </c>
      <c r="F53" s="3">
        <v>30.0</v>
      </c>
      <c r="G53" s="3">
        <v>30.0</v>
      </c>
      <c r="H53" s="8" t="str">
        <f t="shared" si="1"/>
        <v>Ok</v>
      </c>
      <c r="I53" s="8">
        <f t="shared" si="2"/>
        <v>0</v>
      </c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3">
        <v>53.0</v>
      </c>
      <c r="B54" s="3">
        <v>0.1364</v>
      </c>
      <c r="C54" s="3">
        <v>0.5</v>
      </c>
      <c r="D54" s="3">
        <v>0.194</v>
      </c>
      <c r="E54" s="3">
        <v>1.0</v>
      </c>
      <c r="F54" s="3">
        <v>63.0</v>
      </c>
      <c r="G54" s="3">
        <v>64.0</v>
      </c>
      <c r="H54" s="8" t="str">
        <f t="shared" si="1"/>
        <v>Ok</v>
      </c>
      <c r="I54" s="8">
        <f t="shared" si="2"/>
        <v>0</v>
      </c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3">
        <v>54.0</v>
      </c>
      <c r="B55" s="3">
        <v>0.1212</v>
      </c>
      <c r="C55" s="3">
        <v>0.5</v>
      </c>
      <c r="D55" s="3">
        <v>0.2836</v>
      </c>
      <c r="E55" s="3">
        <v>1.0</v>
      </c>
      <c r="F55" s="3">
        <v>153.0</v>
      </c>
      <c r="G55" s="3">
        <v>154.0</v>
      </c>
      <c r="H55" s="8" t="str">
        <f t="shared" si="1"/>
        <v>Ok</v>
      </c>
      <c r="I55" s="8">
        <f t="shared" si="2"/>
        <v>0</v>
      </c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3">
        <v>55.0</v>
      </c>
      <c r="B56" s="3">
        <v>0.1364</v>
      </c>
      <c r="C56" s="3">
        <v>0.43</v>
      </c>
      <c r="D56" s="3">
        <v>0.3881</v>
      </c>
      <c r="E56" s="3">
        <v>7.0</v>
      </c>
      <c r="F56" s="3">
        <v>81.0</v>
      </c>
      <c r="G56" s="3">
        <v>88.0</v>
      </c>
      <c r="H56" s="8" t="str">
        <f t="shared" si="1"/>
        <v>Ok</v>
      </c>
      <c r="I56" s="8">
        <f t="shared" si="2"/>
        <v>0</v>
      </c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3">
        <v>56.0</v>
      </c>
      <c r="B57" s="3">
        <v>0.1667</v>
      </c>
      <c r="C57" s="3">
        <v>0.43</v>
      </c>
      <c r="D57" s="3">
        <v>0.2537</v>
      </c>
      <c r="E57" s="3">
        <v>11.0</v>
      </c>
      <c r="F57" s="3">
        <v>33.0</v>
      </c>
      <c r="G57" s="3">
        <v>44.0</v>
      </c>
      <c r="H57" s="8" t="str">
        <f t="shared" si="1"/>
        <v>Ok</v>
      </c>
      <c r="I57" s="8">
        <f t="shared" si="2"/>
        <v>0</v>
      </c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3">
        <v>57.0</v>
      </c>
      <c r="B58" s="3">
        <v>0.1818</v>
      </c>
      <c r="C58" s="3">
        <v>0.4</v>
      </c>
      <c r="D58" s="3">
        <v>0.3284</v>
      </c>
      <c r="E58" s="3">
        <v>10.0</v>
      </c>
      <c r="F58" s="3">
        <v>41.0</v>
      </c>
      <c r="G58" s="3">
        <v>51.0</v>
      </c>
      <c r="H58" s="8" t="str">
        <f t="shared" si="1"/>
        <v>Ok</v>
      </c>
      <c r="I58" s="8">
        <f t="shared" si="2"/>
        <v>0</v>
      </c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3">
        <v>58.0</v>
      </c>
      <c r="B59" s="3">
        <v>0.2121</v>
      </c>
      <c r="C59" s="3">
        <v>0.35</v>
      </c>
      <c r="D59" s="3">
        <v>0.2985</v>
      </c>
      <c r="E59" s="3">
        <v>13.0</v>
      </c>
      <c r="F59" s="3">
        <v>48.0</v>
      </c>
      <c r="G59" s="3">
        <v>61.0</v>
      </c>
      <c r="H59" s="8" t="str">
        <f t="shared" si="1"/>
        <v>Ok</v>
      </c>
      <c r="I59" s="8">
        <f t="shared" si="2"/>
        <v>0</v>
      </c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3">
        <v>59.0</v>
      </c>
      <c r="B60" s="8"/>
      <c r="C60" s="3">
        <v>0.35</v>
      </c>
      <c r="D60" s="3">
        <v>0.2836</v>
      </c>
      <c r="E60" s="3">
        <v>8.0</v>
      </c>
      <c r="F60" s="3">
        <v>53.0</v>
      </c>
      <c r="G60" s="3">
        <v>61.0</v>
      </c>
      <c r="H60" s="8" t="str">
        <f t="shared" si="1"/>
        <v>Ok</v>
      </c>
      <c r="I60" s="8">
        <f t="shared" si="2"/>
        <v>0</v>
      </c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3">
        <v>60.0</v>
      </c>
      <c r="B61" s="3">
        <v>0.2424</v>
      </c>
      <c r="C61" s="3">
        <v>0.3</v>
      </c>
      <c r="D61" s="3">
        <v>0.2836</v>
      </c>
      <c r="E61" s="3">
        <v>11.0</v>
      </c>
      <c r="F61" s="3">
        <v>66.0</v>
      </c>
      <c r="G61" s="3">
        <v>77.0</v>
      </c>
      <c r="H61" s="8" t="str">
        <f t="shared" si="1"/>
        <v>Ok</v>
      </c>
      <c r="I61" s="8">
        <f t="shared" si="2"/>
        <v>0</v>
      </c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3">
        <v>61.0</v>
      </c>
      <c r="B62" s="3">
        <v>0.2424</v>
      </c>
      <c r="C62" s="3">
        <v>0.3</v>
      </c>
      <c r="D62" s="3">
        <v>0.2537</v>
      </c>
      <c r="E62" s="3">
        <v>14.0</v>
      </c>
      <c r="F62" s="3">
        <v>58.0</v>
      </c>
      <c r="G62" s="3">
        <v>72.0</v>
      </c>
      <c r="H62" s="8" t="str">
        <f t="shared" si="1"/>
        <v>Ok</v>
      </c>
      <c r="I62" s="8">
        <f t="shared" si="2"/>
        <v>0</v>
      </c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3">
        <v>62.0</v>
      </c>
      <c r="B63" s="3">
        <v>0.2424</v>
      </c>
      <c r="C63" s="3">
        <v>0.3</v>
      </c>
      <c r="D63" s="3">
        <v>0.2537</v>
      </c>
      <c r="E63" s="3">
        <v>9.0</v>
      </c>
      <c r="F63" s="3">
        <v>67.0</v>
      </c>
      <c r="G63" s="3">
        <v>76.0</v>
      </c>
      <c r="H63" s="8" t="str">
        <f t="shared" si="1"/>
        <v>Ok</v>
      </c>
      <c r="I63" s="8">
        <f t="shared" si="2"/>
        <v>0</v>
      </c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3">
        <v>63.0</v>
      </c>
      <c r="B64" s="3">
        <v>0.2273</v>
      </c>
      <c r="C64" s="3">
        <v>0.3</v>
      </c>
      <c r="D64" s="3">
        <v>0.2239</v>
      </c>
      <c r="E64" s="3">
        <v>11.0</v>
      </c>
      <c r="F64" s="3">
        <v>146.0</v>
      </c>
      <c r="G64" s="3">
        <v>157.0</v>
      </c>
      <c r="H64" s="8" t="str">
        <f t="shared" si="1"/>
        <v>Ok</v>
      </c>
      <c r="I64" s="8">
        <f t="shared" si="2"/>
        <v>0</v>
      </c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3">
        <v>64.0</v>
      </c>
      <c r="B65" s="3">
        <v>0.2576</v>
      </c>
      <c r="C65" s="3">
        <v>0.32</v>
      </c>
      <c r="D65" s="3">
        <v>0.1045</v>
      </c>
      <c r="E65" s="3">
        <v>9.0</v>
      </c>
      <c r="F65" s="3">
        <v>148.0</v>
      </c>
      <c r="G65" s="3">
        <v>157.0</v>
      </c>
      <c r="H65" s="8" t="str">
        <f t="shared" si="1"/>
        <v>Ok</v>
      </c>
      <c r="I65" s="8">
        <f t="shared" si="2"/>
        <v>0</v>
      </c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3">
        <v>65.0</v>
      </c>
      <c r="B66" s="3">
        <v>0.2576</v>
      </c>
      <c r="C66" s="3">
        <v>0.47</v>
      </c>
      <c r="D66" s="3">
        <v>0.0</v>
      </c>
      <c r="E66" s="3">
        <v>8.0</v>
      </c>
      <c r="F66" s="3">
        <v>102.0</v>
      </c>
      <c r="G66" s="3">
        <v>110.0</v>
      </c>
      <c r="H66" s="8" t="str">
        <f t="shared" si="1"/>
        <v>Ok</v>
      </c>
      <c r="I66" s="8">
        <f t="shared" si="2"/>
        <v>0</v>
      </c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3">
        <v>66.0</v>
      </c>
      <c r="B67" s="8"/>
      <c r="C67" s="3">
        <v>0.47</v>
      </c>
      <c r="D67" s="3">
        <v>0.1045</v>
      </c>
      <c r="E67" s="3">
        <v>3.0</v>
      </c>
      <c r="F67" s="3">
        <v>49.0</v>
      </c>
      <c r="G67" s="3">
        <v>52.0</v>
      </c>
      <c r="H67" s="8" t="str">
        <f t="shared" si="1"/>
        <v>Ok</v>
      </c>
      <c r="I67" s="8">
        <f t="shared" si="2"/>
        <v>0</v>
      </c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3">
        <v>67.0</v>
      </c>
      <c r="B68" s="3">
        <v>0.197</v>
      </c>
      <c r="C68" s="3">
        <v>0.64</v>
      </c>
      <c r="D68" s="3">
        <v>0.1343</v>
      </c>
      <c r="E68" s="3">
        <v>3.0</v>
      </c>
      <c r="F68" s="3">
        <v>49.0</v>
      </c>
      <c r="G68" s="3">
        <v>52.0</v>
      </c>
      <c r="H68" s="8" t="str">
        <f t="shared" si="1"/>
        <v>Ok</v>
      </c>
      <c r="I68" s="8">
        <f t="shared" si="2"/>
        <v>0</v>
      </c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3">
        <v>68.0</v>
      </c>
      <c r="B69" s="3">
        <v>0.1515</v>
      </c>
      <c r="C69" s="3">
        <v>0.69</v>
      </c>
      <c r="D69" s="3">
        <v>0.1343</v>
      </c>
      <c r="E69" s="3">
        <v>0.0</v>
      </c>
      <c r="F69" s="3">
        <v>20.0</v>
      </c>
      <c r="G69" s="3">
        <v>20.0</v>
      </c>
      <c r="H69" s="8" t="str">
        <f t="shared" si="1"/>
        <v>Ok</v>
      </c>
      <c r="I69" s="8">
        <f t="shared" si="2"/>
        <v>0</v>
      </c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3">
        <v>69.0</v>
      </c>
      <c r="B70" s="3">
        <v>0.2121</v>
      </c>
      <c r="C70" s="3">
        <v>0.55</v>
      </c>
      <c r="D70" s="3">
        <v>0.1045</v>
      </c>
      <c r="E70" s="3">
        <v>1.0</v>
      </c>
      <c r="F70" s="3">
        <v>11.0</v>
      </c>
      <c r="G70" s="3">
        <v>12.0</v>
      </c>
      <c r="H70" s="8" t="str">
        <f t="shared" si="1"/>
        <v>Ok</v>
      </c>
      <c r="I70" s="8">
        <f t="shared" si="2"/>
        <v>0</v>
      </c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3">
        <v>70.0</v>
      </c>
      <c r="B71" s="8"/>
      <c r="C71" s="3">
        <v>0.55</v>
      </c>
      <c r="D71" s="3">
        <v>0.1045</v>
      </c>
      <c r="E71" s="3">
        <v>0.0</v>
      </c>
      <c r="F71" s="3">
        <v>5.0</v>
      </c>
      <c r="G71" s="3">
        <v>5.0</v>
      </c>
      <c r="H71" s="8" t="str">
        <f t="shared" si="1"/>
        <v>Ok</v>
      </c>
      <c r="I71" s="8">
        <f t="shared" si="2"/>
        <v>0</v>
      </c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3">
        <v>71.0</v>
      </c>
      <c r="B72" s="3">
        <v>0.1818</v>
      </c>
      <c r="C72" s="3">
        <v>0.59</v>
      </c>
      <c r="D72" s="3">
        <v>0.1045</v>
      </c>
      <c r="E72" s="3">
        <v>0.0</v>
      </c>
      <c r="F72" s="3">
        <v>2.0</v>
      </c>
      <c r="G72" s="3">
        <v>2.0</v>
      </c>
      <c r="H72" s="8" t="str">
        <f t="shared" si="1"/>
        <v>Ok</v>
      </c>
      <c r="I72" s="8">
        <f t="shared" si="2"/>
        <v>0</v>
      </c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3">
        <v>72.0</v>
      </c>
      <c r="B73" s="3">
        <v>0.1515</v>
      </c>
      <c r="C73" s="3">
        <v>0.63</v>
      </c>
      <c r="D73" s="3">
        <v>0.1343</v>
      </c>
      <c r="E73" s="3">
        <v>0.0</v>
      </c>
      <c r="F73" s="3">
        <v>1.0</v>
      </c>
      <c r="G73" s="3">
        <v>1.0</v>
      </c>
      <c r="H73" s="8" t="str">
        <f t="shared" si="1"/>
        <v>Ok</v>
      </c>
      <c r="I73" s="8">
        <f t="shared" si="2"/>
        <v>0</v>
      </c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3">
        <v>73.0</v>
      </c>
      <c r="B74" s="3">
        <v>0.1818</v>
      </c>
      <c r="C74" s="3">
        <v>0.63</v>
      </c>
      <c r="D74" s="3">
        <v>0.0896</v>
      </c>
      <c r="E74" s="3">
        <v>0.0</v>
      </c>
      <c r="F74" s="3">
        <v>2.0</v>
      </c>
      <c r="G74" s="3">
        <v>2.0</v>
      </c>
      <c r="H74" s="8" t="str">
        <f t="shared" si="1"/>
        <v>Ok</v>
      </c>
      <c r="I74" s="8">
        <f t="shared" si="2"/>
        <v>0</v>
      </c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3">
        <v>74.0</v>
      </c>
      <c r="B75" s="3">
        <v>0.1515</v>
      </c>
      <c r="C75" s="3">
        <v>0.68</v>
      </c>
      <c r="D75" s="3">
        <v>0.1045</v>
      </c>
      <c r="E75" s="3">
        <v>0.0</v>
      </c>
      <c r="F75" s="3">
        <v>4.0</v>
      </c>
      <c r="G75" s="3">
        <v>4.0</v>
      </c>
      <c r="H75" s="8" t="str">
        <f t="shared" si="1"/>
        <v>Ok</v>
      </c>
      <c r="I75" s="8">
        <f t="shared" si="2"/>
        <v>0</v>
      </c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3">
        <v>75.0</v>
      </c>
      <c r="B76" s="3">
        <v>0.1515</v>
      </c>
      <c r="C76" s="3">
        <v>0.74</v>
      </c>
      <c r="D76" s="3">
        <v>0.1045</v>
      </c>
      <c r="E76" s="3">
        <v>0.0</v>
      </c>
      <c r="F76" s="3">
        <v>36.0</v>
      </c>
      <c r="G76" s="3">
        <v>36.0</v>
      </c>
      <c r="H76" s="8" t="str">
        <f t="shared" si="1"/>
        <v>Ok</v>
      </c>
      <c r="I76" s="8">
        <f t="shared" si="2"/>
        <v>0</v>
      </c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3">
        <v>76.0</v>
      </c>
      <c r="B77" s="3">
        <v>0.1515</v>
      </c>
      <c r="C77" s="3">
        <v>0.74</v>
      </c>
      <c r="D77" s="3">
        <v>0.1343</v>
      </c>
      <c r="E77" s="3">
        <v>2.0</v>
      </c>
      <c r="F77" s="3">
        <v>92.0</v>
      </c>
      <c r="G77" s="3">
        <v>94.0</v>
      </c>
      <c r="H77" s="8" t="str">
        <f t="shared" si="1"/>
        <v>Ok</v>
      </c>
      <c r="I77" s="8">
        <f t="shared" si="2"/>
        <v>0</v>
      </c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3">
        <v>77.0</v>
      </c>
      <c r="B78" s="3">
        <v>0.1515</v>
      </c>
      <c r="C78" s="3">
        <v>0.69</v>
      </c>
      <c r="D78" s="3">
        <v>0.1642</v>
      </c>
      <c r="E78" s="3">
        <v>2.0</v>
      </c>
      <c r="F78" s="3">
        <v>177.0</v>
      </c>
      <c r="G78" s="3">
        <v>179.0</v>
      </c>
      <c r="H78" s="8" t="str">
        <f t="shared" si="1"/>
        <v>Ok</v>
      </c>
      <c r="I78" s="8">
        <f t="shared" si="2"/>
        <v>0</v>
      </c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3">
        <v>78.0</v>
      </c>
      <c r="B79" s="3">
        <v>0.1515</v>
      </c>
      <c r="C79" s="3">
        <v>0.64</v>
      </c>
      <c r="D79" s="3">
        <v>0.2239</v>
      </c>
      <c r="E79" s="3">
        <v>2.0</v>
      </c>
      <c r="F79" s="3">
        <v>98.0</v>
      </c>
      <c r="G79" s="3">
        <v>100.0</v>
      </c>
      <c r="H79" s="8" t="str">
        <f t="shared" si="1"/>
        <v>Ok</v>
      </c>
      <c r="I79" s="8">
        <f t="shared" si="2"/>
        <v>0</v>
      </c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3">
        <v>79.0</v>
      </c>
      <c r="B80" s="3">
        <v>0.1364</v>
      </c>
      <c r="C80" s="3">
        <v>0.69</v>
      </c>
      <c r="D80" s="3">
        <v>0.3284</v>
      </c>
      <c r="E80" s="3">
        <v>5.0</v>
      </c>
      <c r="F80" s="3">
        <v>37.0</v>
      </c>
      <c r="G80" s="3">
        <v>42.0</v>
      </c>
      <c r="H80" s="8" t="str">
        <f t="shared" si="1"/>
        <v>Ok</v>
      </c>
      <c r="I80" s="8">
        <f t="shared" si="2"/>
        <v>0</v>
      </c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3">
        <v>80.0</v>
      </c>
      <c r="B81" s="3">
        <v>0.2121</v>
      </c>
      <c r="C81" s="3">
        <v>0.51</v>
      </c>
      <c r="D81" s="3">
        <v>0.2985</v>
      </c>
      <c r="E81" s="3">
        <v>7.0</v>
      </c>
      <c r="F81" s="3">
        <v>50.0</v>
      </c>
      <c r="G81" s="3">
        <v>57.0</v>
      </c>
      <c r="H81" s="8" t="str">
        <f t="shared" si="1"/>
        <v>Ok</v>
      </c>
      <c r="I81" s="8">
        <f t="shared" si="2"/>
        <v>0</v>
      </c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3">
        <v>81.0</v>
      </c>
      <c r="B82" s="3">
        <v>0.2273</v>
      </c>
      <c r="C82" s="3">
        <v>0.51</v>
      </c>
      <c r="D82" s="3">
        <v>0.1642</v>
      </c>
      <c r="E82" s="3">
        <v>12.0</v>
      </c>
      <c r="F82" s="3">
        <v>66.0</v>
      </c>
      <c r="G82" s="3">
        <v>78.0</v>
      </c>
      <c r="H82" s="8" t="str">
        <f t="shared" si="1"/>
        <v>Ok</v>
      </c>
      <c r="I82" s="8">
        <f t="shared" si="2"/>
        <v>0</v>
      </c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3">
        <v>82.0</v>
      </c>
      <c r="B83" s="3">
        <v>0.2273</v>
      </c>
      <c r="C83" s="3">
        <v>0.56</v>
      </c>
      <c r="D83" s="3">
        <v>0.194</v>
      </c>
      <c r="E83" s="3">
        <v>18.0</v>
      </c>
      <c r="F83" s="3">
        <v>79.0</v>
      </c>
      <c r="G83" s="3">
        <v>97.0</v>
      </c>
      <c r="H83" s="8" t="str">
        <f t="shared" si="1"/>
        <v>Ok</v>
      </c>
      <c r="I83" s="8">
        <f t="shared" si="2"/>
        <v>0</v>
      </c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3">
        <v>83.0</v>
      </c>
      <c r="B84" s="3">
        <v>0.2576</v>
      </c>
      <c r="C84" s="3">
        <v>0.52</v>
      </c>
      <c r="D84" s="3">
        <v>0.2239</v>
      </c>
      <c r="E84" s="3">
        <v>9.0</v>
      </c>
      <c r="F84" s="3">
        <v>54.0</v>
      </c>
      <c r="G84" s="3">
        <v>63.0</v>
      </c>
      <c r="H84" s="8" t="str">
        <f t="shared" si="1"/>
        <v>Ok</v>
      </c>
      <c r="I84" s="8">
        <f t="shared" si="2"/>
        <v>0</v>
      </c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3">
        <v>84.0</v>
      </c>
      <c r="B85" s="3">
        <v>0.2727</v>
      </c>
      <c r="C85" s="3">
        <v>0.52</v>
      </c>
      <c r="D85" s="3">
        <v>0.2537</v>
      </c>
      <c r="E85" s="3">
        <v>17.0</v>
      </c>
      <c r="F85" s="3">
        <v>48.0</v>
      </c>
      <c r="G85" s="3">
        <v>65.0</v>
      </c>
      <c r="H85" s="8" t="str">
        <f t="shared" si="1"/>
        <v>Ok</v>
      </c>
      <c r="I85" s="8">
        <f t="shared" si="2"/>
        <v>0</v>
      </c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3">
        <v>85.0</v>
      </c>
      <c r="B86" s="3">
        <v>0.2879</v>
      </c>
      <c r="C86" s="3">
        <v>0.49</v>
      </c>
      <c r="D86" s="3">
        <v>0.2537</v>
      </c>
      <c r="E86" s="3">
        <v>15.0</v>
      </c>
      <c r="F86" s="3">
        <v>68.0</v>
      </c>
      <c r="G86" s="3">
        <v>83.0</v>
      </c>
      <c r="H86" s="8" t="str">
        <f t="shared" si="1"/>
        <v>Ok</v>
      </c>
      <c r="I86" s="8">
        <f t="shared" si="2"/>
        <v>0</v>
      </c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3">
        <v>86.0</v>
      </c>
      <c r="B87" s="3">
        <v>0.2727</v>
      </c>
      <c r="C87" s="3">
        <v>0.48</v>
      </c>
      <c r="D87" s="3">
        <v>0.2239</v>
      </c>
      <c r="E87" s="3">
        <v>10.0</v>
      </c>
      <c r="F87" s="3">
        <v>202.0</v>
      </c>
      <c r="G87" s="3">
        <v>212.0</v>
      </c>
      <c r="H87" s="8" t="str">
        <f t="shared" si="1"/>
        <v>Ok</v>
      </c>
      <c r="I87" s="8">
        <f t="shared" si="2"/>
        <v>0</v>
      </c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3">
        <v>87.0</v>
      </c>
      <c r="B88" s="3">
        <v>0.2576</v>
      </c>
      <c r="C88" s="3">
        <v>0.48</v>
      </c>
      <c r="D88" s="3">
        <v>0.194</v>
      </c>
      <c r="E88" s="3">
        <v>3.0</v>
      </c>
      <c r="F88" s="3">
        <v>179.0</v>
      </c>
      <c r="G88" s="3">
        <v>182.0</v>
      </c>
      <c r="H88" s="8" t="str">
        <f t="shared" si="1"/>
        <v>Ok</v>
      </c>
      <c r="I88" s="8">
        <f t="shared" si="2"/>
        <v>0</v>
      </c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3">
        <v>88.0</v>
      </c>
      <c r="B89" s="3">
        <v>0.2576</v>
      </c>
      <c r="C89" s="3">
        <v>0.48</v>
      </c>
      <c r="D89" s="3">
        <v>0.1045</v>
      </c>
      <c r="E89" s="3">
        <v>2.0</v>
      </c>
      <c r="F89" s="3">
        <v>110.0</v>
      </c>
      <c r="G89" s="3">
        <v>112.0</v>
      </c>
      <c r="H89" s="8" t="str">
        <f t="shared" si="1"/>
        <v>Ok</v>
      </c>
      <c r="I89" s="8">
        <f t="shared" si="2"/>
        <v>0</v>
      </c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3">
        <v>89.0</v>
      </c>
      <c r="B90" s="3">
        <v>0.2576</v>
      </c>
      <c r="C90" s="3">
        <v>0.48</v>
      </c>
      <c r="D90" s="3">
        <v>0.1045</v>
      </c>
      <c r="E90" s="3">
        <v>1.0</v>
      </c>
      <c r="F90" s="3">
        <v>53.0</v>
      </c>
      <c r="G90" s="3">
        <v>54.0</v>
      </c>
      <c r="H90" s="8" t="str">
        <f t="shared" si="1"/>
        <v>Ok</v>
      </c>
      <c r="I90" s="8">
        <f t="shared" si="2"/>
        <v>0</v>
      </c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3">
        <v>90.0</v>
      </c>
      <c r="B91" s="3">
        <v>0.2727</v>
      </c>
      <c r="C91" s="3">
        <v>0.64</v>
      </c>
      <c r="D91" s="3">
        <v>0.0</v>
      </c>
      <c r="E91" s="3">
        <v>0.0</v>
      </c>
      <c r="F91" s="3">
        <v>48.0</v>
      </c>
      <c r="G91" s="3">
        <v>48.0</v>
      </c>
      <c r="H91" s="8" t="str">
        <f t="shared" si="1"/>
        <v>Ok</v>
      </c>
      <c r="I91" s="8">
        <f t="shared" si="2"/>
        <v>0</v>
      </c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3">
        <v>91.0</v>
      </c>
      <c r="B92" s="3">
        <v>0.2576</v>
      </c>
      <c r="C92" s="3">
        <v>0.64</v>
      </c>
      <c r="D92" s="3">
        <v>0.0896</v>
      </c>
      <c r="E92" s="3">
        <v>1.0</v>
      </c>
      <c r="F92" s="3">
        <v>34.0</v>
      </c>
      <c r="G92" s="3">
        <v>35.0</v>
      </c>
      <c r="H92" s="8" t="str">
        <f t="shared" si="1"/>
        <v>Ok</v>
      </c>
      <c r="I92" s="8">
        <f t="shared" si="2"/>
        <v>0</v>
      </c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3">
        <v>92.0</v>
      </c>
      <c r="B93" s="3">
        <v>0.2273</v>
      </c>
      <c r="C93" s="3">
        <v>0.69</v>
      </c>
      <c r="D93" s="3">
        <v>0.0896</v>
      </c>
      <c r="E93" s="3">
        <v>2.0</v>
      </c>
      <c r="F93" s="3">
        <v>9.0</v>
      </c>
      <c r="G93" s="3">
        <v>11.0</v>
      </c>
      <c r="H93" s="8" t="str">
        <f t="shared" si="1"/>
        <v>Ok</v>
      </c>
      <c r="I93" s="8">
        <f t="shared" si="2"/>
        <v>0</v>
      </c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3">
        <v>93.0</v>
      </c>
      <c r="B94" s="3">
        <v>0.2576</v>
      </c>
      <c r="C94" s="3">
        <v>0.64</v>
      </c>
      <c r="D94" s="3">
        <v>0.0</v>
      </c>
      <c r="E94" s="3">
        <v>0.0</v>
      </c>
      <c r="F94" s="3">
        <v>6.0</v>
      </c>
      <c r="G94" s="3">
        <v>6.0</v>
      </c>
      <c r="H94" s="8" t="str">
        <f t="shared" si="1"/>
        <v>Ok</v>
      </c>
      <c r="I94" s="8">
        <f t="shared" si="2"/>
        <v>0</v>
      </c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3">
        <v>94.0</v>
      </c>
      <c r="B95" s="3">
        <v>0.197</v>
      </c>
      <c r="C95" s="3">
        <v>0.74</v>
      </c>
      <c r="D95" s="3">
        <v>0.0896</v>
      </c>
      <c r="E95" s="3">
        <v>0.0</v>
      </c>
      <c r="F95" s="3">
        <v>6.0</v>
      </c>
      <c r="G95" s="3">
        <v>6.0</v>
      </c>
      <c r="H95" s="8" t="str">
        <f t="shared" si="1"/>
        <v>Ok</v>
      </c>
      <c r="I95" s="8">
        <f t="shared" si="2"/>
        <v>0</v>
      </c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3">
        <v>95.0</v>
      </c>
      <c r="B96" s="3">
        <v>0.197</v>
      </c>
      <c r="C96" s="3">
        <v>0.74</v>
      </c>
      <c r="D96" s="3">
        <v>0.0896</v>
      </c>
      <c r="E96" s="3">
        <v>0.0</v>
      </c>
      <c r="F96" s="3">
        <v>2.0</v>
      </c>
      <c r="G96" s="3">
        <v>2.0</v>
      </c>
      <c r="H96" s="8" t="str">
        <f t="shared" si="1"/>
        <v>Ok</v>
      </c>
      <c r="I96" s="8">
        <f t="shared" si="2"/>
        <v>0</v>
      </c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3">
        <v>96.0</v>
      </c>
      <c r="B97" s="3">
        <v>0.2273</v>
      </c>
      <c r="C97" s="3">
        <v>0.48</v>
      </c>
      <c r="D97" s="3">
        <v>0.2239</v>
      </c>
      <c r="E97" s="3">
        <v>0.0</v>
      </c>
      <c r="F97" s="3">
        <v>2.0</v>
      </c>
      <c r="G97" s="3">
        <v>2.0</v>
      </c>
      <c r="H97" s="8" t="str">
        <f t="shared" si="1"/>
        <v>Ok</v>
      </c>
      <c r="I97" s="8">
        <f t="shared" si="2"/>
        <v>0</v>
      </c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3">
        <v>97.0</v>
      </c>
      <c r="B98" s="3">
        <v>0.2273</v>
      </c>
      <c r="C98" s="3">
        <v>0.47</v>
      </c>
      <c r="D98" s="3">
        <v>0.1642</v>
      </c>
      <c r="E98" s="3">
        <v>0.0</v>
      </c>
      <c r="F98" s="3">
        <v>3.0</v>
      </c>
      <c r="G98" s="3">
        <v>3.0</v>
      </c>
      <c r="H98" s="8" t="str">
        <f t="shared" si="1"/>
        <v>Ok</v>
      </c>
      <c r="I98" s="8">
        <f t="shared" si="2"/>
        <v>0</v>
      </c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3">
        <v>98.0</v>
      </c>
      <c r="B99" s="3">
        <v>0.197</v>
      </c>
      <c r="C99" s="3">
        <v>0.47</v>
      </c>
      <c r="D99" s="3">
        <v>0.2239</v>
      </c>
      <c r="E99" s="3">
        <v>0.0</v>
      </c>
      <c r="F99" s="3">
        <v>33.0</v>
      </c>
      <c r="G99" s="3">
        <v>33.0</v>
      </c>
      <c r="H99" s="8" t="str">
        <f t="shared" si="1"/>
        <v>Ok</v>
      </c>
      <c r="I99" s="8">
        <f t="shared" si="2"/>
        <v>0</v>
      </c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3">
        <v>99.0</v>
      </c>
      <c r="B100" s="3">
        <v>0.1818</v>
      </c>
      <c r="C100" s="3">
        <v>0.43</v>
      </c>
      <c r="D100" s="3">
        <v>0.194</v>
      </c>
      <c r="E100" s="3">
        <v>1.0</v>
      </c>
      <c r="F100" s="3">
        <v>87.0</v>
      </c>
      <c r="G100" s="3">
        <v>88.0</v>
      </c>
      <c r="H100" s="8" t="str">
        <f t="shared" si="1"/>
        <v>Ok</v>
      </c>
      <c r="I100" s="8">
        <f t="shared" si="2"/>
        <v>0</v>
      </c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3">
        <v>100.0</v>
      </c>
      <c r="B101" s="3">
        <v>0.1818</v>
      </c>
      <c r="C101" s="3">
        <v>0.4</v>
      </c>
      <c r="D101" s="3">
        <v>0.2985</v>
      </c>
      <c r="E101" s="3">
        <v>3.0</v>
      </c>
      <c r="F101" s="3">
        <v>192.0</v>
      </c>
      <c r="G101" s="3">
        <v>195.0</v>
      </c>
      <c r="H101" s="8" t="str">
        <f t="shared" si="1"/>
        <v>Ok</v>
      </c>
      <c r="I101" s="8">
        <f t="shared" si="2"/>
        <v>0</v>
      </c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3">
        <v>101.0</v>
      </c>
      <c r="B102" s="3">
        <v>0.197</v>
      </c>
      <c r="C102" s="3">
        <v>0.37</v>
      </c>
      <c r="D102" s="3">
        <v>0.3284</v>
      </c>
      <c r="E102" s="3">
        <v>6.0</v>
      </c>
      <c r="F102" s="3">
        <v>109.0</v>
      </c>
      <c r="G102" s="3">
        <v>115.0</v>
      </c>
      <c r="H102" s="8" t="str">
        <f t="shared" si="1"/>
        <v>Ok</v>
      </c>
      <c r="I102" s="8">
        <f t="shared" si="2"/>
        <v>0</v>
      </c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3">
        <v>102.0</v>
      </c>
      <c r="B103" s="3">
        <v>0.197</v>
      </c>
      <c r="C103" s="3">
        <v>0.37</v>
      </c>
      <c r="D103" s="3">
        <v>0.3284</v>
      </c>
      <c r="E103" s="3">
        <v>4.0</v>
      </c>
      <c r="F103" s="3">
        <v>53.0</v>
      </c>
      <c r="G103" s="3">
        <v>57.0</v>
      </c>
      <c r="H103" s="8" t="str">
        <f t="shared" si="1"/>
        <v>Ok</v>
      </c>
      <c r="I103" s="8">
        <f t="shared" si="2"/>
        <v>0</v>
      </c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3">
        <v>103.0</v>
      </c>
      <c r="B104" s="3">
        <v>0.2273</v>
      </c>
      <c r="C104" s="3">
        <v>0.33</v>
      </c>
      <c r="D104" s="3">
        <v>0.3284</v>
      </c>
      <c r="E104" s="3">
        <v>12.0</v>
      </c>
      <c r="F104" s="3">
        <v>34.0</v>
      </c>
      <c r="G104" s="3">
        <v>46.0</v>
      </c>
      <c r="H104" s="8" t="str">
        <f t="shared" si="1"/>
        <v>Ok</v>
      </c>
      <c r="I104" s="8">
        <f t="shared" si="2"/>
        <v>0</v>
      </c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3">
        <v>104.0</v>
      </c>
      <c r="B105" s="3">
        <v>0.2273</v>
      </c>
      <c r="C105" s="3">
        <v>0.33</v>
      </c>
      <c r="D105" s="3">
        <v>0.3284</v>
      </c>
      <c r="E105" s="3">
        <v>5.0</v>
      </c>
      <c r="F105" s="3">
        <v>74.0</v>
      </c>
      <c r="G105" s="3">
        <v>79.0</v>
      </c>
      <c r="H105" s="8" t="str">
        <f t="shared" si="1"/>
        <v>Ok</v>
      </c>
      <c r="I105" s="8">
        <f t="shared" si="2"/>
        <v>0</v>
      </c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3">
        <v>105.0</v>
      </c>
      <c r="B106" s="3">
        <v>0.2576</v>
      </c>
      <c r="C106" s="3">
        <v>0.3</v>
      </c>
      <c r="D106" s="3">
        <v>0.2985</v>
      </c>
      <c r="E106" s="3">
        <v>6.0</v>
      </c>
      <c r="F106" s="3">
        <v>65.0</v>
      </c>
      <c r="G106" s="3">
        <v>71.0</v>
      </c>
      <c r="H106" s="8" t="str">
        <f t="shared" si="1"/>
        <v>Ok</v>
      </c>
      <c r="I106" s="8">
        <f t="shared" si="2"/>
        <v>0</v>
      </c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3">
        <v>106.0</v>
      </c>
      <c r="B107" s="3">
        <v>0.2879</v>
      </c>
      <c r="C107" s="3">
        <v>0.28</v>
      </c>
      <c r="D107" s="3">
        <v>0.194</v>
      </c>
      <c r="E107" s="3">
        <v>10.0</v>
      </c>
      <c r="F107" s="3">
        <v>52.0</v>
      </c>
      <c r="G107" s="3">
        <v>62.0</v>
      </c>
      <c r="H107" s="8" t="str">
        <f t="shared" si="1"/>
        <v>Ok</v>
      </c>
      <c r="I107" s="8">
        <f t="shared" si="2"/>
        <v>0</v>
      </c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3">
        <v>107.0</v>
      </c>
      <c r="B108" s="3">
        <v>0.2879</v>
      </c>
      <c r="C108" s="3">
        <v>0.28</v>
      </c>
      <c r="D108" s="3">
        <v>0.194</v>
      </c>
      <c r="E108" s="3">
        <v>7.0</v>
      </c>
      <c r="F108" s="3">
        <v>55.0</v>
      </c>
      <c r="G108" s="3">
        <v>62.0</v>
      </c>
      <c r="H108" s="8" t="str">
        <f t="shared" si="1"/>
        <v>Ok</v>
      </c>
      <c r="I108" s="8">
        <f t="shared" si="2"/>
        <v>0</v>
      </c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3">
        <v>108.0</v>
      </c>
      <c r="B109" s="3">
        <v>0.3182</v>
      </c>
      <c r="C109" s="3">
        <v>0.28</v>
      </c>
      <c r="D109" s="3">
        <v>0.0896</v>
      </c>
      <c r="E109" s="3">
        <v>4.0</v>
      </c>
      <c r="F109" s="3">
        <v>85.0</v>
      </c>
      <c r="G109" s="3">
        <v>89.0</v>
      </c>
      <c r="H109" s="8" t="str">
        <f t="shared" si="1"/>
        <v>Ok</v>
      </c>
      <c r="I109" s="8">
        <f t="shared" si="2"/>
        <v>0</v>
      </c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3">
        <v>109.0</v>
      </c>
      <c r="B110" s="3">
        <v>0.2273</v>
      </c>
      <c r="C110" s="3">
        <v>0.38</v>
      </c>
      <c r="D110" s="3">
        <v>0.194</v>
      </c>
      <c r="E110" s="3">
        <v>4.0</v>
      </c>
      <c r="F110" s="3">
        <v>186.0</v>
      </c>
      <c r="G110" s="3">
        <v>190.0</v>
      </c>
      <c r="H110" s="8" t="str">
        <f t="shared" si="1"/>
        <v>Ok</v>
      </c>
      <c r="I110" s="8">
        <f t="shared" si="2"/>
        <v>0</v>
      </c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3">
        <v>110.0</v>
      </c>
      <c r="B111" s="3">
        <v>0.2424</v>
      </c>
      <c r="C111" s="3">
        <v>0.38</v>
      </c>
      <c r="D111" s="3">
        <v>0.1343</v>
      </c>
      <c r="E111" s="3">
        <v>3.0</v>
      </c>
      <c r="F111" s="3">
        <v>166.0</v>
      </c>
      <c r="G111" s="3">
        <v>169.0</v>
      </c>
      <c r="H111" s="8" t="str">
        <f t="shared" si="1"/>
        <v>Ok</v>
      </c>
      <c r="I111" s="8">
        <f t="shared" si="2"/>
        <v>0</v>
      </c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3">
        <v>111.0</v>
      </c>
      <c r="B112" s="3">
        <v>0.2576</v>
      </c>
      <c r="C112" s="3">
        <v>0.38</v>
      </c>
      <c r="D112" s="3">
        <v>0.1045</v>
      </c>
      <c r="E112" s="3">
        <v>5.0</v>
      </c>
      <c r="F112" s="3">
        <v>127.0</v>
      </c>
      <c r="G112" s="3">
        <v>132.0</v>
      </c>
      <c r="H112" s="8" t="str">
        <f t="shared" si="1"/>
        <v>Ok</v>
      </c>
      <c r="I112" s="8">
        <f t="shared" si="2"/>
        <v>0</v>
      </c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3">
        <v>112.0</v>
      </c>
      <c r="B113" s="3">
        <v>0.2273</v>
      </c>
      <c r="C113" s="3">
        <v>0.47</v>
      </c>
      <c r="D113" s="3">
        <v>0.1642</v>
      </c>
      <c r="E113" s="3">
        <v>7.0</v>
      </c>
      <c r="F113" s="3">
        <v>82.0</v>
      </c>
      <c r="G113" s="3">
        <v>89.0</v>
      </c>
      <c r="H113" s="8" t="str">
        <f t="shared" si="1"/>
        <v>Ok</v>
      </c>
      <c r="I113" s="8">
        <f t="shared" si="2"/>
        <v>0</v>
      </c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3">
        <v>113.0</v>
      </c>
      <c r="B114" s="3">
        <v>0.197</v>
      </c>
      <c r="C114" s="3">
        <v>0.51</v>
      </c>
      <c r="D114" s="3">
        <v>0.194</v>
      </c>
      <c r="E114" s="3">
        <v>3.0</v>
      </c>
      <c r="F114" s="3">
        <v>40.0</v>
      </c>
      <c r="G114" s="3">
        <v>43.0</v>
      </c>
      <c r="H114" s="8" t="str">
        <f t="shared" si="1"/>
        <v>Ok</v>
      </c>
      <c r="I114" s="8">
        <f t="shared" si="2"/>
        <v>0</v>
      </c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3">
        <v>114.0</v>
      </c>
      <c r="B115" s="3">
        <v>0.197</v>
      </c>
      <c r="C115" s="3">
        <v>0.55</v>
      </c>
      <c r="D115" s="3">
        <v>0.1343</v>
      </c>
      <c r="E115" s="3">
        <v>1.0</v>
      </c>
      <c r="F115" s="3">
        <v>41.0</v>
      </c>
      <c r="G115" s="3">
        <v>42.0</v>
      </c>
      <c r="H115" s="8" t="str">
        <f t="shared" si="1"/>
        <v>Ok</v>
      </c>
      <c r="I115" s="8">
        <f t="shared" si="2"/>
        <v>0</v>
      </c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3">
        <v>115.0</v>
      </c>
      <c r="B116" s="3">
        <v>0.2576</v>
      </c>
      <c r="C116" s="3">
        <v>0.47</v>
      </c>
      <c r="D116" s="3">
        <v>0.0</v>
      </c>
      <c r="E116" s="3">
        <v>1.0</v>
      </c>
      <c r="F116" s="3">
        <v>18.0</v>
      </c>
      <c r="G116" s="3">
        <v>19.0</v>
      </c>
      <c r="H116" s="8" t="str">
        <f t="shared" si="1"/>
        <v>Ok</v>
      </c>
      <c r="I116" s="8">
        <f t="shared" si="2"/>
        <v>0</v>
      </c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3">
        <v>116.0</v>
      </c>
      <c r="B117" s="3">
        <v>0.2424</v>
      </c>
      <c r="C117" s="3">
        <v>0.55</v>
      </c>
      <c r="D117" s="3">
        <v>0.0</v>
      </c>
      <c r="E117" s="3">
        <v>0.0</v>
      </c>
      <c r="F117" s="3">
        <v>11.0</v>
      </c>
      <c r="G117" s="3">
        <v>11.0</v>
      </c>
      <c r="H117" s="8" t="str">
        <f t="shared" si="1"/>
        <v>Ok</v>
      </c>
      <c r="I117" s="8">
        <f t="shared" si="2"/>
        <v>0</v>
      </c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3">
        <v>117.0</v>
      </c>
      <c r="B118" s="3">
        <v>0.2273</v>
      </c>
      <c r="C118" s="3">
        <v>0.64</v>
      </c>
      <c r="D118" s="3">
        <v>0.0</v>
      </c>
      <c r="E118" s="3">
        <v>0.0</v>
      </c>
      <c r="F118" s="3">
        <v>4.0</v>
      </c>
      <c r="G118" s="3">
        <v>4.0</v>
      </c>
      <c r="H118" s="8" t="str">
        <f t="shared" si="1"/>
        <v>Ok</v>
      </c>
      <c r="I118" s="8">
        <f t="shared" si="2"/>
        <v>0</v>
      </c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3">
        <v>118.0</v>
      </c>
      <c r="B119" s="3">
        <v>0.2273</v>
      </c>
      <c r="C119" s="3">
        <v>0.64</v>
      </c>
      <c r="D119" s="3">
        <v>0.0</v>
      </c>
      <c r="E119" s="3">
        <v>0.0</v>
      </c>
      <c r="F119" s="3">
        <v>2.0</v>
      </c>
      <c r="G119" s="3">
        <v>2.0</v>
      </c>
      <c r="H119" s="8" t="str">
        <f t="shared" si="1"/>
        <v>Ok</v>
      </c>
      <c r="I119" s="8">
        <f t="shared" si="2"/>
        <v>0</v>
      </c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3">
        <v>119.0</v>
      </c>
      <c r="B120" s="3">
        <v>0.197</v>
      </c>
      <c r="C120" s="3">
        <v>0.64</v>
      </c>
      <c r="D120" s="3">
        <v>0.0896</v>
      </c>
      <c r="E120" s="3">
        <v>0.0</v>
      </c>
      <c r="F120" s="3">
        <v>1.0</v>
      </c>
      <c r="G120" s="3">
        <v>1.0</v>
      </c>
      <c r="H120" s="8" t="str">
        <f t="shared" si="1"/>
        <v>Ok</v>
      </c>
      <c r="I120" s="8">
        <f t="shared" si="2"/>
        <v>0</v>
      </c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3">
        <v>120.0</v>
      </c>
      <c r="B121" s="3">
        <v>0.1818</v>
      </c>
      <c r="C121" s="3">
        <v>0.69</v>
      </c>
      <c r="D121" s="3">
        <v>0.0896</v>
      </c>
      <c r="E121" s="3">
        <v>0.0</v>
      </c>
      <c r="F121" s="3">
        <v>4.0</v>
      </c>
      <c r="G121" s="3">
        <v>4.0</v>
      </c>
      <c r="H121" s="8" t="str">
        <f t="shared" si="1"/>
        <v>Ok</v>
      </c>
      <c r="I121" s="8">
        <f t="shared" si="2"/>
        <v>0</v>
      </c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3">
        <v>121.0</v>
      </c>
      <c r="B122" s="3">
        <v>0.1667</v>
      </c>
      <c r="C122" s="3">
        <v>0.63</v>
      </c>
      <c r="D122" s="3">
        <v>0.1045</v>
      </c>
      <c r="E122" s="3">
        <v>0.0</v>
      </c>
      <c r="F122" s="3">
        <v>36.0</v>
      </c>
      <c r="G122" s="3">
        <v>36.0</v>
      </c>
      <c r="H122" s="8" t="str">
        <f t="shared" si="1"/>
        <v>Ok</v>
      </c>
      <c r="I122" s="8">
        <f t="shared" si="2"/>
        <v>0</v>
      </c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3">
        <v>122.0</v>
      </c>
      <c r="B123" s="3">
        <v>0.2273</v>
      </c>
      <c r="C123" s="3">
        <v>0.59</v>
      </c>
      <c r="D123" s="3">
        <v>0.0</v>
      </c>
      <c r="E123" s="3">
        <v>0.0</v>
      </c>
      <c r="F123" s="3">
        <v>95.0</v>
      </c>
      <c r="G123" s="3">
        <v>95.0</v>
      </c>
      <c r="H123" s="8" t="str">
        <f t="shared" si="1"/>
        <v>Ok</v>
      </c>
      <c r="I123" s="8">
        <f t="shared" si="2"/>
        <v>0</v>
      </c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3">
        <v>123.0</v>
      </c>
      <c r="B124" s="3">
        <v>0.2273</v>
      </c>
      <c r="C124" s="3">
        <v>0.59</v>
      </c>
      <c r="D124" s="3">
        <v>0.0</v>
      </c>
      <c r="E124" s="3">
        <v>3.0</v>
      </c>
      <c r="F124" s="3">
        <v>216.0</v>
      </c>
      <c r="G124" s="3">
        <v>219.0</v>
      </c>
      <c r="H124" s="8" t="str">
        <f t="shared" si="1"/>
        <v>Ok</v>
      </c>
      <c r="I124" s="8">
        <f t="shared" si="2"/>
        <v>0</v>
      </c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3">
        <v>124.0</v>
      </c>
      <c r="B125" s="3">
        <v>0.2424</v>
      </c>
      <c r="C125" s="3">
        <v>0.51</v>
      </c>
      <c r="D125" s="3">
        <v>0.0</v>
      </c>
      <c r="E125" s="3">
        <v>6.0</v>
      </c>
      <c r="F125" s="3">
        <v>116.0</v>
      </c>
      <c r="G125" s="3">
        <v>122.0</v>
      </c>
      <c r="H125" s="8" t="str">
        <f t="shared" si="1"/>
        <v>Ok</v>
      </c>
      <c r="I125" s="8">
        <f t="shared" si="2"/>
        <v>0</v>
      </c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3">
        <v>125.0</v>
      </c>
      <c r="B126" s="3">
        <v>0.2576</v>
      </c>
      <c r="C126" s="3">
        <v>0.47</v>
      </c>
      <c r="D126" s="3">
        <v>0.0</v>
      </c>
      <c r="E126" s="3">
        <v>3.0</v>
      </c>
      <c r="F126" s="3">
        <v>42.0</v>
      </c>
      <c r="G126" s="3">
        <v>45.0</v>
      </c>
      <c r="H126" s="8" t="str">
        <f t="shared" si="1"/>
        <v>Ok</v>
      </c>
      <c r="I126" s="8">
        <f t="shared" si="2"/>
        <v>0</v>
      </c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3">
        <v>126.0</v>
      </c>
      <c r="B127" s="3">
        <v>0.2576</v>
      </c>
      <c r="C127" s="3">
        <v>0.44</v>
      </c>
      <c r="D127" s="3">
        <v>0.0896</v>
      </c>
      <c r="E127" s="3">
        <v>2.0</v>
      </c>
      <c r="F127" s="3">
        <v>57.0</v>
      </c>
      <c r="G127" s="3">
        <v>59.0</v>
      </c>
      <c r="H127" s="8" t="str">
        <f t="shared" si="1"/>
        <v>Ok</v>
      </c>
      <c r="I127" s="8">
        <f t="shared" si="2"/>
        <v>0</v>
      </c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3">
        <v>127.0</v>
      </c>
      <c r="B128" s="3">
        <v>0.2879</v>
      </c>
      <c r="C128" s="3">
        <v>0.35</v>
      </c>
      <c r="D128" s="3">
        <v>0.0</v>
      </c>
      <c r="E128" s="3">
        <v>6.0</v>
      </c>
      <c r="F128" s="3">
        <v>78.0</v>
      </c>
      <c r="G128" s="3">
        <v>84.0</v>
      </c>
      <c r="H128" s="8" t="str">
        <f t="shared" si="1"/>
        <v>Ok</v>
      </c>
      <c r="I128" s="8">
        <f t="shared" si="2"/>
        <v>0</v>
      </c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3">
        <v>128.0</v>
      </c>
      <c r="B129" s="3">
        <v>0.2727</v>
      </c>
      <c r="C129" s="3">
        <v>0.35</v>
      </c>
      <c r="D129" s="3">
        <v>0.1045</v>
      </c>
      <c r="E129" s="3">
        <v>12.0</v>
      </c>
      <c r="F129" s="3">
        <v>55.0</v>
      </c>
      <c r="G129" s="3">
        <v>67.0</v>
      </c>
      <c r="H129" s="8" t="str">
        <f t="shared" si="1"/>
        <v>Ok</v>
      </c>
      <c r="I129" s="8">
        <f t="shared" si="2"/>
        <v>0</v>
      </c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3">
        <v>129.0</v>
      </c>
      <c r="B130" s="3">
        <v>0.2727</v>
      </c>
      <c r="C130" s="3">
        <v>0.36</v>
      </c>
      <c r="D130" s="3">
        <v>0.1642</v>
      </c>
      <c r="E130" s="3">
        <v>11.0</v>
      </c>
      <c r="F130" s="3">
        <v>59.0</v>
      </c>
      <c r="G130" s="3">
        <v>70.0</v>
      </c>
      <c r="H130" s="8" t="str">
        <f t="shared" si="1"/>
        <v>Ok</v>
      </c>
      <c r="I130" s="8">
        <f t="shared" si="2"/>
        <v>0</v>
      </c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3">
        <v>130.0</v>
      </c>
      <c r="B131" s="3">
        <v>0.2727</v>
      </c>
      <c r="C131" s="3">
        <v>0.36</v>
      </c>
      <c r="D131" s="3">
        <v>0.0</v>
      </c>
      <c r="E131" s="3">
        <v>8.0</v>
      </c>
      <c r="F131" s="3">
        <v>54.0</v>
      </c>
      <c r="G131" s="3">
        <v>62.0</v>
      </c>
      <c r="H131" s="8" t="str">
        <f t="shared" si="1"/>
        <v>Ok</v>
      </c>
      <c r="I131" s="8">
        <f t="shared" si="2"/>
        <v>0</v>
      </c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3">
        <v>131.0</v>
      </c>
      <c r="B132" s="3">
        <v>0.2576</v>
      </c>
      <c r="C132" s="3">
        <v>0.38</v>
      </c>
      <c r="D132" s="3">
        <v>0.1642</v>
      </c>
      <c r="E132" s="3">
        <v>12.0</v>
      </c>
      <c r="F132" s="3">
        <v>74.0</v>
      </c>
      <c r="G132" s="3">
        <v>86.0</v>
      </c>
      <c r="H132" s="8" t="str">
        <f t="shared" si="1"/>
        <v>Ok</v>
      </c>
      <c r="I132" s="8">
        <f t="shared" si="2"/>
        <v>0</v>
      </c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3">
        <v>132.0</v>
      </c>
      <c r="B133" s="3">
        <v>0.2273</v>
      </c>
      <c r="C133" s="3">
        <v>0.51</v>
      </c>
      <c r="D133" s="3">
        <v>0.1642</v>
      </c>
      <c r="E133" s="3">
        <v>9.0</v>
      </c>
      <c r="F133" s="3">
        <v>163.0</v>
      </c>
      <c r="G133" s="3">
        <v>172.0</v>
      </c>
      <c r="H133" s="8" t="str">
        <f t="shared" si="1"/>
        <v>Ok</v>
      </c>
      <c r="I133" s="8">
        <f t="shared" si="2"/>
        <v>0</v>
      </c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3">
        <v>133.0</v>
      </c>
      <c r="B134" s="3">
        <v>0.2273</v>
      </c>
      <c r="C134" s="3">
        <v>0.51</v>
      </c>
      <c r="D134" s="3">
        <v>0.1343</v>
      </c>
      <c r="E134" s="3">
        <v>5.0</v>
      </c>
      <c r="F134" s="3">
        <v>158.0</v>
      </c>
      <c r="G134" s="3">
        <v>163.0</v>
      </c>
      <c r="H134" s="8" t="str">
        <f t="shared" si="1"/>
        <v>Ok</v>
      </c>
      <c r="I134" s="8">
        <f t="shared" si="2"/>
        <v>0</v>
      </c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3">
        <v>134.0</v>
      </c>
      <c r="B135" s="3">
        <v>0.2576</v>
      </c>
      <c r="C135" s="3">
        <v>0.55</v>
      </c>
      <c r="D135" s="3">
        <v>0.0896</v>
      </c>
      <c r="E135" s="3">
        <v>3.0</v>
      </c>
      <c r="F135" s="3">
        <v>109.0</v>
      </c>
      <c r="G135" s="3">
        <v>112.0</v>
      </c>
      <c r="H135" s="8" t="str">
        <f t="shared" si="1"/>
        <v>Ok</v>
      </c>
      <c r="I135" s="8">
        <f t="shared" si="2"/>
        <v>0</v>
      </c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3">
        <v>135.0</v>
      </c>
      <c r="B136" s="3">
        <v>0.2121</v>
      </c>
      <c r="C136" s="3">
        <v>0.51</v>
      </c>
      <c r="D136" s="3">
        <v>0.1642</v>
      </c>
      <c r="E136" s="3">
        <v>3.0</v>
      </c>
      <c r="F136" s="3">
        <v>66.0</v>
      </c>
      <c r="G136" s="3">
        <v>69.0</v>
      </c>
      <c r="H136" s="8" t="str">
        <f t="shared" si="1"/>
        <v>Ok</v>
      </c>
      <c r="I136" s="8">
        <f t="shared" si="2"/>
        <v>0</v>
      </c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3">
        <v>136.0</v>
      </c>
      <c r="B137" s="3">
        <v>0.2121</v>
      </c>
      <c r="C137" s="3">
        <v>0.55</v>
      </c>
      <c r="D137" s="3">
        <v>0.2239</v>
      </c>
      <c r="E137" s="3">
        <v>0.0</v>
      </c>
      <c r="F137" s="3">
        <v>48.0</v>
      </c>
      <c r="G137" s="3">
        <v>48.0</v>
      </c>
      <c r="H137" s="8" t="str">
        <f t="shared" si="1"/>
        <v>Ok</v>
      </c>
      <c r="I137" s="8">
        <f t="shared" si="2"/>
        <v>0</v>
      </c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3">
        <v>137.0</v>
      </c>
      <c r="B138" s="3">
        <v>0.2121</v>
      </c>
      <c r="C138" s="3">
        <v>0.51</v>
      </c>
      <c r="D138" s="3">
        <v>0.2836</v>
      </c>
      <c r="E138" s="3">
        <v>1.0</v>
      </c>
      <c r="F138" s="3">
        <v>51.0</v>
      </c>
      <c r="G138" s="3">
        <v>52.0</v>
      </c>
      <c r="H138" s="8" t="str">
        <f t="shared" si="1"/>
        <v>Ok</v>
      </c>
      <c r="I138" s="8">
        <f t="shared" si="2"/>
        <v>0</v>
      </c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3">
        <v>138.0</v>
      </c>
      <c r="B139" s="3">
        <v>0.197</v>
      </c>
      <c r="C139" s="3">
        <v>0.59</v>
      </c>
      <c r="D139" s="3">
        <v>0.194</v>
      </c>
      <c r="E139" s="3">
        <v>4.0</v>
      </c>
      <c r="F139" s="3">
        <v>19.0</v>
      </c>
      <c r="G139" s="3">
        <v>23.0</v>
      </c>
      <c r="H139" s="8" t="str">
        <f t="shared" si="1"/>
        <v>Ok</v>
      </c>
      <c r="I139" s="8">
        <f t="shared" si="2"/>
        <v>0</v>
      </c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3">
        <v>139.0</v>
      </c>
      <c r="B140" s="3">
        <v>0.197</v>
      </c>
      <c r="C140" s="3">
        <v>0.64</v>
      </c>
      <c r="D140" s="3">
        <v>0.194</v>
      </c>
      <c r="E140" s="3">
        <v>4.0</v>
      </c>
      <c r="F140" s="3">
        <v>13.0</v>
      </c>
      <c r="G140" s="3">
        <v>17.0</v>
      </c>
      <c r="H140" s="8" t="str">
        <f t="shared" si="1"/>
        <v>Ok</v>
      </c>
      <c r="I140" s="8">
        <f t="shared" si="2"/>
        <v>0</v>
      </c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3">
        <v>140.0</v>
      </c>
      <c r="B141" s="3">
        <v>0.197</v>
      </c>
      <c r="C141" s="3">
        <v>0.69</v>
      </c>
      <c r="D141" s="3">
        <v>0.2239</v>
      </c>
      <c r="E141" s="3">
        <v>2.0</v>
      </c>
      <c r="F141" s="3">
        <v>5.0</v>
      </c>
      <c r="G141" s="3">
        <v>7.0</v>
      </c>
      <c r="H141" s="8" t="str">
        <f t="shared" si="1"/>
        <v>Ok</v>
      </c>
      <c r="I141" s="8">
        <f t="shared" si="2"/>
        <v>0</v>
      </c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3">
        <v>141.0</v>
      </c>
      <c r="B142" s="3">
        <v>0.197</v>
      </c>
      <c r="C142" s="3">
        <v>0.69</v>
      </c>
      <c r="D142" s="3">
        <v>0.2239</v>
      </c>
      <c r="E142" s="3">
        <v>0.0</v>
      </c>
      <c r="F142" s="3">
        <v>1.0</v>
      </c>
      <c r="G142" s="3">
        <v>1.0</v>
      </c>
      <c r="H142" s="8" t="str">
        <f t="shared" si="1"/>
        <v>Ok</v>
      </c>
      <c r="I142" s="8">
        <f t="shared" si="2"/>
        <v>0</v>
      </c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3">
        <v>142.0</v>
      </c>
      <c r="B143" s="3">
        <v>0.2121</v>
      </c>
      <c r="C143" s="3">
        <v>0.69</v>
      </c>
      <c r="D143" s="3">
        <v>0.1343</v>
      </c>
      <c r="E143" s="3">
        <v>0.0</v>
      </c>
      <c r="F143" s="3">
        <v>1.0</v>
      </c>
      <c r="G143" s="3">
        <v>1.0</v>
      </c>
      <c r="H143" s="8" t="str">
        <f t="shared" si="1"/>
        <v>Ok</v>
      </c>
      <c r="I143" s="8">
        <f t="shared" si="2"/>
        <v>0</v>
      </c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3">
        <v>143.0</v>
      </c>
      <c r="B144" s="3">
        <v>0.2727</v>
      </c>
      <c r="C144" s="3">
        <v>0.55</v>
      </c>
      <c r="D144" s="3">
        <v>0.0</v>
      </c>
      <c r="E144" s="3">
        <v>0.0</v>
      </c>
      <c r="F144" s="3">
        <v>5.0</v>
      </c>
      <c r="G144" s="3">
        <v>5.0</v>
      </c>
      <c r="H144" s="8" t="str">
        <f t="shared" si="1"/>
        <v>Ok</v>
      </c>
      <c r="I144" s="8">
        <f t="shared" si="2"/>
        <v>0</v>
      </c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3">
        <v>144.0</v>
      </c>
      <c r="B145" s="3">
        <v>0.2576</v>
      </c>
      <c r="C145" s="3">
        <v>0.69</v>
      </c>
      <c r="D145" s="3">
        <v>0.0</v>
      </c>
      <c r="E145" s="3">
        <v>8.0</v>
      </c>
      <c r="F145" s="3">
        <v>26.0</v>
      </c>
      <c r="G145" s="3">
        <v>34.0</v>
      </c>
      <c r="H145" s="8" t="str">
        <f t="shared" si="1"/>
        <v>Ok</v>
      </c>
      <c r="I145" s="8">
        <f t="shared" si="2"/>
        <v>0</v>
      </c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3">
        <v>145.0</v>
      </c>
      <c r="B146" s="3">
        <v>0.2121</v>
      </c>
      <c r="C146" s="3">
        <v>0.69</v>
      </c>
      <c r="D146" s="3">
        <v>0.1343</v>
      </c>
      <c r="E146" s="3">
        <v>8.0</v>
      </c>
      <c r="F146" s="3">
        <v>76.0</v>
      </c>
      <c r="G146" s="3">
        <v>84.0</v>
      </c>
      <c r="H146" s="8" t="str">
        <f t="shared" si="1"/>
        <v>Ok</v>
      </c>
      <c r="I146" s="8">
        <f t="shared" si="2"/>
        <v>0</v>
      </c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3">
        <v>146.0</v>
      </c>
      <c r="B147" s="3">
        <v>0.197</v>
      </c>
      <c r="C147" s="3">
        <v>0.51</v>
      </c>
      <c r="D147" s="3">
        <v>0.2537</v>
      </c>
      <c r="E147" s="3">
        <v>20.0</v>
      </c>
      <c r="F147" s="3">
        <v>190.0</v>
      </c>
      <c r="G147" s="3">
        <v>210.0</v>
      </c>
      <c r="H147" s="8" t="str">
        <f t="shared" si="1"/>
        <v>Ok</v>
      </c>
      <c r="I147" s="8">
        <f t="shared" si="2"/>
        <v>0</v>
      </c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3">
        <v>147.0</v>
      </c>
      <c r="B148" s="3">
        <v>0.1818</v>
      </c>
      <c r="C148" s="3">
        <v>0.47</v>
      </c>
      <c r="D148" s="3">
        <v>0.2985</v>
      </c>
      <c r="E148" s="3">
        <v>9.0</v>
      </c>
      <c r="F148" s="3">
        <v>125.0</v>
      </c>
      <c r="G148" s="3">
        <v>134.0</v>
      </c>
      <c r="H148" s="8" t="str">
        <f t="shared" si="1"/>
        <v>Ok</v>
      </c>
      <c r="I148" s="8">
        <f t="shared" si="2"/>
        <v>0</v>
      </c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3">
        <v>148.0</v>
      </c>
      <c r="B149" s="3">
        <v>0.197</v>
      </c>
      <c r="C149" s="3">
        <v>0.37</v>
      </c>
      <c r="D149" s="3">
        <v>0.3284</v>
      </c>
      <c r="E149" s="3">
        <v>16.0</v>
      </c>
      <c r="F149" s="3">
        <v>47.0</v>
      </c>
      <c r="G149" s="3">
        <v>63.0</v>
      </c>
      <c r="H149" s="8" t="str">
        <f t="shared" si="1"/>
        <v>Ok</v>
      </c>
      <c r="I149" s="8">
        <f t="shared" si="2"/>
        <v>0</v>
      </c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3">
        <v>149.0</v>
      </c>
      <c r="B150" s="3">
        <v>0.197</v>
      </c>
      <c r="C150" s="3">
        <v>0.4</v>
      </c>
      <c r="D150" s="3">
        <v>0.2239</v>
      </c>
      <c r="E150" s="3">
        <v>19.0</v>
      </c>
      <c r="F150" s="3">
        <v>48.0</v>
      </c>
      <c r="G150" s="3">
        <v>67.0</v>
      </c>
      <c r="H150" s="8" t="str">
        <f t="shared" si="1"/>
        <v>Ok</v>
      </c>
      <c r="I150" s="8">
        <f t="shared" si="2"/>
        <v>0</v>
      </c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3">
        <v>150.0</v>
      </c>
      <c r="B151" s="3">
        <v>0.197</v>
      </c>
      <c r="C151" s="3">
        <v>0.37</v>
      </c>
      <c r="D151" s="3">
        <v>0.2537</v>
      </c>
      <c r="E151" s="3">
        <v>9.0</v>
      </c>
      <c r="F151" s="3">
        <v>50.0</v>
      </c>
      <c r="G151" s="3">
        <v>59.0</v>
      </c>
      <c r="H151" s="8" t="str">
        <f t="shared" si="1"/>
        <v>Ok</v>
      </c>
      <c r="I151" s="8">
        <f t="shared" si="2"/>
        <v>0</v>
      </c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3">
        <v>151.0</v>
      </c>
      <c r="B152" s="3">
        <v>0.1818</v>
      </c>
      <c r="C152" s="3">
        <v>0.37</v>
      </c>
      <c r="D152" s="3">
        <v>0.2836</v>
      </c>
      <c r="E152" s="3">
        <v>9.0</v>
      </c>
      <c r="F152" s="3">
        <v>64.0</v>
      </c>
      <c r="G152" s="3">
        <v>73.0</v>
      </c>
      <c r="H152" s="8" t="str">
        <f t="shared" si="1"/>
        <v>Ok</v>
      </c>
      <c r="I152" s="8">
        <f t="shared" si="2"/>
        <v>0</v>
      </c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3">
        <v>152.0</v>
      </c>
      <c r="B153" s="3">
        <v>0.197</v>
      </c>
      <c r="C153" s="3">
        <v>0.4</v>
      </c>
      <c r="D153" s="3">
        <v>0.2537</v>
      </c>
      <c r="E153" s="3">
        <v>7.0</v>
      </c>
      <c r="F153" s="3">
        <v>43.0</v>
      </c>
      <c r="G153" s="3">
        <v>50.0</v>
      </c>
      <c r="H153" s="8" t="str">
        <f t="shared" si="1"/>
        <v>Ok</v>
      </c>
      <c r="I153" s="8">
        <f t="shared" si="2"/>
        <v>0</v>
      </c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3">
        <v>153.0</v>
      </c>
      <c r="B154" s="3">
        <v>0.2121</v>
      </c>
      <c r="C154" s="3">
        <v>0.37</v>
      </c>
      <c r="D154" s="3">
        <v>0.1642</v>
      </c>
      <c r="E154" s="3">
        <v>9.0</v>
      </c>
      <c r="F154" s="3">
        <v>63.0</v>
      </c>
      <c r="G154" s="3">
        <v>72.0</v>
      </c>
      <c r="H154" s="8" t="str">
        <f t="shared" si="1"/>
        <v>Ok</v>
      </c>
      <c r="I154" s="8">
        <f t="shared" si="2"/>
        <v>0</v>
      </c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3">
        <v>154.0</v>
      </c>
      <c r="B155" s="3">
        <v>0.2121</v>
      </c>
      <c r="C155" s="3">
        <v>0.37</v>
      </c>
      <c r="D155" s="3">
        <v>0.1642</v>
      </c>
      <c r="E155" s="3">
        <v>5.0</v>
      </c>
      <c r="F155" s="3">
        <v>82.0</v>
      </c>
      <c r="G155" s="3">
        <v>87.0</v>
      </c>
      <c r="H155" s="8" t="str">
        <f t="shared" si="1"/>
        <v>Ok</v>
      </c>
      <c r="I155" s="8">
        <f t="shared" si="2"/>
        <v>0</v>
      </c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3">
        <v>155.0</v>
      </c>
      <c r="B156" s="3">
        <v>0.2576</v>
      </c>
      <c r="C156" s="3">
        <v>0.37</v>
      </c>
      <c r="D156" s="3">
        <v>0.0</v>
      </c>
      <c r="E156" s="3">
        <v>9.0</v>
      </c>
      <c r="F156" s="3">
        <v>178.0</v>
      </c>
      <c r="G156" s="3">
        <v>187.0</v>
      </c>
      <c r="H156" s="8" t="str">
        <f t="shared" si="1"/>
        <v>Ok</v>
      </c>
      <c r="I156" s="8">
        <f t="shared" si="2"/>
        <v>0</v>
      </c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3">
        <v>156.0</v>
      </c>
      <c r="B157" s="3">
        <v>0.2273</v>
      </c>
      <c r="C157" s="3">
        <v>0.4</v>
      </c>
      <c r="D157" s="3">
        <v>0.0896</v>
      </c>
      <c r="E157" s="3">
        <v>7.0</v>
      </c>
      <c r="F157" s="3">
        <v>116.0</v>
      </c>
      <c r="G157" s="3">
        <v>123.0</v>
      </c>
      <c r="H157" s="8" t="str">
        <f t="shared" si="1"/>
        <v>Ok</v>
      </c>
      <c r="I157" s="8">
        <f t="shared" si="2"/>
        <v>0</v>
      </c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3">
        <v>157.0</v>
      </c>
      <c r="B158" s="3">
        <v>0.197</v>
      </c>
      <c r="C158" s="3">
        <v>0.55</v>
      </c>
      <c r="D158" s="3">
        <v>0.0896</v>
      </c>
      <c r="E158" s="3">
        <v>3.0</v>
      </c>
      <c r="F158" s="3">
        <v>92.0</v>
      </c>
      <c r="G158" s="3">
        <v>95.0</v>
      </c>
      <c r="H158" s="8" t="str">
        <f t="shared" si="1"/>
        <v>Ok</v>
      </c>
      <c r="I158" s="8">
        <f t="shared" si="2"/>
        <v>0</v>
      </c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3">
        <v>158.0</v>
      </c>
      <c r="B159" s="3">
        <v>0.2121</v>
      </c>
      <c r="C159" s="3">
        <v>0.47</v>
      </c>
      <c r="D159" s="3">
        <v>0.1045</v>
      </c>
      <c r="E159" s="3">
        <v>1.0</v>
      </c>
      <c r="F159" s="3">
        <v>50.0</v>
      </c>
      <c r="G159" s="3">
        <v>51.0</v>
      </c>
      <c r="H159" s="8" t="str">
        <f t="shared" si="1"/>
        <v>Ok</v>
      </c>
      <c r="I159" s="8">
        <f t="shared" si="2"/>
        <v>0</v>
      </c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3">
        <v>159.0</v>
      </c>
      <c r="B160" s="3">
        <v>0.197</v>
      </c>
      <c r="C160" s="3">
        <v>0.47</v>
      </c>
      <c r="D160" s="3">
        <v>0.1343</v>
      </c>
      <c r="E160" s="3">
        <v>0.0</v>
      </c>
      <c r="F160" s="3">
        <v>39.0</v>
      </c>
      <c r="G160" s="3">
        <v>39.0</v>
      </c>
      <c r="H160" s="8" t="str">
        <f t="shared" si="1"/>
        <v>Ok</v>
      </c>
      <c r="I160" s="8">
        <f t="shared" si="2"/>
        <v>0</v>
      </c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3">
        <v>160.0</v>
      </c>
      <c r="B161" s="3">
        <v>0.197</v>
      </c>
      <c r="C161" s="3">
        <v>0.43</v>
      </c>
      <c r="D161" s="3">
        <v>0.1642</v>
      </c>
      <c r="E161" s="3">
        <v>2.0</v>
      </c>
      <c r="F161" s="3">
        <v>34.0</v>
      </c>
      <c r="G161" s="3">
        <v>36.0</v>
      </c>
      <c r="H161" s="8" t="str">
        <f t="shared" si="1"/>
        <v>Ok</v>
      </c>
      <c r="I161" s="8">
        <f t="shared" si="2"/>
        <v>0</v>
      </c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3">
        <v>161.0</v>
      </c>
      <c r="B162" s="3">
        <v>0.197</v>
      </c>
      <c r="C162" s="3">
        <v>0.51</v>
      </c>
      <c r="D162" s="3">
        <v>0.1642</v>
      </c>
      <c r="E162" s="3">
        <v>1.0</v>
      </c>
      <c r="F162" s="3">
        <v>14.0</v>
      </c>
      <c r="G162" s="3">
        <v>15.0</v>
      </c>
      <c r="H162" s="8" t="str">
        <f t="shared" si="1"/>
        <v>Ok</v>
      </c>
      <c r="I162" s="8">
        <f t="shared" si="2"/>
        <v>0</v>
      </c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3">
        <v>162.0</v>
      </c>
      <c r="B163" s="3">
        <v>0.197</v>
      </c>
      <c r="C163" s="3">
        <v>0.51</v>
      </c>
      <c r="D163" s="3">
        <v>0.1642</v>
      </c>
      <c r="E163" s="3">
        <v>1.0</v>
      </c>
      <c r="F163" s="3">
        <v>24.0</v>
      </c>
      <c r="G163" s="3">
        <v>25.0</v>
      </c>
      <c r="H163" s="8" t="str">
        <f t="shared" si="1"/>
        <v>Ok</v>
      </c>
      <c r="I163" s="8">
        <f t="shared" si="2"/>
        <v>0</v>
      </c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3">
        <v>163.0</v>
      </c>
      <c r="B164" s="3">
        <v>0.2121</v>
      </c>
      <c r="C164" s="3">
        <v>0.55</v>
      </c>
      <c r="D164" s="3">
        <v>0.0896</v>
      </c>
      <c r="E164" s="3">
        <v>1.0</v>
      </c>
      <c r="F164" s="3">
        <v>15.0</v>
      </c>
      <c r="G164" s="3">
        <v>16.0</v>
      </c>
      <c r="H164" s="8" t="str">
        <f t="shared" si="1"/>
        <v>Ok</v>
      </c>
      <c r="I164" s="8">
        <f t="shared" si="2"/>
        <v>0</v>
      </c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3">
        <v>164.0</v>
      </c>
      <c r="B165" s="3">
        <v>0.2424</v>
      </c>
      <c r="C165" s="3">
        <v>0.55</v>
      </c>
      <c r="D165" s="3">
        <v>0.0</v>
      </c>
      <c r="E165" s="3">
        <v>3.0</v>
      </c>
      <c r="F165" s="3">
        <v>13.0</v>
      </c>
      <c r="G165" s="3">
        <v>16.0</v>
      </c>
      <c r="H165" s="8" t="str">
        <f t="shared" si="1"/>
        <v>Ok</v>
      </c>
      <c r="I165" s="8">
        <f t="shared" si="2"/>
        <v>0</v>
      </c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3">
        <v>165.0</v>
      </c>
      <c r="B166" s="3">
        <v>0.197</v>
      </c>
      <c r="C166" s="3">
        <v>0.55</v>
      </c>
      <c r="D166" s="3">
        <v>0.1642</v>
      </c>
      <c r="E166" s="3">
        <v>0.0</v>
      </c>
      <c r="F166" s="3">
        <v>7.0</v>
      </c>
      <c r="G166" s="3">
        <v>7.0</v>
      </c>
      <c r="H166" s="8" t="str">
        <f t="shared" si="1"/>
        <v>Ok</v>
      </c>
      <c r="I166" s="8">
        <f t="shared" si="2"/>
        <v>0</v>
      </c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3">
        <v>166.0</v>
      </c>
      <c r="B167" s="3">
        <v>0.197</v>
      </c>
      <c r="C167" s="3">
        <v>0.55</v>
      </c>
      <c r="D167" s="3">
        <v>0.1642</v>
      </c>
      <c r="E167" s="3">
        <v>0.0</v>
      </c>
      <c r="F167" s="3">
        <v>1.0</v>
      </c>
      <c r="G167" s="3">
        <v>1.0</v>
      </c>
      <c r="H167" s="8" t="str">
        <f t="shared" si="1"/>
        <v>Ok</v>
      </c>
      <c r="I167" s="8">
        <f t="shared" si="2"/>
        <v>0</v>
      </c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3">
        <v>167.0</v>
      </c>
      <c r="B168" s="3">
        <v>0.1667</v>
      </c>
      <c r="C168" s="3">
        <v>0.74</v>
      </c>
      <c r="D168" s="3">
        <v>0.1642</v>
      </c>
      <c r="E168" s="3">
        <v>0.0</v>
      </c>
      <c r="F168" s="3">
        <v>5.0</v>
      </c>
      <c r="G168" s="3">
        <v>5.0</v>
      </c>
      <c r="H168" s="8" t="str">
        <f t="shared" si="1"/>
        <v>Ok</v>
      </c>
      <c r="I168" s="8">
        <f t="shared" si="2"/>
        <v>0</v>
      </c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3">
        <v>168.0</v>
      </c>
      <c r="B169" s="3">
        <v>0.1667</v>
      </c>
      <c r="C169" s="3">
        <v>0.74</v>
      </c>
      <c r="D169" s="3">
        <v>0.1642</v>
      </c>
      <c r="E169" s="3">
        <v>0.0</v>
      </c>
      <c r="F169" s="3">
        <v>2.0</v>
      </c>
      <c r="G169" s="3">
        <v>2.0</v>
      </c>
      <c r="H169" s="8" t="str">
        <f t="shared" si="1"/>
        <v>Ok</v>
      </c>
      <c r="I169" s="8">
        <f t="shared" si="2"/>
        <v>0</v>
      </c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3">
        <v>169.0</v>
      </c>
      <c r="B170" s="3">
        <v>0.1818</v>
      </c>
      <c r="C170" s="3">
        <v>0.74</v>
      </c>
      <c r="D170" s="3">
        <v>0.1045</v>
      </c>
      <c r="E170" s="3">
        <v>1.0</v>
      </c>
      <c r="F170" s="3">
        <v>8.0</v>
      </c>
      <c r="G170" s="3">
        <v>9.0</v>
      </c>
      <c r="H170" s="8" t="str">
        <f t="shared" si="1"/>
        <v>Ok</v>
      </c>
      <c r="I170" s="8">
        <f t="shared" si="2"/>
        <v>0</v>
      </c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3">
        <v>170.0</v>
      </c>
      <c r="B171" s="3">
        <v>0.1818</v>
      </c>
      <c r="C171" s="3">
        <v>0.93</v>
      </c>
      <c r="D171" s="3">
        <v>0.1045</v>
      </c>
      <c r="E171" s="3">
        <v>0.0</v>
      </c>
      <c r="F171" s="3">
        <v>15.0</v>
      </c>
      <c r="G171" s="3">
        <v>15.0</v>
      </c>
      <c r="H171" s="8" t="str">
        <f t="shared" si="1"/>
        <v>Ok</v>
      </c>
      <c r="I171" s="8">
        <f t="shared" si="2"/>
        <v>0</v>
      </c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3">
        <v>171.0</v>
      </c>
      <c r="B172" s="3">
        <v>0.1818</v>
      </c>
      <c r="C172" s="3">
        <v>0.93</v>
      </c>
      <c r="D172" s="3">
        <v>0.1045</v>
      </c>
      <c r="E172" s="3">
        <v>0.0</v>
      </c>
      <c r="F172" s="3">
        <v>20.0</v>
      </c>
      <c r="G172" s="3">
        <v>20.0</v>
      </c>
      <c r="H172" s="8" t="str">
        <f t="shared" si="1"/>
        <v>Ok</v>
      </c>
      <c r="I172" s="8">
        <f t="shared" si="2"/>
        <v>0</v>
      </c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3">
        <v>172.0</v>
      </c>
      <c r="B173" s="3">
        <v>0.197</v>
      </c>
      <c r="C173" s="3">
        <v>0.8</v>
      </c>
      <c r="D173" s="3">
        <v>0.1642</v>
      </c>
      <c r="E173" s="3">
        <v>5.0</v>
      </c>
      <c r="F173" s="3">
        <v>56.0</v>
      </c>
      <c r="G173" s="3">
        <v>61.0</v>
      </c>
      <c r="H173" s="8" t="str">
        <f t="shared" si="1"/>
        <v>Ok</v>
      </c>
      <c r="I173" s="8">
        <f t="shared" si="2"/>
        <v>0</v>
      </c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3">
        <v>173.0</v>
      </c>
      <c r="B174" s="3">
        <v>0.1818</v>
      </c>
      <c r="C174" s="3">
        <v>0.69</v>
      </c>
      <c r="D174" s="3">
        <v>0.3881</v>
      </c>
      <c r="E174" s="3">
        <v>2.0</v>
      </c>
      <c r="F174" s="3">
        <v>60.0</v>
      </c>
      <c r="G174" s="3">
        <v>62.0</v>
      </c>
      <c r="H174" s="8" t="str">
        <f t="shared" si="1"/>
        <v>Ok</v>
      </c>
      <c r="I174" s="8">
        <f t="shared" si="2"/>
        <v>0</v>
      </c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3">
        <v>174.0</v>
      </c>
      <c r="B175" s="3">
        <v>0.1818</v>
      </c>
      <c r="C175" s="3">
        <v>0.59</v>
      </c>
      <c r="D175" s="3">
        <v>0.3582</v>
      </c>
      <c r="E175" s="3">
        <v>8.0</v>
      </c>
      <c r="F175" s="3">
        <v>90.0</v>
      </c>
      <c r="G175" s="3">
        <v>98.0</v>
      </c>
      <c r="H175" s="8" t="str">
        <f t="shared" si="1"/>
        <v>Ok</v>
      </c>
      <c r="I175" s="8">
        <f t="shared" si="2"/>
        <v>0</v>
      </c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3">
        <v>175.0</v>
      </c>
      <c r="B176" s="3">
        <v>0.1818</v>
      </c>
      <c r="C176" s="3">
        <v>0.44</v>
      </c>
      <c r="D176" s="3">
        <v>0.3284</v>
      </c>
      <c r="E176" s="3">
        <v>7.0</v>
      </c>
      <c r="F176" s="3">
        <v>95.0</v>
      </c>
      <c r="G176" s="3">
        <v>102.0</v>
      </c>
      <c r="H176" s="8" t="str">
        <f t="shared" si="1"/>
        <v>Ok</v>
      </c>
      <c r="I176" s="8">
        <f t="shared" si="2"/>
        <v>0</v>
      </c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3">
        <v>176.0</v>
      </c>
      <c r="B177" s="3">
        <v>0.1667</v>
      </c>
      <c r="C177" s="3">
        <v>0.32</v>
      </c>
      <c r="D177" s="3">
        <v>0.4925</v>
      </c>
      <c r="E177" s="3">
        <v>12.0</v>
      </c>
      <c r="F177" s="3">
        <v>83.0</v>
      </c>
      <c r="G177" s="3">
        <v>95.0</v>
      </c>
      <c r="H177" s="8" t="str">
        <f t="shared" si="1"/>
        <v>Ok</v>
      </c>
      <c r="I177" s="8">
        <f t="shared" si="2"/>
        <v>0</v>
      </c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3">
        <v>177.0</v>
      </c>
      <c r="B178" s="3">
        <v>0.1667</v>
      </c>
      <c r="C178" s="3">
        <v>0.32</v>
      </c>
      <c r="D178" s="3">
        <v>0.4478</v>
      </c>
      <c r="E178" s="3">
        <v>5.0</v>
      </c>
      <c r="F178" s="3">
        <v>69.0</v>
      </c>
      <c r="G178" s="3">
        <v>74.0</v>
      </c>
      <c r="H178" s="8" t="str">
        <f t="shared" si="1"/>
        <v>Ok</v>
      </c>
      <c r="I178" s="8">
        <f t="shared" si="2"/>
        <v>0</v>
      </c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3">
        <v>178.0</v>
      </c>
      <c r="B179" s="3">
        <v>0.1364</v>
      </c>
      <c r="C179" s="3">
        <v>0.29</v>
      </c>
      <c r="D179" s="3">
        <v>0.4478</v>
      </c>
      <c r="E179" s="3">
        <v>8.0</v>
      </c>
      <c r="F179" s="3">
        <v>68.0</v>
      </c>
      <c r="G179" s="3">
        <v>76.0</v>
      </c>
      <c r="H179" s="8" t="str">
        <f t="shared" si="1"/>
        <v>Ok</v>
      </c>
      <c r="I179" s="8">
        <f t="shared" si="2"/>
        <v>0</v>
      </c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3">
        <v>179.0</v>
      </c>
      <c r="B180" s="3">
        <v>0.1212</v>
      </c>
      <c r="C180" s="3">
        <v>0.37</v>
      </c>
      <c r="D180" s="3">
        <v>0.5522</v>
      </c>
      <c r="E180" s="3">
        <v>5.0</v>
      </c>
      <c r="F180" s="3">
        <v>64.0</v>
      </c>
      <c r="G180" s="3">
        <v>69.0</v>
      </c>
      <c r="H180" s="8" t="str">
        <f t="shared" si="1"/>
        <v>Ok</v>
      </c>
      <c r="I180" s="8">
        <f t="shared" si="2"/>
        <v>0</v>
      </c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3">
        <v>180.0</v>
      </c>
      <c r="B181" s="3">
        <v>0.1212</v>
      </c>
      <c r="C181" s="3">
        <v>0.39</v>
      </c>
      <c r="D181" s="3">
        <v>0.2985</v>
      </c>
      <c r="E181" s="3">
        <v>3.0</v>
      </c>
      <c r="F181" s="3">
        <v>52.0</v>
      </c>
      <c r="G181" s="3">
        <v>55.0</v>
      </c>
      <c r="H181" s="8" t="str">
        <f t="shared" si="1"/>
        <v>Ok</v>
      </c>
      <c r="I181" s="8">
        <f t="shared" si="2"/>
        <v>0</v>
      </c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3">
        <v>181.0</v>
      </c>
      <c r="B182" s="3">
        <v>0.1212</v>
      </c>
      <c r="C182" s="3">
        <v>0.36</v>
      </c>
      <c r="D182" s="3">
        <v>0.2537</v>
      </c>
      <c r="E182" s="3">
        <v>4.0</v>
      </c>
      <c r="F182" s="3">
        <v>26.0</v>
      </c>
      <c r="G182" s="3">
        <v>30.0</v>
      </c>
      <c r="H182" s="8" t="str">
        <f t="shared" si="1"/>
        <v>Ok</v>
      </c>
      <c r="I182" s="8">
        <f t="shared" si="2"/>
        <v>0</v>
      </c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3">
        <v>182.0</v>
      </c>
      <c r="B183" s="3">
        <v>0.1212</v>
      </c>
      <c r="C183" s="3">
        <v>0.36</v>
      </c>
      <c r="D183" s="3">
        <v>0.2537</v>
      </c>
      <c r="E183" s="3">
        <v>0.0</v>
      </c>
      <c r="F183" s="3">
        <v>28.0</v>
      </c>
      <c r="G183" s="3">
        <v>28.0</v>
      </c>
      <c r="H183" s="8" t="str">
        <f t="shared" si="1"/>
        <v>Ok</v>
      </c>
      <c r="I183" s="8">
        <f t="shared" si="2"/>
        <v>0</v>
      </c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3">
        <v>183.0</v>
      </c>
      <c r="B184" s="3">
        <v>0.1061</v>
      </c>
      <c r="C184" s="3">
        <v>0.39</v>
      </c>
      <c r="D184" s="3">
        <v>0.3582</v>
      </c>
      <c r="E184" s="3">
        <v>2.0</v>
      </c>
      <c r="F184" s="3">
        <v>35.0</v>
      </c>
      <c r="G184" s="3">
        <v>37.0</v>
      </c>
      <c r="H184" s="8" t="str">
        <f t="shared" si="1"/>
        <v>Ok</v>
      </c>
      <c r="I184" s="8">
        <f t="shared" si="2"/>
        <v>0</v>
      </c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3">
        <v>184.0</v>
      </c>
      <c r="B185" s="3">
        <v>0.1061</v>
      </c>
      <c r="C185" s="3">
        <v>0.36</v>
      </c>
      <c r="D185" s="3">
        <v>0.3881</v>
      </c>
      <c r="E185" s="3">
        <v>1.0</v>
      </c>
      <c r="F185" s="3">
        <v>33.0</v>
      </c>
      <c r="G185" s="3">
        <v>34.0</v>
      </c>
      <c r="H185" s="8" t="str">
        <f t="shared" si="1"/>
        <v>Ok</v>
      </c>
      <c r="I185" s="8">
        <f t="shared" si="2"/>
        <v>0</v>
      </c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3">
        <v>185.0</v>
      </c>
      <c r="B186" s="3">
        <v>0.0606</v>
      </c>
      <c r="C186" s="3">
        <v>0.39</v>
      </c>
      <c r="D186" s="3">
        <v>0.4478</v>
      </c>
      <c r="E186" s="3">
        <v>0.0</v>
      </c>
      <c r="F186" s="3">
        <v>22.0</v>
      </c>
      <c r="G186" s="3">
        <v>22.0</v>
      </c>
      <c r="H186" s="8" t="str">
        <f t="shared" si="1"/>
        <v>Ok</v>
      </c>
      <c r="I186" s="8">
        <f t="shared" si="2"/>
        <v>0</v>
      </c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3">
        <v>186.0</v>
      </c>
      <c r="B187" s="3">
        <v>0.0758</v>
      </c>
      <c r="C187" s="3">
        <v>0.42</v>
      </c>
      <c r="D187" s="3">
        <v>0.3881</v>
      </c>
      <c r="E187" s="3">
        <v>1.0</v>
      </c>
      <c r="F187" s="3">
        <v>24.0</v>
      </c>
      <c r="G187" s="3">
        <v>25.0</v>
      </c>
      <c r="H187" s="8" t="str">
        <f t="shared" si="1"/>
        <v>Ok</v>
      </c>
      <c r="I187" s="8">
        <f t="shared" si="2"/>
        <v>0</v>
      </c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3">
        <v>187.0</v>
      </c>
      <c r="B188" s="3">
        <v>0.0606</v>
      </c>
      <c r="C188" s="3">
        <v>0.42</v>
      </c>
      <c r="D188" s="3">
        <v>0.4627</v>
      </c>
      <c r="E188" s="3">
        <v>0.0</v>
      </c>
      <c r="F188" s="3">
        <v>12.0</v>
      </c>
      <c r="G188" s="3">
        <v>12.0</v>
      </c>
      <c r="H188" s="8" t="str">
        <f t="shared" si="1"/>
        <v>Ok</v>
      </c>
      <c r="I188" s="8">
        <f t="shared" si="2"/>
        <v>0</v>
      </c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3">
        <v>188.0</v>
      </c>
      <c r="B189" s="3">
        <v>0.0606</v>
      </c>
      <c r="C189" s="3">
        <v>0.46</v>
      </c>
      <c r="D189" s="3">
        <v>0.4627</v>
      </c>
      <c r="E189" s="3">
        <v>0.0</v>
      </c>
      <c r="F189" s="3">
        <v>11.0</v>
      </c>
      <c r="G189" s="3">
        <v>11.0</v>
      </c>
      <c r="H189" s="8" t="str">
        <f t="shared" si="1"/>
        <v>Ok</v>
      </c>
      <c r="I189" s="8">
        <f t="shared" si="2"/>
        <v>0</v>
      </c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3">
        <v>189.0</v>
      </c>
      <c r="B190" s="3">
        <v>0.0758</v>
      </c>
      <c r="C190" s="3">
        <v>0.46</v>
      </c>
      <c r="D190" s="3">
        <v>0.4179</v>
      </c>
      <c r="E190" s="3">
        <v>0.0</v>
      </c>
      <c r="F190" s="3">
        <v>4.0</v>
      </c>
      <c r="G190" s="3">
        <v>4.0</v>
      </c>
      <c r="H190" s="8" t="str">
        <f t="shared" si="1"/>
        <v>Ok</v>
      </c>
      <c r="I190" s="8">
        <f t="shared" si="2"/>
        <v>0</v>
      </c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3">
        <v>190.0</v>
      </c>
      <c r="B191" s="3">
        <v>0.0909</v>
      </c>
      <c r="C191" s="3">
        <v>0.53</v>
      </c>
      <c r="D191" s="3">
        <v>0.194</v>
      </c>
      <c r="E191" s="3">
        <v>0.0</v>
      </c>
      <c r="F191" s="3">
        <v>1.0</v>
      </c>
      <c r="G191" s="3">
        <v>1.0</v>
      </c>
      <c r="H191" s="8" t="str">
        <f t="shared" si="1"/>
        <v>Ok</v>
      </c>
      <c r="I191" s="8">
        <f t="shared" si="2"/>
        <v>0</v>
      </c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3">
        <v>191.0</v>
      </c>
      <c r="B192" s="3">
        <v>0.0909</v>
      </c>
      <c r="C192" s="3">
        <v>0.53</v>
      </c>
      <c r="D192" s="3">
        <v>0.194</v>
      </c>
      <c r="E192" s="3">
        <v>0.0</v>
      </c>
      <c r="F192" s="3">
        <v>1.0</v>
      </c>
      <c r="G192" s="3">
        <v>1.0</v>
      </c>
      <c r="H192" s="8" t="str">
        <f t="shared" si="1"/>
        <v>Ok</v>
      </c>
      <c r="I192" s="8">
        <f t="shared" si="2"/>
        <v>0</v>
      </c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3">
        <v>192.0</v>
      </c>
      <c r="B193" s="3">
        <v>0.0909</v>
      </c>
      <c r="C193" s="3">
        <v>0.49</v>
      </c>
      <c r="D193" s="3">
        <v>0.2836</v>
      </c>
      <c r="E193" s="3">
        <v>0.0</v>
      </c>
      <c r="F193" s="3">
        <v>1.0</v>
      </c>
      <c r="G193" s="3">
        <v>1.0</v>
      </c>
      <c r="H193" s="8" t="str">
        <f t="shared" si="1"/>
        <v>Ok</v>
      </c>
      <c r="I193" s="8">
        <f t="shared" si="2"/>
        <v>0</v>
      </c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3">
        <v>193.0</v>
      </c>
      <c r="B194" s="3">
        <v>0.0909</v>
      </c>
      <c r="C194" s="3">
        <v>0.53</v>
      </c>
      <c r="D194" s="3">
        <v>0.194</v>
      </c>
      <c r="E194" s="3">
        <v>1.0</v>
      </c>
      <c r="F194" s="3">
        <v>5.0</v>
      </c>
      <c r="G194" s="3">
        <v>6.0</v>
      </c>
      <c r="H194" s="8" t="str">
        <f t="shared" si="1"/>
        <v>Ok</v>
      </c>
      <c r="I194" s="8">
        <f t="shared" si="2"/>
        <v>0</v>
      </c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3">
        <v>194.0</v>
      </c>
      <c r="B195" s="3">
        <v>0.0909</v>
      </c>
      <c r="C195" s="3">
        <v>0.49</v>
      </c>
      <c r="D195" s="3">
        <v>0.2836</v>
      </c>
      <c r="E195" s="3">
        <v>0.0</v>
      </c>
      <c r="F195" s="3">
        <v>10.0</v>
      </c>
      <c r="G195" s="3">
        <v>10.0</v>
      </c>
      <c r="H195" s="8" t="str">
        <f t="shared" si="1"/>
        <v>Ok</v>
      </c>
      <c r="I195" s="8">
        <f t="shared" si="2"/>
        <v>0</v>
      </c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3">
        <v>195.0</v>
      </c>
      <c r="B196" s="3">
        <v>0.0758</v>
      </c>
      <c r="C196" s="3">
        <v>0.46</v>
      </c>
      <c r="D196" s="3">
        <v>0.5224</v>
      </c>
      <c r="E196" s="3">
        <v>0.0</v>
      </c>
      <c r="F196" s="3">
        <v>19.0</v>
      </c>
      <c r="G196" s="3">
        <v>19.0</v>
      </c>
      <c r="H196" s="8" t="str">
        <f t="shared" si="1"/>
        <v>Ok</v>
      </c>
      <c r="I196" s="8">
        <f t="shared" si="2"/>
        <v>0</v>
      </c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3">
        <v>196.0</v>
      </c>
      <c r="B197" s="3">
        <v>0.1061</v>
      </c>
      <c r="C197" s="3">
        <v>0.43</v>
      </c>
      <c r="D197" s="3">
        <v>0.3881</v>
      </c>
      <c r="E197" s="3">
        <v>0.0</v>
      </c>
      <c r="F197" s="3">
        <v>49.0</v>
      </c>
      <c r="G197" s="3">
        <v>49.0</v>
      </c>
      <c r="H197" s="8" t="str">
        <f t="shared" si="1"/>
        <v>Ok</v>
      </c>
      <c r="I197" s="8">
        <f t="shared" si="2"/>
        <v>0</v>
      </c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3">
        <v>197.0</v>
      </c>
      <c r="B198" s="3">
        <v>0.1212</v>
      </c>
      <c r="C198" s="3">
        <v>0.4</v>
      </c>
      <c r="D198" s="3">
        <v>0.5224</v>
      </c>
      <c r="E198" s="3">
        <v>2.0</v>
      </c>
      <c r="F198" s="3">
        <v>47.0</v>
      </c>
      <c r="G198" s="3">
        <v>49.0</v>
      </c>
      <c r="H198" s="8" t="str">
        <f t="shared" si="1"/>
        <v>Ok</v>
      </c>
      <c r="I198" s="8">
        <f t="shared" si="2"/>
        <v>0</v>
      </c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3">
        <v>198.0</v>
      </c>
      <c r="B199" s="3">
        <v>0.1364</v>
      </c>
      <c r="C199" s="3">
        <v>0.37</v>
      </c>
      <c r="D199" s="3">
        <v>0.4478</v>
      </c>
      <c r="E199" s="3">
        <v>4.0</v>
      </c>
      <c r="F199" s="3">
        <v>79.0</v>
      </c>
      <c r="G199" s="3">
        <v>83.0</v>
      </c>
      <c r="H199" s="8" t="str">
        <f t="shared" si="1"/>
        <v>Ok</v>
      </c>
      <c r="I199" s="8">
        <f t="shared" si="2"/>
        <v>0</v>
      </c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3">
        <v>199.0</v>
      </c>
      <c r="B200" s="3">
        <v>0.1667</v>
      </c>
      <c r="C200" s="3">
        <v>0.34</v>
      </c>
      <c r="D200" s="3">
        <v>0.4478</v>
      </c>
      <c r="E200" s="3">
        <v>6.0</v>
      </c>
      <c r="F200" s="3">
        <v>69.0</v>
      </c>
      <c r="G200" s="3">
        <v>75.0</v>
      </c>
      <c r="H200" s="8" t="str">
        <f t="shared" si="1"/>
        <v>Ok</v>
      </c>
      <c r="I200" s="8">
        <f t="shared" si="2"/>
        <v>0</v>
      </c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3">
        <v>200.0</v>
      </c>
      <c r="B201" s="3">
        <v>0.1818</v>
      </c>
      <c r="C201" s="3">
        <v>0.32</v>
      </c>
      <c r="D201" s="3">
        <v>0.4627</v>
      </c>
      <c r="E201" s="3">
        <v>8.0</v>
      </c>
      <c r="F201" s="3">
        <v>64.0</v>
      </c>
      <c r="G201" s="3">
        <v>72.0</v>
      </c>
      <c r="H201" s="8" t="str">
        <f t="shared" si="1"/>
        <v>Ok</v>
      </c>
      <c r="I201" s="8">
        <f t="shared" si="2"/>
        <v>0</v>
      </c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3">
        <v>201.0</v>
      </c>
      <c r="B202" s="3">
        <v>0.197</v>
      </c>
      <c r="C202" s="3">
        <v>0.35</v>
      </c>
      <c r="D202" s="3">
        <v>0.3582</v>
      </c>
      <c r="E202" s="3">
        <v>5.0</v>
      </c>
      <c r="F202" s="3">
        <v>77.0</v>
      </c>
      <c r="G202" s="3">
        <v>82.0</v>
      </c>
      <c r="H202" s="8" t="str">
        <f t="shared" si="1"/>
        <v>Ok</v>
      </c>
      <c r="I202" s="8">
        <f t="shared" si="2"/>
        <v>0</v>
      </c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3">
        <v>202.0</v>
      </c>
      <c r="B203" s="3">
        <v>0.1667</v>
      </c>
      <c r="C203" s="3">
        <v>0.34</v>
      </c>
      <c r="D203" s="3">
        <v>0.4478</v>
      </c>
      <c r="E203" s="3">
        <v>13.0</v>
      </c>
      <c r="F203" s="3">
        <v>79.0</v>
      </c>
      <c r="G203" s="3">
        <v>92.0</v>
      </c>
      <c r="H203" s="8" t="str">
        <f t="shared" si="1"/>
        <v>Ok</v>
      </c>
      <c r="I203" s="8">
        <f t="shared" si="2"/>
        <v>0</v>
      </c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3">
        <v>203.0</v>
      </c>
      <c r="B204" s="3">
        <v>0.1515</v>
      </c>
      <c r="C204" s="3">
        <v>0.37</v>
      </c>
      <c r="D204" s="3">
        <v>0.3881</v>
      </c>
      <c r="E204" s="3">
        <v>3.0</v>
      </c>
      <c r="F204" s="3">
        <v>59.0</v>
      </c>
      <c r="G204" s="3">
        <v>62.0</v>
      </c>
      <c r="H204" s="8" t="str">
        <f t="shared" si="1"/>
        <v>Ok</v>
      </c>
      <c r="I204" s="8">
        <f t="shared" si="2"/>
        <v>0</v>
      </c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3">
        <v>204.0</v>
      </c>
      <c r="B205" s="3">
        <v>0.1364</v>
      </c>
      <c r="C205" s="3">
        <v>0.4</v>
      </c>
      <c r="D205" s="3">
        <v>0.3284</v>
      </c>
      <c r="E205" s="3">
        <v>4.0</v>
      </c>
      <c r="F205" s="3">
        <v>44.0</v>
      </c>
      <c r="G205" s="3">
        <v>48.0</v>
      </c>
      <c r="H205" s="8" t="str">
        <f t="shared" si="1"/>
        <v>Ok</v>
      </c>
      <c r="I205" s="8">
        <f t="shared" si="2"/>
        <v>0</v>
      </c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3">
        <v>205.0</v>
      </c>
      <c r="B206" s="3">
        <v>0.1364</v>
      </c>
      <c r="C206" s="3">
        <v>0.43</v>
      </c>
      <c r="D206" s="3">
        <v>0.3284</v>
      </c>
      <c r="E206" s="3">
        <v>1.0</v>
      </c>
      <c r="F206" s="3">
        <v>40.0</v>
      </c>
      <c r="G206" s="3">
        <v>41.0</v>
      </c>
      <c r="H206" s="8" t="str">
        <f t="shared" si="1"/>
        <v>Ok</v>
      </c>
      <c r="I206" s="8">
        <f t="shared" si="2"/>
        <v>0</v>
      </c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3">
        <v>206.0</v>
      </c>
      <c r="B207" s="3">
        <v>0.1212</v>
      </c>
      <c r="C207" s="3">
        <v>0.46</v>
      </c>
      <c r="D207" s="3">
        <v>0.2537</v>
      </c>
      <c r="E207" s="3">
        <v>0.0</v>
      </c>
      <c r="F207" s="3">
        <v>38.0</v>
      </c>
      <c r="G207" s="3">
        <v>38.0</v>
      </c>
      <c r="H207" s="8" t="str">
        <f t="shared" si="1"/>
        <v>Ok</v>
      </c>
      <c r="I207" s="8">
        <f t="shared" si="2"/>
        <v>0</v>
      </c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3">
        <v>207.0</v>
      </c>
      <c r="B208" s="3">
        <v>0.1061</v>
      </c>
      <c r="C208" s="3">
        <v>0.46</v>
      </c>
      <c r="D208" s="3">
        <v>0.4179</v>
      </c>
      <c r="E208" s="3">
        <v>1.0</v>
      </c>
      <c r="F208" s="3">
        <v>19.0</v>
      </c>
      <c r="G208" s="3">
        <v>20.0</v>
      </c>
      <c r="H208" s="8" t="str">
        <f t="shared" si="1"/>
        <v>Ok</v>
      </c>
      <c r="I208" s="8">
        <f t="shared" si="2"/>
        <v>0</v>
      </c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3">
        <v>208.0</v>
      </c>
      <c r="B209" s="3">
        <v>0.1212</v>
      </c>
      <c r="C209" s="3">
        <v>0.46</v>
      </c>
      <c r="D209" s="3">
        <v>0.2985</v>
      </c>
      <c r="E209" s="3">
        <v>5.0</v>
      </c>
      <c r="F209" s="3">
        <v>10.0</v>
      </c>
      <c r="G209" s="3">
        <v>15.0</v>
      </c>
      <c r="H209" s="8" t="str">
        <f t="shared" si="1"/>
        <v>Ok</v>
      </c>
      <c r="I209" s="8">
        <f t="shared" si="2"/>
        <v>0</v>
      </c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3">
        <v>209.0</v>
      </c>
      <c r="B210" s="3">
        <v>0.1364</v>
      </c>
      <c r="C210" s="3">
        <v>0.5</v>
      </c>
      <c r="D210" s="3">
        <v>0.194</v>
      </c>
      <c r="E210" s="3">
        <v>0.0</v>
      </c>
      <c r="F210" s="3">
        <v>6.0</v>
      </c>
      <c r="G210" s="3">
        <v>6.0</v>
      </c>
      <c r="H210" s="8" t="str">
        <f t="shared" si="1"/>
        <v>Ok</v>
      </c>
      <c r="I210" s="8">
        <f t="shared" si="2"/>
        <v>0</v>
      </c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3">
        <v>210.0</v>
      </c>
      <c r="B211" s="3">
        <v>0.1212</v>
      </c>
      <c r="C211" s="3">
        <v>0.5</v>
      </c>
      <c r="D211" s="3">
        <v>0.2836</v>
      </c>
      <c r="E211" s="3">
        <v>2.0</v>
      </c>
      <c r="F211" s="3">
        <v>3.0</v>
      </c>
      <c r="G211" s="3">
        <v>5.0</v>
      </c>
      <c r="H211" s="8" t="str">
        <f t="shared" si="1"/>
        <v>Ok</v>
      </c>
      <c r="I211" s="8">
        <f t="shared" si="2"/>
        <v>0</v>
      </c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3">
        <v>211.0</v>
      </c>
      <c r="B212" s="3">
        <v>0.1212</v>
      </c>
      <c r="C212" s="3">
        <v>0.5</v>
      </c>
      <c r="D212" s="3">
        <v>0.2836</v>
      </c>
      <c r="E212" s="3">
        <v>1.0</v>
      </c>
      <c r="F212" s="3">
        <v>0.0</v>
      </c>
      <c r="G212" s="3">
        <v>1.0</v>
      </c>
      <c r="H212" s="8" t="str">
        <f t="shared" si="1"/>
        <v>Ok</v>
      </c>
      <c r="I212" s="8">
        <f t="shared" si="2"/>
        <v>0</v>
      </c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3">
        <v>212.0</v>
      </c>
      <c r="B213" s="3">
        <v>0.1212</v>
      </c>
      <c r="C213" s="3">
        <v>0.5</v>
      </c>
      <c r="D213" s="3">
        <v>0.2239</v>
      </c>
      <c r="E213" s="3">
        <v>0.0</v>
      </c>
      <c r="F213" s="3">
        <v>3.0</v>
      </c>
      <c r="G213" s="3">
        <v>3.0</v>
      </c>
      <c r="H213" s="8" t="str">
        <f t="shared" si="1"/>
        <v>Ok</v>
      </c>
      <c r="I213" s="8">
        <f t="shared" si="2"/>
        <v>0</v>
      </c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3">
        <v>213.0</v>
      </c>
      <c r="B214" s="3">
        <v>0.1212</v>
      </c>
      <c r="C214" s="3">
        <v>0.5</v>
      </c>
      <c r="D214" s="3">
        <v>0.2239</v>
      </c>
      <c r="E214" s="3">
        <v>0.0</v>
      </c>
      <c r="F214" s="3">
        <v>1.0</v>
      </c>
      <c r="G214" s="3">
        <v>1.0</v>
      </c>
      <c r="H214" s="8" t="str">
        <f t="shared" si="1"/>
        <v>Ok</v>
      </c>
      <c r="I214" s="8">
        <f t="shared" si="2"/>
        <v>0</v>
      </c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3">
        <v>214.0</v>
      </c>
      <c r="B215" s="3">
        <v>0.1212</v>
      </c>
      <c r="C215" s="3">
        <v>0.54</v>
      </c>
      <c r="D215" s="3">
        <v>0.1343</v>
      </c>
      <c r="E215" s="3">
        <v>1.0</v>
      </c>
      <c r="F215" s="3">
        <v>2.0</v>
      </c>
      <c r="G215" s="3">
        <v>3.0</v>
      </c>
      <c r="H215" s="8" t="str">
        <f t="shared" si="1"/>
        <v>Ok</v>
      </c>
      <c r="I215" s="8">
        <f t="shared" si="2"/>
        <v>0</v>
      </c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3">
        <v>215.0</v>
      </c>
      <c r="B216" s="3">
        <v>0.1061</v>
      </c>
      <c r="C216" s="3">
        <v>0.54</v>
      </c>
      <c r="D216" s="3">
        <v>0.2537</v>
      </c>
      <c r="E216" s="3">
        <v>0.0</v>
      </c>
      <c r="F216" s="3">
        <v>3.0</v>
      </c>
      <c r="G216" s="3">
        <v>3.0</v>
      </c>
      <c r="H216" s="8" t="str">
        <f t="shared" si="1"/>
        <v>Ok</v>
      </c>
      <c r="I216" s="8">
        <f t="shared" si="2"/>
        <v>0</v>
      </c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3">
        <v>216.0</v>
      </c>
      <c r="B217" s="3">
        <v>0.1212</v>
      </c>
      <c r="C217" s="3">
        <v>0.5</v>
      </c>
      <c r="D217" s="3">
        <v>0.2836</v>
      </c>
      <c r="E217" s="3">
        <v>0.0</v>
      </c>
      <c r="F217" s="3">
        <v>31.0</v>
      </c>
      <c r="G217" s="3">
        <v>31.0</v>
      </c>
      <c r="H217" s="8" t="str">
        <f t="shared" si="1"/>
        <v>Ok</v>
      </c>
      <c r="I217" s="8">
        <f t="shared" si="2"/>
        <v>0</v>
      </c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3">
        <v>217.0</v>
      </c>
      <c r="B218" s="3">
        <v>0.1212</v>
      </c>
      <c r="C218" s="3">
        <v>0.5</v>
      </c>
      <c r="D218" s="3">
        <v>0.2239</v>
      </c>
      <c r="E218" s="3">
        <v>2.0</v>
      </c>
      <c r="F218" s="3">
        <v>75.0</v>
      </c>
      <c r="G218" s="3">
        <v>77.0</v>
      </c>
      <c r="H218" s="8" t="str">
        <f t="shared" si="1"/>
        <v>Ok</v>
      </c>
      <c r="I218" s="8">
        <f t="shared" si="2"/>
        <v>0</v>
      </c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3">
        <v>218.0</v>
      </c>
      <c r="B219" s="3">
        <v>0.1212</v>
      </c>
      <c r="C219" s="3">
        <v>0.5</v>
      </c>
      <c r="D219" s="3">
        <v>0.2836</v>
      </c>
      <c r="E219" s="3">
        <v>4.0</v>
      </c>
      <c r="F219" s="3">
        <v>184.0</v>
      </c>
      <c r="G219" s="3">
        <v>188.0</v>
      </c>
      <c r="H219" s="8" t="str">
        <f t="shared" si="1"/>
        <v>Ok</v>
      </c>
      <c r="I219" s="8">
        <f t="shared" si="2"/>
        <v>0</v>
      </c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3">
        <v>219.0</v>
      </c>
      <c r="B220" s="3">
        <v>0.1212</v>
      </c>
      <c r="C220" s="3">
        <v>0.5</v>
      </c>
      <c r="D220" s="3">
        <v>0.2537</v>
      </c>
      <c r="E220" s="3">
        <v>2.0</v>
      </c>
      <c r="F220" s="3">
        <v>92.0</v>
      </c>
      <c r="G220" s="3">
        <v>94.0</v>
      </c>
      <c r="H220" s="8" t="str">
        <f t="shared" si="1"/>
        <v>Ok</v>
      </c>
      <c r="I220" s="8">
        <f t="shared" si="2"/>
        <v>0</v>
      </c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3">
        <v>220.0</v>
      </c>
      <c r="B221" s="3">
        <v>0.1212</v>
      </c>
      <c r="C221" s="3">
        <v>0.5</v>
      </c>
      <c r="D221" s="3">
        <v>0.2985</v>
      </c>
      <c r="E221" s="3">
        <v>0.0</v>
      </c>
      <c r="F221" s="3">
        <v>31.0</v>
      </c>
      <c r="G221" s="3">
        <v>31.0</v>
      </c>
      <c r="H221" s="8" t="str">
        <f t="shared" si="1"/>
        <v>Ok</v>
      </c>
      <c r="I221" s="8">
        <f t="shared" si="2"/>
        <v>0</v>
      </c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3">
        <v>221.0</v>
      </c>
      <c r="B222" s="3">
        <v>0.1364</v>
      </c>
      <c r="C222" s="3">
        <v>0.47</v>
      </c>
      <c r="D222" s="3">
        <v>0.2836</v>
      </c>
      <c r="E222" s="3">
        <v>2.0</v>
      </c>
      <c r="F222" s="3">
        <v>28.0</v>
      </c>
      <c r="G222" s="3">
        <v>30.0</v>
      </c>
      <c r="H222" s="8" t="str">
        <f t="shared" si="1"/>
        <v>Ok</v>
      </c>
      <c r="I222" s="8">
        <f t="shared" si="2"/>
        <v>0</v>
      </c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3">
        <v>222.0</v>
      </c>
      <c r="B223" s="3">
        <v>0.1818</v>
      </c>
      <c r="C223" s="3">
        <v>0.4</v>
      </c>
      <c r="D223" s="3">
        <v>0.2836</v>
      </c>
      <c r="E223" s="3">
        <v>5.0</v>
      </c>
      <c r="F223" s="3">
        <v>47.0</v>
      </c>
      <c r="G223" s="3">
        <v>52.0</v>
      </c>
      <c r="H223" s="8" t="str">
        <f t="shared" si="1"/>
        <v>Ok</v>
      </c>
      <c r="I223" s="8">
        <f t="shared" si="2"/>
        <v>0</v>
      </c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3">
        <v>223.0</v>
      </c>
      <c r="B224" s="3">
        <v>0.1818</v>
      </c>
      <c r="C224" s="3">
        <v>0.4</v>
      </c>
      <c r="D224" s="3">
        <v>0.2836</v>
      </c>
      <c r="E224" s="3">
        <v>4.0</v>
      </c>
      <c r="F224" s="3">
        <v>50.0</v>
      </c>
      <c r="G224" s="3">
        <v>54.0</v>
      </c>
      <c r="H224" s="8" t="str">
        <f t="shared" si="1"/>
        <v>Ok</v>
      </c>
      <c r="I224" s="8">
        <f t="shared" si="2"/>
        <v>0</v>
      </c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3">
        <v>224.0</v>
      </c>
      <c r="B225" s="3">
        <v>0.197</v>
      </c>
      <c r="C225" s="3">
        <v>0.4</v>
      </c>
      <c r="D225" s="3">
        <v>0.2239</v>
      </c>
      <c r="E225" s="3">
        <v>0.0</v>
      </c>
      <c r="F225" s="3">
        <v>47.0</v>
      </c>
      <c r="G225" s="3">
        <v>47.0</v>
      </c>
      <c r="H225" s="8" t="str">
        <f t="shared" si="1"/>
        <v>Ok</v>
      </c>
      <c r="I225" s="8">
        <f t="shared" si="2"/>
        <v>0</v>
      </c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3">
        <v>225.0</v>
      </c>
      <c r="B226" s="3">
        <v>0.197</v>
      </c>
      <c r="C226" s="3">
        <v>0.4</v>
      </c>
      <c r="D226" s="3">
        <v>0.2239</v>
      </c>
      <c r="E226" s="3">
        <v>2.0</v>
      </c>
      <c r="F226" s="3">
        <v>43.0</v>
      </c>
      <c r="G226" s="3">
        <v>45.0</v>
      </c>
      <c r="H226" s="8" t="str">
        <f t="shared" si="1"/>
        <v>Ok</v>
      </c>
      <c r="I226" s="8">
        <f t="shared" si="2"/>
        <v>0</v>
      </c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3">
        <v>226.0</v>
      </c>
      <c r="B227" s="3">
        <v>0.2121</v>
      </c>
      <c r="C227" s="3">
        <v>0.4</v>
      </c>
      <c r="D227" s="3">
        <v>0.1343</v>
      </c>
      <c r="E227" s="3">
        <v>4.0</v>
      </c>
      <c r="F227" s="3">
        <v>70.0</v>
      </c>
      <c r="G227" s="3">
        <v>74.0</v>
      </c>
      <c r="H227" s="8" t="str">
        <f t="shared" si="1"/>
        <v>Ok</v>
      </c>
      <c r="I227" s="8">
        <f t="shared" si="2"/>
        <v>0</v>
      </c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3">
        <v>227.0</v>
      </c>
      <c r="B228" s="3">
        <v>0.2273</v>
      </c>
      <c r="C228" s="3">
        <v>0.4</v>
      </c>
      <c r="D228" s="3">
        <v>0.1045</v>
      </c>
      <c r="E228" s="3">
        <v>4.0</v>
      </c>
      <c r="F228" s="3">
        <v>174.0</v>
      </c>
      <c r="G228" s="3">
        <v>178.0</v>
      </c>
      <c r="H228" s="8" t="str">
        <f t="shared" si="1"/>
        <v>Ok</v>
      </c>
      <c r="I228" s="8">
        <f t="shared" si="2"/>
        <v>0</v>
      </c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3">
        <v>228.0</v>
      </c>
      <c r="B229" s="3">
        <v>0.197</v>
      </c>
      <c r="C229" s="3">
        <v>0.4</v>
      </c>
      <c r="D229" s="3">
        <v>0.2239</v>
      </c>
      <c r="E229" s="3">
        <v>1.0</v>
      </c>
      <c r="F229" s="3">
        <v>154.0</v>
      </c>
      <c r="G229" s="3">
        <v>155.0</v>
      </c>
      <c r="H229" s="8" t="str">
        <f t="shared" si="1"/>
        <v>Ok</v>
      </c>
      <c r="I229" s="8">
        <f t="shared" si="2"/>
        <v>0</v>
      </c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3">
        <v>229.0</v>
      </c>
      <c r="B230" s="3">
        <v>0.1667</v>
      </c>
      <c r="C230" s="3">
        <v>0.47</v>
      </c>
      <c r="D230" s="3">
        <v>0.1642</v>
      </c>
      <c r="E230" s="3">
        <v>3.0</v>
      </c>
      <c r="F230" s="3">
        <v>92.0</v>
      </c>
      <c r="G230" s="3">
        <v>95.0</v>
      </c>
      <c r="H230" s="8" t="str">
        <f t="shared" si="1"/>
        <v>Ok</v>
      </c>
      <c r="I230" s="8">
        <f t="shared" si="2"/>
        <v>0</v>
      </c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3">
        <v>230.0</v>
      </c>
      <c r="B231" s="3">
        <v>0.1667</v>
      </c>
      <c r="C231" s="3">
        <v>0.5</v>
      </c>
      <c r="D231" s="3">
        <v>0.1642</v>
      </c>
      <c r="E231" s="3">
        <v>1.0</v>
      </c>
      <c r="F231" s="3">
        <v>73.0</v>
      </c>
      <c r="G231" s="3">
        <v>74.0</v>
      </c>
      <c r="H231" s="8" t="str">
        <f t="shared" si="1"/>
        <v>Ok</v>
      </c>
      <c r="I231" s="8">
        <f t="shared" si="2"/>
        <v>0</v>
      </c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3">
        <v>231.0</v>
      </c>
      <c r="B232" s="3">
        <v>0.1364</v>
      </c>
      <c r="C232" s="3">
        <v>0.59</v>
      </c>
      <c r="D232" s="3">
        <v>0.194</v>
      </c>
      <c r="E232" s="3">
        <v>1.0</v>
      </c>
      <c r="F232" s="3">
        <v>37.0</v>
      </c>
      <c r="G232" s="3">
        <v>38.0</v>
      </c>
      <c r="H232" s="8" t="str">
        <f t="shared" si="1"/>
        <v>Ok</v>
      </c>
      <c r="I232" s="8">
        <f t="shared" si="2"/>
        <v>0</v>
      </c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3">
        <v>232.0</v>
      </c>
      <c r="B233" s="3">
        <v>0.1515</v>
      </c>
      <c r="C233" s="3">
        <v>0.59</v>
      </c>
      <c r="D233" s="3">
        <v>0.1642</v>
      </c>
      <c r="E233" s="3">
        <v>2.0</v>
      </c>
      <c r="F233" s="3">
        <v>22.0</v>
      </c>
      <c r="G233" s="3">
        <v>24.0</v>
      </c>
      <c r="H233" s="8" t="str">
        <f t="shared" si="1"/>
        <v>Ok</v>
      </c>
      <c r="I233" s="8">
        <f t="shared" si="2"/>
        <v>0</v>
      </c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3">
        <v>233.0</v>
      </c>
      <c r="B234" s="3">
        <v>0.1515</v>
      </c>
      <c r="C234" s="3">
        <v>0.59</v>
      </c>
      <c r="D234" s="3">
        <v>0.1642</v>
      </c>
      <c r="E234" s="3">
        <v>0.0</v>
      </c>
      <c r="F234" s="3">
        <v>18.0</v>
      </c>
      <c r="G234" s="3">
        <v>18.0</v>
      </c>
      <c r="H234" s="8" t="str">
        <f t="shared" si="1"/>
        <v>Ok</v>
      </c>
      <c r="I234" s="8">
        <f t="shared" si="2"/>
        <v>0</v>
      </c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3">
        <v>234.0</v>
      </c>
      <c r="B235" s="3">
        <v>0.1667</v>
      </c>
      <c r="C235" s="3">
        <v>0.59</v>
      </c>
      <c r="D235" s="3">
        <v>0.1045</v>
      </c>
      <c r="E235" s="3">
        <v>2.0</v>
      </c>
      <c r="F235" s="3">
        <v>10.0</v>
      </c>
      <c r="G235" s="3">
        <v>12.0</v>
      </c>
      <c r="H235" s="8" t="str">
        <f t="shared" si="1"/>
        <v>Ok</v>
      </c>
      <c r="I235" s="8">
        <f t="shared" si="2"/>
        <v>0</v>
      </c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3">
        <v>235.0</v>
      </c>
      <c r="B236" s="3">
        <v>0.1515</v>
      </c>
      <c r="C236" s="3">
        <v>0.59</v>
      </c>
      <c r="D236" s="3">
        <v>0.1642</v>
      </c>
      <c r="E236" s="3">
        <v>0.0</v>
      </c>
      <c r="F236" s="3">
        <v>3.0</v>
      </c>
      <c r="G236" s="3">
        <v>3.0</v>
      </c>
      <c r="H236" s="8" t="str">
        <f t="shared" si="1"/>
        <v>Ok</v>
      </c>
      <c r="I236" s="8">
        <f t="shared" si="2"/>
        <v>0</v>
      </c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3">
        <v>236.0</v>
      </c>
      <c r="B237" s="3">
        <v>0.1515</v>
      </c>
      <c r="C237" s="3">
        <v>0.55</v>
      </c>
      <c r="D237" s="3">
        <v>0.194</v>
      </c>
      <c r="E237" s="3">
        <v>0.0</v>
      </c>
      <c r="F237" s="3">
        <v>3.0</v>
      </c>
      <c r="G237" s="3">
        <v>3.0</v>
      </c>
      <c r="H237" s="8" t="str">
        <f t="shared" si="1"/>
        <v>Ok</v>
      </c>
      <c r="I237" s="8">
        <f t="shared" si="2"/>
        <v>0</v>
      </c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3">
        <v>237.0</v>
      </c>
      <c r="B238" s="3">
        <v>0.1818</v>
      </c>
      <c r="C238" s="3">
        <v>0.55</v>
      </c>
      <c r="D238" s="3">
        <v>0.1343</v>
      </c>
      <c r="E238" s="3">
        <v>0.0</v>
      </c>
      <c r="F238" s="3">
        <v>6.0</v>
      </c>
      <c r="G238" s="3">
        <v>6.0</v>
      </c>
      <c r="H238" s="8" t="str">
        <f t="shared" si="1"/>
        <v>Ok</v>
      </c>
      <c r="I238" s="8">
        <f t="shared" si="2"/>
        <v>0</v>
      </c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3">
        <v>238.0</v>
      </c>
      <c r="B239" s="3">
        <v>0.1818</v>
      </c>
      <c r="C239" s="3">
        <v>0.55</v>
      </c>
      <c r="D239" s="3">
        <v>0.1343</v>
      </c>
      <c r="E239" s="3">
        <v>0.0</v>
      </c>
      <c r="F239" s="3">
        <v>27.0</v>
      </c>
      <c r="G239" s="3">
        <v>27.0</v>
      </c>
      <c r="H239" s="8" t="str">
        <f t="shared" si="1"/>
        <v>Ok</v>
      </c>
      <c r="I239" s="8">
        <f t="shared" si="2"/>
        <v>0</v>
      </c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3">
        <v>239.0</v>
      </c>
      <c r="B240" s="3">
        <v>0.2273</v>
      </c>
      <c r="C240" s="3">
        <v>0.55</v>
      </c>
      <c r="D240" s="3">
        <v>0.0</v>
      </c>
      <c r="E240" s="3">
        <v>2.0</v>
      </c>
      <c r="F240" s="3">
        <v>97.0</v>
      </c>
      <c r="G240" s="3">
        <v>99.0</v>
      </c>
      <c r="H240" s="8" t="str">
        <f t="shared" si="1"/>
        <v>Ok</v>
      </c>
      <c r="I240" s="8">
        <f t="shared" si="2"/>
        <v>0</v>
      </c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3">
        <v>240.0</v>
      </c>
      <c r="B241" s="3">
        <v>0.2121</v>
      </c>
      <c r="C241" s="3">
        <v>0.51</v>
      </c>
      <c r="D241" s="3">
        <v>0.0896</v>
      </c>
      <c r="E241" s="3">
        <v>3.0</v>
      </c>
      <c r="F241" s="3">
        <v>214.0</v>
      </c>
      <c r="G241" s="3">
        <v>217.0</v>
      </c>
      <c r="H241" s="8" t="str">
        <f t="shared" si="1"/>
        <v>Ok</v>
      </c>
      <c r="I241" s="8">
        <f t="shared" si="2"/>
        <v>0</v>
      </c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3">
        <v>241.0</v>
      </c>
      <c r="B242" s="3">
        <v>0.197</v>
      </c>
      <c r="C242" s="3">
        <v>0.51</v>
      </c>
      <c r="D242" s="3">
        <v>0.1642</v>
      </c>
      <c r="E242" s="3">
        <v>3.0</v>
      </c>
      <c r="F242" s="3">
        <v>127.0</v>
      </c>
      <c r="G242" s="3">
        <v>130.0</v>
      </c>
      <c r="H242" s="8" t="str">
        <f t="shared" si="1"/>
        <v>Ok</v>
      </c>
      <c r="I242" s="8">
        <f t="shared" si="2"/>
        <v>0</v>
      </c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3">
        <v>242.0</v>
      </c>
      <c r="B243" s="3">
        <v>0.2121</v>
      </c>
      <c r="C243" s="3">
        <v>0.51</v>
      </c>
      <c r="D243" s="3">
        <v>0.1642</v>
      </c>
      <c r="E243" s="3">
        <v>3.0</v>
      </c>
      <c r="F243" s="3">
        <v>51.0</v>
      </c>
      <c r="G243" s="3">
        <v>54.0</v>
      </c>
      <c r="H243" s="8" t="str">
        <f t="shared" si="1"/>
        <v>Ok</v>
      </c>
      <c r="I243" s="8">
        <f t="shared" si="2"/>
        <v>0</v>
      </c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3">
        <v>243.0</v>
      </c>
      <c r="B244" s="3">
        <v>0.2121</v>
      </c>
      <c r="C244" s="3">
        <v>0.47</v>
      </c>
      <c r="D244" s="3">
        <v>0.1343</v>
      </c>
      <c r="E244" s="3">
        <v>4.0</v>
      </c>
      <c r="F244" s="3">
        <v>31.0</v>
      </c>
      <c r="G244" s="3">
        <v>35.0</v>
      </c>
      <c r="H244" s="8" t="str">
        <f t="shared" si="1"/>
        <v>Ok</v>
      </c>
      <c r="I244" s="8">
        <f t="shared" si="2"/>
        <v>0</v>
      </c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3">
        <v>244.0</v>
      </c>
      <c r="B245" s="3">
        <v>0.2273</v>
      </c>
      <c r="C245" s="3">
        <v>0.51</v>
      </c>
      <c r="D245" s="3">
        <v>0.1045</v>
      </c>
      <c r="E245" s="3">
        <v>2.0</v>
      </c>
      <c r="F245" s="3">
        <v>55.0</v>
      </c>
      <c r="G245" s="3">
        <v>57.0</v>
      </c>
      <c r="H245" s="8" t="str">
        <f t="shared" si="1"/>
        <v>Ok</v>
      </c>
      <c r="I245" s="8">
        <f t="shared" si="2"/>
        <v>0</v>
      </c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3">
        <v>245.0</v>
      </c>
      <c r="B246" s="3">
        <v>0.2273</v>
      </c>
      <c r="C246" s="3">
        <v>0.59</v>
      </c>
      <c r="D246" s="3">
        <v>0.0896</v>
      </c>
      <c r="E246" s="3">
        <v>6.0</v>
      </c>
      <c r="F246" s="3">
        <v>46.0</v>
      </c>
      <c r="G246" s="3">
        <v>52.0</v>
      </c>
      <c r="H246" s="8" t="str">
        <f t="shared" si="1"/>
        <v>Ok</v>
      </c>
      <c r="I246" s="8">
        <f t="shared" si="2"/>
        <v>0</v>
      </c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3">
        <v>246.0</v>
      </c>
      <c r="B247" s="3">
        <v>0.2273</v>
      </c>
      <c r="C247" s="3">
        <v>0.59</v>
      </c>
      <c r="D247" s="3">
        <v>0.0896</v>
      </c>
      <c r="E247" s="3">
        <v>3.0</v>
      </c>
      <c r="F247" s="3">
        <v>60.0</v>
      </c>
      <c r="G247" s="3">
        <v>63.0</v>
      </c>
      <c r="H247" s="8" t="str">
        <f t="shared" si="1"/>
        <v>Ok</v>
      </c>
      <c r="I247" s="8">
        <f t="shared" si="2"/>
        <v>0</v>
      </c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3">
        <v>247.0</v>
      </c>
      <c r="B248" s="3">
        <v>0.197</v>
      </c>
      <c r="C248" s="3">
        <v>0.8</v>
      </c>
      <c r="D248" s="3">
        <v>0.0896</v>
      </c>
      <c r="E248" s="3">
        <v>2.0</v>
      </c>
      <c r="F248" s="3">
        <v>45.0</v>
      </c>
      <c r="G248" s="3">
        <v>47.0</v>
      </c>
      <c r="H248" s="8" t="str">
        <f t="shared" si="1"/>
        <v>Ok</v>
      </c>
      <c r="I248" s="8">
        <f t="shared" si="2"/>
        <v>0</v>
      </c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3">
        <v>248.0</v>
      </c>
      <c r="B249" s="3">
        <v>0.1515</v>
      </c>
      <c r="C249" s="3">
        <v>0.86</v>
      </c>
      <c r="D249" s="3">
        <v>0.2239</v>
      </c>
      <c r="E249" s="3">
        <v>4.0</v>
      </c>
      <c r="F249" s="3">
        <v>72.0</v>
      </c>
      <c r="G249" s="3">
        <v>76.0</v>
      </c>
      <c r="H249" s="8" t="str">
        <f t="shared" si="1"/>
        <v>Ok</v>
      </c>
      <c r="I249" s="8">
        <f t="shared" si="2"/>
        <v>0</v>
      </c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3">
        <v>249.0</v>
      </c>
      <c r="B250" s="3">
        <v>0.1515</v>
      </c>
      <c r="C250" s="3">
        <v>0.86</v>
      </c>
      <c r="D250" s="3">
        <v>0.2239</v>
      </c>
      <c r="E250" s="3">
        <v>6.0</v>
      </c>
      <c r="F250" s="3">
        <v>130.0</v>
      </c>
      <c r="G250" s="3">
        <v>136.0</v>
      </c>
      <c r="H250" s="8" t="str">
        <f t="shared" si="1"/>
        <v>Ok</v>
      </c>
      <c r="I250" s="8">
        <f t="shared" si="2"/>
        <v>0</v>
      </c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3">
        <v>250.0</v>
      </c>
      <c r="B251" s="3">
        <v>0.1818</v>
      </c>
      <c r="C251" s="3">
        <v>0.93</v>
      </c>
      <c r="D251" s="3">
        <v>0.1045</v>
      </c>
      <c r="E251" s="3">
        <v>1.0</v>
      </c>
      <c r="F251" s="3">
        <v>94.0</v>
      </c>
      <c r="G251" s="3">
        <v>95.0</v>
      </c>
      <c r="H251" s="8" t="str">
        <f t="shared" si="1"/>
        <v>Ok</v>
      </c>
      <c r="I251" s="8">
        <f t="shared" si="2"/>
        <v>0</v>
      </c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3">
        <v>251.0</v>
      </c>
      <c r="B252" s="3">
        <v>0.2273</v>
      </c>
      <c r="C252" s="3">
        <v>0.93</v>
      </c>
      <c r="D252" s="3">
        <v>0.0</v>
      </c>
      <c r="E252" s="3">
        <v>0.0</v>
      </c>
      <c r="F252" s="3">
        <v>51.0</v>
      </c>
      <c r="G252" s="3">
        <v>51.0</v>
      </c>
      <c r="H252" s="8" t="str">
        <f t="shared" si="1"/>
        <v>Ok</v>
      </c>
      <c r="I252" s="8">
        <f t="shared" si="2"/>
        <v>0</v>
      </c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3">
        <v>252.0</v>
      </c>
      <c r="B253" s="3">
        <v>0.1515</v>
      </c>
      <c r="C253" s="3">
        <v>0.93</v>
      </c>
      <c r="D253" s="3">
        <v>0.194</v>
      </c>
      <c r="E253" s="3">
        <v>0.0</v>
      </c>
      <c r="F253" s="3">
        <v>32.0</v>
      </c>
      <c r="G253" s="3">
        <v>32.0</v>
      </c>
      <c r="H253" s="8" t="str">
        <f t="shared" si="1"/>
        <v>Ok</v>
      </c>
      <c r="I253" s="8">
        <f t="shared" si="2"/>
        <v>0</v>
      </c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3">
        <v>253.0</v>
      </c>
      <c r="B254" s="3">
        <v>0.197</v>
      </c>
      <c r="C254" s="3">
        <v>0.86</v>
      </c>
      <c r="D254" s="3">
        <v>0.0896</v>
      </c>
      <c r="E254" s="3">
        <v>0.0</v>
      </c>
      <c r="F254" s="3">
        <v>20.0</v>
      </c>
      <c r="G254" s="3">
        <v>20.0</v>
      </c>
      <c r="H254" s="8" t="str">
        <f t="shared" si="1"/>
        <v>Ok</v>
      </c>
      <c r="I254" s="8">
        <f t="shared" si="2"/>
        <v>0</v>
      </c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3">
        <v>254.0</v>
      </c>
      <c r="B255" s="3">
        <v>0.1818</v>
      </c>
      <c r="C255" s="3">
        <v>0.93</v>
      </c>
      <c r="D255" s="3">
        <v>0.1045</v>
      </c>
      <c r="E255" s="3">
        <v>1.0</v>
      </c>
      <c r="F255" s="3">
        <v>28.0</v>
      </c>
      <c r="G255" s="3">
        <v>29.0</v>
      </c>
      <c r="H255" s="8" t="str">
        <f t="shared" si="1"/>
        <v>Ok</v>
      </c>
      <c r="I255" s="8">
        <f t="shared" si="2"/>
        <v>0</v>
      </c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3">
        <v>255.0</v>
      </c>
      <c r="B256" s="3">
        <v>0.197</v>
      </c>
      <c r="C256" s="3">
        <v>0.93</v>
      </c>
      <c r="D256" s="3">
        <v>0.0896</v>
      </c>
      <c r="E256" s="3">
        <v>1.0</v>
      </c>
      <c r="F256" s="3">
        <v>18.0</v>
      </c>
      <c r="G256" s="3">
        <v>19.0</v>
      </c>
      <c r="H256" s="8" t="str">
        <f t="shared" si="1"/>
        <v>Ok</v>
      </c>
      <c r="I256" s="8">
        <f t="shared" si="2"/>
        <v>0</v>
      </c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3">
        <v>256.0</v>
      </c>
      <c r="B257" s="3">
        <v>0.197</v>
      </c>
      <c r="C257" s="3">
        <v>0.86</v>
      </c>
      <c r="D257" s="3">
        <v>0.0896</v>
      </c>
      <c r="E257" s="3">
        <v>0.0</v>
      </c>
      <c r="F257" s="3">
        <v>7.0</v>
      </c>
      <c r="G257" s="3">
        <v>7.0</v>
      </c>
      <c r="H257" s="8" t="str">
        <f t="shared" si="1"/>
        <v>Ok</v>
      </c>
      <c r="I257" s="8">
        <f t="shared" si="2"/>
        <v>0</v>
      </c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3">
        <v>257.0</v>
      </c>
      <c r="B258" s="3">
        <v>0.1818</v>
      </c>
      <c r="C258" s="3">
        <v>0.86</v>
      </c>
      <c r="D258" s="3">
        <v>0.1045</v>
      </c>
      <c r="E258" s="3">
        <v>0.0</v>
      </c>
      <c r="F258" s="3">
        <v>6.0</v>
      </c>
      <c r="G258" s="3">
        <v>6.0</v>
      </c>
      <c r="H258" s="8" t="str">
        <f t="shared" si="1"/>
        <v>Ok</v>
      </c>
      <c r="I258" s="8">
        <f t="shared" si="2"/>
        <v>0</v>
      </c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3">
        <v>258.0</v>
      </c>
      <c r="B259" s="3">
        <v>0.1515</v>
      </c>
      <c r="C259" s="3">
        <v>0.86</v>
      </c>
      <c r="D259" s="3">
        <v>0.1343</v>
      </c>
      <c r="E259" s="3">
        <v>0.0</v>
      </c>
      <c r="F259" s="3">
        <v>1.0</v>
      </c>
      <c r="G259" s="3">
        <v>1.0</v>
      </c>
      <c r="H259" s="8" t="str">
        <f t="shared" si="1"/>
        <v>Ok</v>
      </c>
      <c r="I259" s="8">
        <f t="shared" si="2"/>
        <v>0</v>
      </c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3">
        <v>259.0</v>
      </c>
      <c r="B260" s="3">
        <v>0.1515</v>
      </c>
      <c r="C260" s="3">
        <v>0.86</v>
      </c>
      <c r="D260" s="3">
        <v>0.1642</v>
      </c>
      <c r="E260" s="3">
        <v>0.0</v>
      </c>
      <c r="F260" s="3">
        <v>5.0</v>
      </c>
      <c r="G260" s="3">
        <v>5.0</v>
      </c>
      <c r="H260" s="8" t="str">
        <f t="shared" si="1"/>
        <v>Ok</v>
      </c>
      <c r="I260" s="8">
        <f t="shared" si="2"/>
        <v>0</v>
      </c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3">
        <v>260.0</v>
      </c>
      <c r="B261" s="3">
        <v>0.1515</v>
      </c>
      <c r="C261" s="3">
        <v>0.93</v>
      </c>
      <c r="D261" s="3">
        <v>0.1343</v>
      </c>
      <c r="E261" s="3">
        <v>0.0</v>
      </c>
      <c r="F261" s="3">
        <v>16.0</v>
      </c>
      <c r="G261" s="3">
        <v>16.0</v>
      </c>
      <c r="H261" s="8" t="str">
        <f t="shared" si="1"/>
        <v>Ok</v>
      </c>
      <c r="I261" s="8">
        <f t="shared" si="2"/>
        <v>0</v>
      </c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3">
        <v>261.0</v>
      </c>
      <c r="B262" s="3">
        <v>0.1515</v>
      </c>
      <c r="C262" s="3">
        <v>0.69</v>
      </c>
      <c r="D262" s="3">
        <v>0.1343</v>
      </c>
      <c r="E262" s="3">
        <v>0.0</v>
      </c>
      <c r="F262" s="3">
        <v>54.0</v>
      </c>
      <c r="G262" s="3">
        <v>54.0</v>
      </c>
      <c r="H262" s="8" t="str">
        <f t="shared" si="1"/>
        <v>Ok</v>
      </c>
      <c r="I262" s="8">
        <f t="shared" si="2"/>
        <v>0</v>
      </c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3">
        <v>262.0</v>
      </c>
      <c r="B263" s="3">
        <v>0.1667</v>
      </c>
      <c r="C263" s="3">
        <v>0.59</v>
      </c>
      <c r="D263" s="3">
        <v>0.1642</v>
      </c>
      <c r="E263" s="3">
        <v>3.0</v>
      </c>
      <c r="F263" s="3">
        <v>125.0</v>
      </c>
      <c r="G263" s="3">
        <v>128.0</v>
      </c>
      <c r="H263" s="8" t="str">
        <f t="shared" si="1"/>
        <v>Ok</v>
      </c>
      <c r="I263" s="8">
        <f t="shared" si="2"/>
        <v>0</v>
      </c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3">
        <v>263.0</v>
      </c>
      <c r="B264" s="3">
        <v>0.1364</v>
      </c>
      <c r="C264" s="3">
        <v>0.59</v>
      </c>
      <c r="D264" s="3">
        <v>0.3284</v>
      </c>
      <c r="E264" s="3">
        <v>3.0</v>
      </c>
      <c r="F264" s="3">
        <v>78.0</v>
      </c>
      <c r="G264" s="3">
        <v>81.0</v>
      </c>
      <c r="H264" s="8" t="str">
        <f t="shared" si="1"/>
        <v>Ok</v>
      </c>
      <c r="I264" s="8">
        <f t="shared" si="2"/>
        <v>0</v>
      </c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3">
        <v>264.0</v>
      </c>
      <c r="B265" s="3">
        <v>0.1818</v>
      </c>
      <c r="C265" s="3">
        <v>0.55</v>
      </c>
      <c r="D265" s="3">
        <v>0.2239</v>
      </c>
      <c r="E265" s="3">
        <v>0.0</v>
      </c>
      <c r="F265" s="3">
        <v>39.0</v>
      </c>
      <c r="G265" s="3">
        <v>39.0</v>
      </c>
      <c r="H265" s="8" t="str">
        <f t="shared" si="1"/>
        <v>Ok</v>
      </c>
      <c r="I265" s="8">
        <f t="shared" si="2"/>
        <v>0</v>
      </c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3">
        <v>265.0</v>
      </c>
      <c r="B266" s="3">
        <v>0.1818</v>
      </c>
      <c r="C266" s="3">
        <v>0.51</v>
      </c>
      <c r="D266" s="3">
        <v>0.3881</v>
      </c>
      <c r="E266" s="3">
        <v>3.0</v>
      </c>
      <c r="F266" s="3">
        <v>32.0</v>
      </c>
      <c r="G266" s="3">
        <v>35.0</v>
      </c>
      <c r="H266" s="8" t="str">
        <f t="shared" si="1"/>
        <v>Ok</v>
      </c>
      <c r="I266" s="8">
        <f t="shared" si="2"/>
        <v>0</v>
      </c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3">
        <v>266.0</v>
      </c>
      <c r="B267" s="3">
        <v>0.1515</v>
      </c>
      <c r="C267" s="3">
        <v>0.47</v>
      </c>
      <c r="D267" s="3">
        <v>0.5821</v>
      </c>
      <c r="E267" s="3">
        <v>3.0</v>
      </c>
      <c r="F267" s="3">
        <v>52.0</v>
      </c>
      <c r="G267" s="3">
        <v>55.0</v>
      </c>
      <c r="H267" s="8" t="str">
        <f t="shared" si="1"/>
        <v>Ok</v>
      </c>
      <c r="I267" s="8">
        <f t="shared" si="2"/>
        <v>0</v>
      </c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3">
        <v>267.0</v>
      </c>
      <c r="B268" s="3">
        <v>0.197</v>
      </c>
      <c r="C268" s="3">
        <v>0.44</v>
      </c>
      <c r="D268" s="3">
        <v>0.3582</v>
      </c>
      <c r="E268" s="3">
        <v>0.0</v>
      </c>
      <c r="F268" s="3">
        <v>49.0</v>
      </c>
      <c r="G268" s="3">
        <v>49.0</v>
      </c>
      <c r="H268" s="8" t="str">
        <f t="shared" si="1"/>
        <v>Ok</v>
      </c>
      <c r="I268" s="8">
        <f t="shared" si="2"/>
        <v>0</v>
      </c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3">
        <v>268.0</v>
      </c>
      <c r="B269" s="3">
        <v>0.1818</v>
      </c>
      <c r="C269" s="3">
        <v>0.47</v>
      </c>
      <c r="D269" s="3">
        <v>0.3284</v>
      </c>
      <c r="E269" s="3">
        <v>0.0</v>
      </c>
      <c r="F269" s="3">
        <v>44.0</v>
      </c>
      <c r="G269" s="3">
        <v>44.0</v>
      </c>
      <c r="H269" s="8" t="str">
        <f t="shared" si="1"/>
        <v>Ok</v>
      </c>
      <c r="I269" s="8">
        <f t="shared" si="2"/>
        <v>0</v>
      </c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3">
        <v>269.0</v>
      </c>
      <c r="B270" s="3">
        <v>0.1667</v>
      </c>
      <c r="C270" s="3">
        <v>0.47</v>
      </c>
      <c r="D270" s="3">
        <v>0.4179</v>
      </c>
      <c r="E270" s="3">
        <v>1.0</v>
      </c>
      <c r="F270" s="3">
        <v>48.0</v>
      </c>
      <c r="G270" s="3">
        <v>49.0</v>
      </c>
      <c r="H270" s="8" t="str">
        <f t="shared" si="1"/>
        <v>Ok</v>
      </c>
      <c r="I270" s="8">
        <f t="shared" si="2"/>
        <v>0</v>
      </c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3">
        <v>270.0</v>
      </c>
      <c r="B271" s="3">
        <v>0.197</v>
      </c>
      <c r="C271" s="3">
        <v>0.44</v>
      </c>
      <c r="D271" s="3">
        <v>0.3284</v>
      </c>
      <c r="E271" s="3">
        <v>5.0</v>
      </c>
      <c r="F271" s="3">
        <v>63.0</v>
      </c>
      <c r="G271" s="3">
        <v>68.0</v>
      </c>
      <c r="H271" s="8" t="str">
        <f t="shared" si="1"/>
        <v>Ok</v>
      </c>
      <c r="I271" s="8">
        <f t="shared" si="2"/>
        <v>0</v>
      </c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3">
        <v>271.0</v>
      </c>
      <c r="B272" s="3">
        <v>0.1818</v>
      </c>
      <c r="C272" s="3">
        <v>0.47</v>
      </c>
      <c r="D272" s="3">
        <v>0.3582</v>
      </c>
      <c r="E272" s="3">
        <v>0.0</v>
      </c>
      <c r="F272" s="3">
        <v>139.0</v>
      </c>
      <c r="G272" s="3">
        <v>139.0</v>
      </c>
      <c r="H272" s="8" t="str">
        <f t="shared" si="1"/>
        <v>Ok</v>
      </c>
      <c r="I272" s="8">
        <f t="shared" si="2"/>
        <v>0</v>
      </c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3">
        <v>272.0</v>
      </c>
      <c r="B273" s="3">
        <v>0.1515</v>
      </c>
      <c r="C273" s="3">
        <v>0.47</v>
      </c>
      <c r="D273" s="3">
        <v>0.5224</v>
      </c>
      <c r="E273" s="3">
        <v>2.0</v>
      </c>
      <c r="F273" s="3">
        <v>135.0</v>
      </c>
      <c r="G273" s="3">
        <v>137.0</v>
      </c>
      <c r="H273" s="8" t="str">
        <f t="shared" si="1"/>
        <v>Ok</v>
      </c>
      <c r="I273" s="8">
        <f t="shared" si="2"/>
        <v>0</v>
      </c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3">
        <v>273.0</v>
      </c>
      <c r="B274" s="3">
        <v>0.1515</v>
      </c>
      <c r="C274" s="3">
        <v>0.47</v>
      </c>
      <c r="D274" s="3">
        <v>0.4179</v>
      </c>
      <c r="E274" s="3">
        <v>1.0</v>
      </c>
      <c r="F274" s="3">
        <v>82.0</v>
      </c>
      <c r="G274" s="3">
        <v>83.0</v>
      </c>
      <c r="H274" s="8" t="str">
        <f t="shared" si="1"/>
        <v>Ok</v>
      </c>
      <c r="I274" s="8">
        <f t="shared" si="2"/>
        <v>0</v>
      </c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3">
        <v>274.0</v>
      </c>
      <c r="B275" s="3">
        <v>0.1364</v>
      </c>
      <c r="C275" s="3">
        <v>0.5</v>
      </c>
      <c r="D275" s="3">
        <v>0.3284</v>
      </c>
      <c r="E275" s="3">
        <v>2.0</v>
      </c>
      <c r="F275" s="3">
        <v>54.0</v>
      </c>
      <c r="G275" s="3">
        <v>56.0</v>
      </c>
      <c r="H275" s="8" t="str">
        <f t="shared" si="1"/>
        <v>Ok</v>
      </c>
      <c r="I275" s="8">
        <f t="shared" si="2"/>
        <v>0</v>
      </c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3">
        <v>275.0</v>
      </c>
      <c r="B276" s="3">
        <v>0.1364</v>
      </c>
      <c r="C276" s="3">
        <v>0.55</v>
      </c>
      <c r="D276" s="3">
        <v>0.3284</v>
      </c>
      <c r="E276" s="3">
        <v>0.0</v>
      </c>
      <c r="F276" s="3">
        <v>57.0</v>
      </c>
      <c r="G276" s="3">
        <v>57.0</v>
      </c>
      <c r="H276" s="8" t="str">
        <f t="shared" si="1"/>
        <v>Ok</v>
      </c>
      <c r="I276" s="8">
        <f t="shared" si="2"/>
        <v>0</v>
      </c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3">
        <v>276.0</v>
      </c>
      <c r="B277" s="3">
        <v>0.1212</v>
      </c>
      <c r="C277" s="3">
        <v>0.55</v>
      </c>
      <c r="D277" s="3">
        <v>0.4478</v>
      </c>
      <c r="E277" s="3">
        <v>1.0</v>
      </c>
      <c r="F277" s="3">
        <v>32.0</v>
      </c>
      <c r="G277" s="3">
        <v>33.0</v>
      </c>
      <c r="H277" s="8" t="str">
        <f t="shared" si="1"/>
        <v>Ok</v>
      </c>
      <c r="I277" s="8">
        <f t="shared" si="2"/>
        <v>0</v>
      </c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3">
        <v>277.0</v>
      </c>
      <c r="B278" s="3">
        <v>0.1061</v>
      </c>
      <c r="C278" s="3">
        <v>0.59</v>
      </c>
      <c r="D278" s="3">
        <v>0.4179</v>
      </c>
      <c r="E278" s="3">
        <v>1.0</v>
      </c>
      <c r="F278" s="3">
        <v>19.0</v>
      </c>
      <c r="G278" s="3">
        <v>20.0</v>
      </c>
      <c r="H278" s="8" t="str">
        <f t="shared" si="1"/>
        <v>Ok</v>
      </c>
      <c r="I278" s="8">
        <f t="shared" si="2"/>
        <v>0</v>
      </c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3">
        <v>278.0</v>
      </c>
      <c r="B279" s="3">
        <v>0.1212</v>
      </c>
      <c r="C279" s="3">
        <v>0.59</v>
      </c>
      <c r="D279" s="3">
        <v>0.2836</v>
      </c>
      <c r="E279" s="3">
        <v>1.0</v>
      </c>
      <c r="F279" s="3">
        <v>6.0</v>
      </c>
      <c r="G279" s="3">
        <v>7.0</v>
      </c>
      <c r="H279" s="8" t="str">
        <f t="shared" si="1"/>
        <v>Ok</v>
      </c>
      <c r="I279" s="8">
        <f t="shared" si="2"/>
        <v>0</v>
      </c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3">
        <v>279.0</v>
      </c>
      <c r="B280" s="3">
        <v>0.1212</v>
      </c>
      <c r="C280" s="3">
        <v>0.5</v>
      </c>
      <c r="D280" s="3">
        <v>0.2836</v>
      </c>
      <c r="E280" s="3">
        <v>0.0</v>
      </c>
      <c r="F280" s="3">
        <v>2.0</v>
      </c>
      <c r="G280" s="3">
        <v>2.0</v>
      </c>
      <c r="H280" s="8" t="str">
        <f t="shared" si="1"/>
        <v>Ok</v>
      </c>
      <c r="I280" s="8">
        <f t="shared" si="2"/>
        <v>0</v>
      </c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3">
        <v>280.0</v>
      </c>
      <c r="B281" s="3">
        <v>0.1212</v>
      </c>
      <c r="C281" s="3">
        <v>0.5</v>
      </c>
      <c r="D281" s="3">
        <v>0.3582</v>
      </c>
      <c r="E281" s="3">
        <v>0.0</v>
      </c>
      <c r="F281" s="3">
        <v>2.0</v>
      </c>
      <c r="G281" s="3">
        <v>2.0</v>
      </c>
      <c r="H281" s="8" t="str">
        <f t="shared" si="1"/>
        <v>Ok</v>
      </c>
      <c r="I281" s="8">
        <f t="shared" si="2"/>
        <v>0</v>
      </c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3">
        <v>281.0</v>
      </c>
      <c r="B282" s="3">
        <v>0.1212</v>
      </c>
      <c r="C282" s="3">
        <v>0.5</v>
      </c>
      <c r="D282" s="3">
        <v>0.3284</v>
      </c>
      <c r="E282" s="3">
        <v>0.0</v>
      </c>
      <c r="F282" s="3">
        <v>3.0</v>
      </c>
      <c r="G282" s="3">
        <v>3.0</v>
      </c>
      <c r="H282" s="8" t="str">
        <f t="shared" si="1"/>
        <v>Ok</v>
      </c>
      <c r="I282" s="8">
        <f t="shared" si="2"/>
        <v>0</v>
      </c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3">
        <v>282.0</v>
      </c>
      <c r="B283" s="3">
        <v>0.1212</v>
      </c>
      <c r="C283" s="3">
        <v>0.5</v>
      </c>
      <c r="D283" s="3">
        <v>0.2537</v>
      </c>
      <c r="E283" s="3">
        <v>0.0</v>
      </c>
      <c r="F283" s="3">
        <v>4.0</v>
      </c>
      <c r="G283" s="3">
        <v>4.0</v>
      </c>
      <c r="H283" s="8" t="str">
        <f t="shared" si="1"/>
        <v>Ok</v>
      </c>
      <c r="I283" s="8">
        <f t="shared" si="2"/>
        <v>0</v>
      </c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3">
        <v>283.0</v>
      </c>
      <c r="B284" s="3">
        <v>0.1212</v>
      </c>
      <c r="C284" s="3">
        <v>0.5</v>
      </c>
      <c r="D284" s="3">
        <v>0.2985</v>
      </c>
      <c r="E284" s="3">
        <v>0.0</v>
      </c>
      <c r="F284" s="3">
        <v>3.0</v>
      </c>
      <c r="G284" s="3">
        <v>3.0</v>
      </c>
      <c r="H284" s="8" t="str">
        <f t="shared" si="1"/>
        <v>Ok</v>
      </c>
      <c r="I284" s="8">
        <f t="shared" si="2"/>
        <v>0</v>
      </c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3">
        <v>284.0</v>
      </c>
      <c r="B285" s="3">
        <v>0.1515</v>
      </c>
      <c r="C285" s="3">
        <v>0.54</v>
      </c>
      <c r="D285" s="3">
        <v>0.1343</v>
      </c>
      <c r="E285" s="3">
        <v>0.0</v>
      </c>
      <c r="F285" s="3">
        <v>28.0</v>
      </c>
      <c r="G285" s="3">
        <v>28.0</v>
      </c>
      <c r="H285" s="8" t="str">
        <f t="shared" si="1"/>
        <v>Ok</v>
      </c>
      <c r="I285" s="8">
        <f t="shared" si="2"/>
        <v>0</v>
      </c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3">
        <v>285.0</v>
      </c>
      <c r="B286" s="3">
        <v>0.1515</v>
      </c>
      <c r="C286" s="3">
        <v>0.54</v>
      </c>
      <c r="D286" s="3">
        <v>0.1343</v>
      </c>
      <c r="E286" s="3">
        <v>0.0</v>
      </c>
      <c r="F286" s="3">
        <v>72.0</v>
      </c>
      <c r="G286" s="3">
        <v>72.0</v>
      </c>
      <c r="H286" s="8" t="str">
        <f t="shared" si="1"/>
        <v>Ok</v>
      </c>
      <c r="I286" s="8">
        <f t="shared" si="2"/>
        <v>0</v>
      </c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3">
        <v>286.0</v>
      </c>
      <c r="B287" s="3">
        <v>0.1364</v>
      </c>
      <c r="C287" s="3">
        <v>0.5</v>
      </c>
      <c r="D287" s="3">
        <v>0.194</v>
      </c>
      <c r="E287" s="3">
        <v>5.0</v>
      </c>
      <c r="F287" s="3">
        <v>197.0</v>
      </c>
      <c r="G287" s="3">
        <v>202.0</v>
      </c>
      <c r="H287" s="8" t="str">
        <f t="shared" si="1"/>
        <v>Ok</v>
      </c>
      <c r="I287" s="8">
        <f t="shared" si="2"/>
        <v>0</v>
      </c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3">
        <v>287.0</v>
      </c>
      <c r="B288" s="3">
        <v>0.1212</v>
      </c>
      <c r="C288" s="3">
        <v>0.5</v>
      </c>
      <c r="D288" s="3">
        <v>0.3284</v>
      </c>
      <c r="E288" s="3">
        <v>2.0</v>
      </c>
      <c r="F288" s="3">
        <v>137.0</v>
      </c>
      <c r="G288" s="3">
        <v>139.0</v>
      </c>
      <c r="H288" s="8" t="str">
        <f t="shared" si="1"/>
        <v>Ok</v>
      </c>
      <c r="I288" s="8">
        <f t="shared" si="2"/>
        <v>0</v>
      </c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3">
        <v>288.0</v>
      </c>
      <c r="B289" s="3">
        <v>0.1364</v>
      </c>
      <c r="C289" s="3">
        <v>0.5</v>
      </c>
      <c r="D289" s="3">
        <v>0.3582</v>
      </c>
      <c r="E289" s="3">
        <v>2.0</v>
      </c>
      <c r="F289" s="3">
        <v>36.0</v>
      </c>
      <c r="G289" s="3">
        <v>38.0</v>
      </c>
      <c r="H289" s="8" t="str">
        <f t="shared" si="1"/>
        <v>Ok</v>
      </c>
      <c r="I289" s="8">
        <f t="shared" si="2"/>
        <v>0</v>
      </c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3">
        <v>289.0</v>
      </c>
      <c r="B290" s="3">
        <v>0.1667</v>
      </c>
      <c r="C290" s="3">
        <v>0.44</v>
      </c>
      <c r="D290" s="3">
        <v>0.4478</v>
      </c>
      <c r="E290" s="3">
        <v>4.0</v>
      </c>
      <c r="F290" s="3">
        <v>33.0</v>
      </c>
      <c r="G290" s="3">
        <v>37.0</v>
      </c>
      <c r="H290" s="8" t="str">
        <f t="shared" si="1"/>
        <v>Ok</v>
      </c>
      <c r="I290" s="8">
        <f t="shared" si="2"/>
        <v>0</v>
      </c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3">
        <v>290.0</v>
      </c>
      <c r="B291" s="3">
        <v>0.1667</v>
      </c>
      <c r="C291" s="3">
        <v>0.44</v>
      </c>
      <c r="D291" s="3">
        <v>0.4179</v>
      </c>
      <c r="E291" s="3">
        <v>3.0</v>
      </c>
      <c r="F291" s="3">
        <v>49.0</v>
      </c>
      <c r="G291" s="3">
        <v>52.0</v>
      </c>
      <c r="H291" s="8" t="str">
        <f t="shared" si="1"/>
        <v>Ok</v>
      </c>
      <c r="I291" s="8">
        <f t="shared" si="2"/>
        <v>0</v>
      </c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3">
        <v>291.0</v>
      </c>
      <c r="B292" s="3">
        <v>0.197</v>
      </c>
      <c r="C292" s="3">
        <v>0.41</v>
      </c>
      <c r="D292" s="3">
        <v>0.4478</v>
      </c>
      <c r="E292" s="3">
        <v>2.0</v>
      </c>
      <c r="F292" s="3">
        <v>81.0</v>
      </c>
      <c r="G292" s="3">
        <v>83.0</v>
      </c>
      <c r="H292" s="8" t="str">
        <f t="shared" si="1"/>
        <v>Ok</v>
      </c>
      <c r="I292" s="8">
        <f t="shared" si="2"/>
        <v>0</v>
      </c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3">
        <v>292.0</v>
      </c>
      <c r="B293" s="3">
        <v>0.197</v>
      </c>
      <c r="C293" s="3">
        <v>0.41</v>
      </c>
      <c r="D293" s="3">
        <v>0.3881</v>
      </c>
      <c r="E293" s="3">
        <v>3.0</v>
      </c>
      <c r="F293" s="3">
        <v>39.0</v>
      </c>
      <c r="G293" s="3">
        <v>42.0</v>
      </c>
      <c r="H293" s="8" t="str">
        <f t="shared" si="1"/>
        <v>Ok</v>
      </c>
      <c r="I293" s="8">
        <f t="shared" si="2"/>
        <v>0</v>
      </c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3">
        <v>293.0</v>
      </c>
      <c r="B294" s="3">
        <v>0.2121</v>
      </c>
      <c r="C294" s="3">
        <v>0.38</v>
      </c>
      <c r="D294" s="3">
        <v>0.2985</v>
      </c>
      <c r="E294" s="3">
        <v>5.0</v>
      </c>
      <c r="F294" s="3">
        <v>55.0</v>
      </c>
      <c r="G294" s="3">
        <v>60.0</v>
      </c>
      <c r="H294" s="8" t="str">
        <f t="shared" si="1"/>
        <v>Ok</v>
      </c>
      <c r="I294" s="8">
        <f t="shared" si="2"/>
        <v>0</v>
      </c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3">
        <v>294.0</v>
      </c>
      <c r="B295" s="3">
        <v>0.2121</v>
      </c>
      <c r="C295" s="3">
        <v>0.38</v>
      </c>
      <c r="D295" s="3">
        <v>0.3582</v>
      </c>
      <c r="E295" s="3">
        <v>2.0</v>
      </c>
      <c r="F295" s="3">
        <v>76.0</v>
      </c>
      <c r="G295" s="3">
        <v>78.0</v>
      </c>
      <c r="H295" s="8" t="str">
        <f t="shared" si="1"/>
        <v>Ok</v>
      </c>
      <c r="I295" s="8">
        <f t="shared" si="2"/>
        <v>0</v>
      </c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3">
        <v>295.0</v>
      </c>
      <c r="B296" s="3">
        <v>0.1818</v>
      </c>
      <c r="C296" s="3">
        <v>0.4</v>
      </c>
      <c r="D296" s="3">
        <v>0.2836</v>
      </c>
      <c r="E296" s="3">
        <v>4.0</v>
      </c>
      <c r="F296" s="3">
        <v>158.0</v>
      </c>
      <c r="G296" s="3">
        <v>162.0</v>
      </c>
      <c r="H296" s="8" t="str">
        <f t="shared" si="1"/>
        <v>Ok</v>
      </c>
      <c r="I296" s="8">
        <f t="shared" si="2"/>
        <v>0</v>
      </c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3">
        <v>296.0</v>
      </c>
      <c r="B297" s="3">
        <v>0.1818</v>
      </c>
      <c r="C297" s="3">
        <v>0.4</v>
      </c>
      <c r="D297" s="3">
        <v>0.3284</v>
      </c>
      <c r="E297" s="3">
        <v>3.0</v>
      </c>
      <c r="F297" s="3">
        <v>141.0</v>
      </c>
      <c r="G297" s="3">
        <v>144.0</v>
      </c>
      <c r="H297" s="8" t="str">
        <f t="shared" si="1"/>
        <v>Ok</v>
      </c>
      <c r="I297" s="8">
        <f t="shared" si="2"/>
        <v>0</v>
      </c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3">
        <v>297.0</v>
      </c>
      <c r="B298" s="3">
        <v>0.1515</v>
      </c>
      <c r="C298" s="3">
        <v>0.47</v>
      </c>
      <c r="D298" s="3">
        <v>0.2537</v>
      </c>
      <c r="E298" s="3">
        <v>1.0</v>
      </c>
      <c r="F298" s="3">
        <v>98.0</v>
      </c>
      <c r="G298" s="3">
        <v>99.0</v>
      </c>
      <c r="H298" s="8" t="str">
        <f t="shared" si="1"/>
        <v>Ok</v>
      </c>
      <c r="I298" s="8">
        <f t="shared" si="2"/>
        <v>0</v>
      </c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3">
        <v>298.0</v>
      </c>
      <c r="B299" s="3">
        <v>0.1515</v>
      </c>
      <c r="C299" s="3">
        <v>0.47</v>
      </c>
      <c r="D299" s="3">
        <v>0.2239</v>
      </c>
      <c r="E299" s="3">
        <v>0.0</v>
      </c>
      <c r="F299" s="3">
        <v>64.0</v>
      </c>
      <c r="G299" s="3">
        <v>64.0</v>
      </c>
      <c r="H299" s="8" t="str">
        <f t="shared" si="1"/>
        <v>Ok</v>
      </c>
      <c r="I299" s="8">
        <f t="shared" si="2"/>
        <v>0</v>
      </c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3">
        <v>299.0</v>
      </c>
      <c r="B300" s="3">
        <v>0.1212</v>
      </c>
      <c r="C300" s="3">
        <v>0.46</v>
      </c>
      <c r="D300" s="3">
        <v>0.2985</v>
      </c>
      <c r="E300" s="3">
        <v>0.0</v>
      </c>
      <c r="F300" s="3">
        <v>40.0</v>
      </c>
      <c r="G300" s="3">
        <v>40.0</v>
      </c>
      <c r="H300" s="8" t="str">
        <f t="shared" si="1"/>
        <v>Ok</v>
      </c>
      <c r="I300" s="8">
        <f t="shared" si="2"/>
        <v>0</v>
      </c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3">
        <v>300.0</v>
      </c>
      <c r="B301" s="3">
        <v>0.1212</v>
      </c>
      <c r="C301" s="3">
        <v>0.46</v>
      </c>
      <c r="D301" s="3">
        <v>0.3284</v>
      </c>
      <c r="E301" s="3">
        <v>0.0</v>
      </c>
      <c r="F301" s="3">
        <v>30.0</v>
      </c>
      <c r="G301" s="3">
        <v>30.0</v>
      </c>
      <c r="H301" s="8" t="str">
        <f t="shared" si="1"/>
        <v>Ok</v>
      </c>
      <c r="I301" s="8">
        <f t="shared" si="2"/>
        <v>0</v>
      </c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3">
        <v>301.0</v>
      </c>
      <c r="B302" s="3">
        <v>0.1364</v>
      </c>
      <c r="C302" s="3">
        <v>0.5</v>
      </c>
      <c r="D302" s="3">
        <v>0.194</v>
      </c>
      <c r="E302" s="3">
        <v>1.0</v>
      </c>
      <c r="F302" s="3">
        <v>14.0</v>
      </c>
      <c r="G302" s="3">
        <v>15.0</v>
      </c>
      <c r="H302" s="8" t="str">
        <f t="shared" si="1"/>
        <v>Ok</v>
      </c>
      <c r="I302" s="8">
        <f t="shared" si="2"/>
        <v>0</v>
      </c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3">
        <v>302.0</v>
      </c>
      <c r="B303" s="3">
        <v>0.1364</v>
      </c>
      <c r="C303" s="3">
        <v>0.5</v>
      </c>
      <c r="D303" s="3">
        <v>0.194</v>
      </c>
      <c r="E303" s="3">
        <v>0.0</v>
      </c>
      <c r="F303" s="3">
        <v>14.0</v>
      </c>
      <c r="G303" s="3">
        <v>14.0</v>
      </c>
      <c r="H303" s="8" t="str">
        <f t="shared" si="1"/>
        <v>Ok</v>
      </c>
      <c r="I303" s="8">
        <f t="shared" si="2"/>
        <v>0</v>
      </c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3">
        <v>303.0</v>
      </c>
      <c r="B304" s="3">
        <v>0.1212</v>
      </c>
      <c r="C304" s="3">
        <v>0.54</v>
      </c>
      <c r="D304" s="3">
        <v>0.1642</v>
      </c>
      <c r="E304" s="3">
        <v>0.0</v>
      </c>
      <c r="F304" s="3">
        <v>5.0</v>
      </c>
      <c r="G304" s="3">
        <v>5.0</v>
      </c>
      <c r="H304" s="8" t="str">
        <f t="shared" si="1"/>
        <v>Ok</v>
      </c>
      <c r="I304" s="8">
        <f t="shared" si="2"/>
        <v>0</v>
      </c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3">
        <v>304.0</v>
      </c>
      <c r="B305" s="3">
        <v>0.1212</v>
      </c>
      <c r="C305" s="3">
        <v>0.54</v>
      </c>
      <c r="D305" s="3">
        <v>0.1343</v>
      </c>
      <c r="E305" s="3">
        <v>0.0</v>
      </c>
      <c r="F305" s="3">
        <v>1.0</v>
      </c>
      <c r="G305" s="3">
        <v>1.0</v>
      </c>
      <c r="H305" s="8" t="str">
        <f t="shared" si="1"/>
        <v>Ok</v>
      </c>
      <c r="I305" s="8">
        <f t="shared" si="2"/>
        <v>0</v>
      </c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3">
        <v>305.0</v>
      </c>
      <c r="B306" s="3">
        <v>0.1364</v>
      </c>
      <c r="C306" s="3">
        <v>0.54</v>
      </c>
      <c r="D306" s="3">
        <v>0.1045</v>
      </c>
      <c r="E306" s="3">
        <v>0.0</v>
      </c>
      <c r="F306" s="3">
        <v>1.0</v>
      </c>
      <c r="G306" s="3">
        <v>1.0</v>
      </c>
      <c r="H306" s="8" t="str">
        <f t="shared" si="1"/>
        <v>Ok</v>
      </c>
      <c r="I306" s="8">
        <f t="shared" si="2"/>
        <v>0</v>
      </c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3">
        <v>306.0</v>
      </c>
      <c r="B307" s="3">
        <v>0.1364</v>
      </c>
      <c r="C307" s="3">
        <v>0.54</v>
      </c>
      <c r="D307" s="3">
        <v>0.0896</v>
      </c>
      <c r="E307" s="3">
        <v>0.0</v>
      </c>
      <c r="F307" s="3">
        <v>8.0</v>
      </c>
      <c r="G307" s="3">
        <v>8.0</v>
      </c>
      <c r="H307" s="8" t="str">
        <f t="shared" si="1"/>
        <v>Ok</v>
      </c>
      <c r="I307" s="8">
        <f t="shared" si="2"/>
        <v>0</v>
      </c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3">
        <v>307.0</v>
      </c>
      <c r="B308" s="3">
        <v>0.1818</v>
      </c>
      <c r="C308" s="3">
        <v>0.54</v>
      </c>
      <c r="D308" s="3">
        <v>0.0</v>
      </c>
      <c r="E308" s="3">
        <v>0.0</v>
      </c>
      <c r="F308" s="3">
        <v>17.0</v>
      </c>
      <c r="G308" s="3">
        <v>17.0</v>
      </c>
      <c r="H308" s="8" t="str">
        <f t="shared" si="1"/>
        <v>Ok</v>
      </c>
      <c r="I308" s="8">
        <f t="shared" si="2"/>
        <v>0</v>
      </c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3">
        <v>308.0</v>
      </c>
      <c r="B309" s="3">
        <v>0.1212</v>
      </c>
      <c r="C309" s="3">
        <v>0.74</v>
      </c>
      <c r="D309" s="3">
        <v>0.1642</v>
      </c>
      <c r="E309" s="3">
        <v>0.0</v>
      </c>
      <c r="F309" s="3">
        <v>70.0</v>
      </c>
      <c r="G309" s="3">
        <v>70.0</v>
      </c>
      <c r="H309" s="8" t="str">
        <f t="shared" si="1"/>
        <v>Ok</v>
      </c>
      <c r="I309" s="8">
        <f t="shared" si="2"/>
        <v>0</v>
      </c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3">
        <v>309.0</v>
      </c>
      <c r="B310" s="3">
        <v>0.1667</v>
      </c>
      <c r="C310" s="3">
        <v>0.68</v>
      </c>
      <c r="D310" s="3">
        <v>0.0</v>
      </c>
      <c r="E310" s="3">
        <v>2.0</v>
      </c>
      <c r="F310" s="3">
        <v>156.0</v>
      </c>
      <c r="G310" s="3">
        <v>158.0</v>
      </c>
      <c r="H310" s="8" t="str">
        <f t="shared" si="1"/>
        <v>Ok</v>
      </c>
      <c r="I310" s="8">
        <f t="shared" si="2"/>
        <v>0</v>
      </c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3">
        <v>310.0</v>
      </c>
      <c r="B311" s="3">
        <v>0.1515</v>
      </c>
      <c r="C311" s="3">
        <v>0.69</v>
      </c>
      <c r="D311" s="3">
        <v>0.1343</v>
      </c>
      <c r="E311" s="3">
        <v>0.0</v>
      </c>
      <c r="F311" s="3">
        <v>117.0</v>
      </c>
      <c r="G311" s="3">
        <v>117.0</v>
      </c>
      <c r="H311" s="8" t="str">
        <f t="shared" si="1"/>
        <v>Ok</v>
      </c>
      <c r="I311" s="8">
        <f t="shared" si="2"/>
        <v>0</v>
      </c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3">
        <v>311.0</v>
      </c>
      <c r="B312" s="3">
        <v>0.1818</v>
      </c>
      <c r="C312" s="3">
        <v>0.55</v>
      </c>
      <c r="D312" s="3">
        <v>0.194</v>
      </c>
      <c r="E312" s="3">
        <v>4.0</v>
      </c>
      <c r="F312" s="3">
        <v>40.0</v>
      </c>
      <c r="G312" s="3">
        <v>44.0</v>
      </c>
      <c r="H312" s="8" t="str">
        <f t="shared" si="1"/>
        <v>Ok</v>
      </c>
      <c r="I312" s="8">
        <f t="shared" si="2"/>
        <v>0</v>
      </c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3">
        <v>312.0</v>
      </c>
      <c r="B313" s="3">
        <v>0.1667</v>
      </c>
      <c r="C313" s="3">
        <v>0.51</v>
      </c>
      <c r="D313" s="3">
        <v>0.2836</v>
      </c>
      <c r="E313" s="3">
        <v>6.0</v>
      </c>
      <c r="F313" s="3">
        <v>47.0</v>
      </c>
      <c r="G313" s="3">
        <v>53.0</v>
      </c>
      <c r="H313" s="8" t="str">
        <f t="shared" si="1"/>
        <v>Ok</v>
      </c>
      <c r="I313" s="8">
        <f t="shared" si="2"/>
        <v>0</v>
      </c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3">
        <v>313.0</v>
      </c>
      <c r="B314" s="3">
        <v>0.197</v>
      </c>
      <c r="C314" s="3">
        <v>0.44</v>
      </c>
      <c r="D314" s="3">
        <v>0.2537</v>
      </c>
      <c r="E314" s="3">
        <v>2.0</v>
      </c>
      <c r="F314" s="3">
        <v>59.0</v>
      </c>
      <c r="G314" s="3">
        <v>61.0</v>
      </c>
      <c r="H314" s="8" t="str">
        <f t="shared" si="1"/>
        <v>Ok</v>
      </c>
      <c r="I314" s="8">
        <f t="shared" si="2"/>
        <v>0</v>
      </c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3">
        <v>314.0</v>
      </c>
      <c r="B315" s="3">
        <v>0.197</v>
      </c>
      <c r="C315" s="3">
        <v>0.37</v>
      </c>
      <c r="D315" s="3">
        <v>0.3881</v>
      </c>
      <c r="E315" s="3">
        <v>4.0</v>
      </c>
      <c r="F315" s="3">
        <v>73.0</v>
      </c>
      <c r="G315" s="3">
        <v>77.0</v>
      </c>
      <c r="H315" s="8" t="str">
        <f t="shared" si="1"/>
        <v>Ok</v>
      </c>
      <c r="I315" s="8">
        <f t="shared" si="2"/>
        <v>0</v>
      </c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3">
        <v>315.0</v>
      </c>
      <c r="B316" s="3">
        <v>0.2121</v>
      </c>
      <c r="C316" s="3">
        <v>0.41</v>
      </c>
      <c r="D316" s="3">
        <v>0.2836</v>
      </c>
      <c r="E316" s="3">
        <v>5.0</v>
      </c>
      <c r="F316" s="3">
        <v>59.0</v>
      </c>
      <c r="G316" s="3">
        <v>64.0</v>
      </c>
      <c r="H316" s="8" t="str">
        <f t="shared" si="1"/>
        <v>Ok</v>
      </c>
      <c r="I316" s="8">
        <f t="shared" si="2"/>
        <v>0</v>
      </c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3">
        <v>316.0</v>
      </c>
      <c r="B317" s="3">
        <v>0.2424</v>
      </c>
      <c r="C317" s="3">
        <v>0.38</v>
      </c>
      <c r="D317" s="3">
        <v>0.1642</v>
      </c>
      <c r="E317" s="3">
        <v>9.0</v>
      </c>
      <c r="F317" s="3">
        <v>59.0</v>
      </c>
      <c r="G317" s="3">
        <v>68.0</v>
      </c>
      <c r="H317" s="8" t="str">
        <f t="shared" si="1"/>
        <v>Ok</v>
      </c>
      <c r="I317" s="8">
        <f t="shared" si="2"/>
        <v>0</v>
      </c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3">
        <v>317.0</v>
      </c>
      <c r="B318" s="3">
        <v>0.2424</v>
      </c>
      <c r="C318" s="3">
        <v>0.41</v>
      </c>
      <c r="D318" s="3">
        <v>0.1045</v>
      </c>
      <c r="E318" s="3">
        <v>3.0</v>
      </c>
      <c r="F318" s="3">
        <v>87.0</v>
      </c>
      <c r="G318" s="3">
        <v>90.0</v>
      </c>
      <c r="H318" s="8" t="str">
        <f t="shared" si="1"/>
        <v>Ok</v>
      </c>
      <c r="I318" s="8">
        <f t="shared" si="2"/>
        <v>0</v>
      </c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3">
        <v>318.0</v>
      </c>
      <c r="B319" s="3">
        <v>0.2273</v>
      </c>
      <c r="C319" s="3">
        <v>0.41</v>
      </c>
      <c r="D319" s="3">
        <v>0.1642</v>
      </c>
      <c r="E319" s="3">
        <v>4.0</v>
      </c>
      <c r="F319" s="3">
        <v>155.0</v>
      </c>
      <c r="G319" s="3">
        <v>159.0</v>
      </c>
      <c r="H319" s="8" t="str">
        <f t="shared" si="1"/>
        <v>Ok</v>
      </c>
      <c r="I319" s="8">
        <f t="shared" si="2"/>
        <v>0</v>
      </c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3">
        <v>319.0</v>
      </c>
      <c r="B320" s="3">
        <v>0.2576</v>
      </c>
      <c r="C320" s="3">
        <v>0.47</v>
      </c>
      <c r="D320" s="3">
        <v>0.0</v>
      </c>
      <c r="E320" s="3">
        <v>5.0</v>
      </c>
      <c r="F320" s="3">
        <v>134.0</v>
      </c>
      <c r="G320" s="3">
        <v>139.0</v>
      </c>
      <c r="H320" s="8" t="str">
        <f t="shared" si="1"/>
        <v>Ok</v>
      </c>
      <c r="I320" s="8">
        <f t="shared" si="2"/>
        <v>0</v>
      </c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3">
        <v>320.0</v>
      </c>
      <c r="B321" s="3">
        <v>0.197</v>
      </c>
      <c r="C321" s="3">
        <v>0.59</v>
      </c>
      <c r="D321" s="3">
        <v>0.0896</v>
      </c>
      <c r="E321" s="3">
        <v>3.0</v>
      </c>
      <c r="F321" s="3">
        <v>89.0</v>
      </c>
      <c r="G321" s="3">
        <v>92.0</v>
      </c>
      <c r="H321" s="8" t="str">
        <f t="shared" si="1"/>
        <v>Ok</v>
      </c>
      <c r="I321" s="8">
        <f t="shared" si="2"/>
        <v>0</v>
      </c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3">
        <v>321.0</v>
      </c>
      <c r="B322" s="3">
        <v>0.2424</v>
      </c>
      <c r="C322" s="3">
        <v>0.59</v>
      </c>
      <c r="D322" s="3">
        <v>0.0</v>
      </c>
      <c r="E322" s="3">
        <v>0.0</v>
      </c>
      <c r="F322" s="3">
        <v>68.0</v>
      </c>
      <c r="G322" s="3">
        <v>68.0</v>
      </c>
      <c r="H322" s="8" t="str">
        <f t="shared" si="1"/>
        <v>Ok</v>
      </c>
      <c r="I322" s="8">
        <f t="shared" si="2"/>
        <v>0</v>
      </c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3">
        <v>322.0</v>
      </c>
      <c r="B323" s="3">
        <v>0.2273</v>
      </c>
      <c r="C323" s="3">
        <v>0.69</v>
      </c>
      <c r="D323" s="3">
        <v>0.0</v>
      </c>
      <c r="E323" s="3">
        <v>4.0</v>
      </c>
      <c r="F323" s="3">
        <v>48.0</v>
      </c>
      <c r="G323" s="3">
        <v>52.0</v>
      </c>
      <c r="H323" s="8" t="str">
        <f t="shared" si="1"/>
        <v>Ok</v>
      </c>
      <c r="I323" s="8">
        <f t="shared" si="2"/>
        <v>0</v>
      </c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3">
        <v>323.0</v>
      </c>
      <c r="B324" s="3">
        <v>0.2273</v>
      </c>
      <c r="C324" s="3">
        <v>0.69</v>
      </c>
      <c r="D324" s="3">
        <v>0.0</v>
      </c>
      <c r="E324" s="3">
        <v>2.0</v>
      </c>
      <c r="F324" s="3">
        <v>34.0</v>
      </c>
      <c r="G324" s="3">
        <v>36.0</v>
      </c>
      <c r="H324" s="8" t="str">
        <f t="shared" si="1"/>
        <v>Ok</v>
      </c>
      <c r="I324" s="8">
        <f t="shared" si="2"/>
        <v>0</v>
      </c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3">
        <v>324.0</v>
      </c>
      <c r="B325" s="3">
        <v>0.2424</v>
      </c>
      <c r="C325" s="3">
        <v>0.55</v>
      </c>
      <c r="D325" s="3">
        <v>0.0</v>
      </c>
      <c r="E325" s="3">
        <v>1.0</v>
      </c>
      <c r="F325" s="3">
        <v>26.0</v>
      </c>
      <c r="G325" s="3">
        <v>27.0</v>
      </c>
      <c r="H325" s="8" t="str">
        <f t="shared" si="1"/>
        <v>Ok</v>
      </c>
      <c r="I325" s="8">
        <f t="shared" si="2"/>
        <v>0</v>
      </c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3">
        <v>325.0</v>
      </c>
      <c r="B326" s="3">
        <v>0.2424</v>
      </c>
      <c r="C326" s="3">
        <v>0.55</v>
      </c>
      <c r="D326" s="3">
        <v>0.0</v>
      </c>
      <c r="E326" s="3">
        <v>3.0</v>
      </c>
      <c r="F326" s="3">
        <v>25.0</v>
      </c>
      <c r="G326" s="3">
        <v>28.0</v>
      </c>
      <c r="H326" s="8" t="str">
        <f t="shared" si="1"/>
        <v>Ok</v>
      </c>
      <c r="I326" s="8">
        <f t="shared" si="2"/>
        <v>0</v>
      </c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3">
        <v>326.0</v>
      </c>
      <c r="B327" s="3">
        <v>0.197</v>
      </c>
      <c r="C327" s="3">
        <v>0.59</v>
      </c>
      <c r="D327" s="3">
        <v>0.0896</v>
      </c>
      <c r="E327" s="3">
        <v>2.0</v>
      </c>
      <c r="F327" s="3">
        <v>18.0</v>
      </c>
      <c r="G327" s="3">
        <v>20.0</v>
      </c>
      <c r="H327" s="8" t="str">
        <f t="shared" si="1"/>
        <v>Ok</v>
      </c>
      <c r="I327" s="8">
        <f t="shared" si="2"/>
        <v>0</v>
      </c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3">
        <v>327.0</v>
      </c>
      <c r="B328" s="3">
        <v>0.197</v>
      </c>
      <c r="C328" s="3">
        <v>0.59</v>
      </c>
      <c r="D328" s="3">
        <v>0.0896</v>
      </c>
      <c r="E328" s="3">
        <v>0.0</v>
      </c>
      <c r="F328" s="3">
        <v>12.0</v>
      </c>
      <c r="G328" s="3">
        <v>12.0</v>
      </c>
      <c r="H328" s="8" t="str">
        <f t="shared" si="1"/>
        <v>Ok</v>
      </c>
      <c r="I328" s="8">
        <f t="shared" si="2"/>
        <v>0</v>
      </c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3">
        <v>328.0</v>
      </c>
      <c r="B329" s="3">
        <v>0.2273</v>
      </c>
      <c r="C329" s="3">
        <v>0.59</v>
      </c>
      <c r="D329" s="3">
        <v>0.0</v>
      </c>
      <c r="E329" s="3">
        <v>1.0</v>
      </c>
      <c r="F329" s="3">
        <v>7.0</v>
      </c>
      <c r="G329" s="3">
        <v>8.0</v>
      </c>
      <c r="H329" s="8" t="str">
        <f t="shared" si="1"/>
        <v>Ok</v>
      </c>
      <c r="I329" s="8">
        <f t="shared" si="2"/>
        <v>0</v>
      </c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3">
        <v>329.0</v>
      </c>
      <c r="B330" s="3">
        <v>0.2273</v>
      </c>
      <c r="C330" s="3">
        <v>0.59</v>
      </c>
      <c r="D330" s="3">
        <v>0.0</v>
      </c>
      <c r="E330" s="3">
        <v>0.0</v>
      </c>
      <c r="F330" s="3">
        <v>5.0</v>
      </c>
      <c r="G330" s="3">
        <v>5.0</v>
      </c>
      <c r="H330" s="8" t="str">
        <f t="shared" si="1"/>
        <v>Ok</v>
      </c>
      <c r="I330" s="8">
        <f t="shared" si="2"/>
        <v>0</v>
      </c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3">
        <v>330.0</v>
      </c>
      <c r="B331" s="3">
        <v>0.2273</v>
      </c>
      <c r="C331" s="3">
        <v>0.59</v>
      </c>
      <c r="D331" s="3">
        <v>0.0</v>
      </c>
      <c r="E331" s="3">
        <v>0.0</v>
      </c>
      <c r="F331" s="3">
        <v>1.0</v>
      </c>
      <c r="G331" s="3">
        <v>1.0</v>
      </c>
      <c r="H331" s="8" t="str">
        <f t="shared" si="1"/>
        <v>Ok</v>
      </c>
      <c r="I331" s="8">
        <f t="shared" si="2"/>
        <v>0</v>
      </c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3">
        <v>331.0</v>
      </c>
      <c r="B332" s="3">
        <v>0.1667</v>
      </c>
      <c r="C332" s="3">
        <v>0.63</v>
      </c>
      <c r="D332" s="3">
        <v>0.1045</v>
      </c>
      <c r="E332" s="3">
        <v>1.0</v>
      </c>
      <c r="F332" s="3">
        <v>2.0</v>
      </c>
      <c r="G332" s="3">
        <v>3.0</v>
      </c>
      <c r="H332" s="8" t="str">
        <f t="shared" si="1"/>
        <v>Ok</v>
      </c>
      <c r="I332" s="8">
        <f t="shared" si="2"/>
        <v>0</v>
      </c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3">
        <v>332.0</v>
      </c>
      <c r="B333" s="3">
        <v>0.2121</v>
      </c>
      <c r="C333" s="3">
        <v>0.63</v>
      </c>
      <c r="D333" s="3">
        <v>0.0</v>
      </c>
      <c r="E333" s="3">
        <v>1.0</v>
      </c>
      <c r="F333" s="3">
        <v>9.0</v>
      </c>
      <c r="G333" s="3">
        <v>10.0</v>
      </c>
      <c r="H333" s="8" t="str">
        <f t="shared" si="1"/>
        <v>Ok</v>
      </c>
      <c r="I333" s="8">
        <f t="shared" si="2"/>
        <v>0</v>
      </c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3">
        <v>333.0</v>
      </c>
      <c r="B334" s="3">
        <v>0.1515</v>
      </c>
      <c r="C334" s="3">
        <v>0.63</v>
      </c>
      <c r="D334" s="3">
        <v>0.1343</v>
      </c>
      <c r="E334" s="3">
        <v>1.0</v>
      </c>
      <c r="F334" s="3">
        <v>22.0</v>
      </c>
      <c r="G334" s="3">
        <v>23.0</v>
      </c>
      <c r="H334" s="8" t="str">
        <f t="shared" si="1"/>
        <v>Ok</v>
      </c>
      <c r="I334" s="8">
        <f t="shared" si="2"/>
        <v>0</v>
      </c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3">
        <v>334.0</v>
      </c>
      <c r="B335" s="3">
        <v>0.1818</v>
      </c>
      <c r="C335" s="3">
        <v>0.64</v>
      </c>
      <c r="D335" s="3">
        <v>0.1343</v>
      </c>
      <c r="E335" s="3">
        <v>2.0</v>
      </c>
      <c r="F335" s="3">
        <v>31.0</v>
      </c>
      <c r="G335" s="3">
        <v>33.0</v>
      </c>
      <c r="H335" s="8" t="str">
        <f t="shared" si="1"/>
        <v>Ok</v>
      </c>
      <c r="I335" s="8">
        <f t="shared" si="2"/>
        <v>0</v>
      </c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3">
        <v>335.0</v>
      </c>
      <c r="B336" s="3">
        <v>0.197</v>
      </c>
      <c r="C336" s="3">
        <v>0.59</v>
      </c>
      <c r="D336" s="3">
        <v>0.1642</v>
      </c>
      <c r="E336" s="3">
        <v>2.0</v>
      </c>
      <c r="F336" s="3">
        <v>57.0</v>
      </c>
      <c r="G336" s="3">
        <v>59.0</v>
      </c>
      <c r="H336" s="8" t="str">
        <f t="shared" si="1"/>
        <v>Ok</v>
      </c>
      <c r="I336" s="8">
        <f t="shared" si="2"/>
        <v>0</v>
      </c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3">
        <v>336.0</v>
      </c>
      <c r="B337" s="3">
        <v>0.197</v>
      </c>
      <c r="C337" s="3">
        <v>0.55</v>
      </c>
      <c r="D337" s="3">
        <v>0.2239</v>
      </c>
      <c r="E337" s="3">
        <v>18.0</v>
      </c>
      <c r="F337" s="3">
        <v>54.0</v>
      </c>
      <c r="G337" s="3">
        <v>72.0</v>
      </c>
      <c r="H337" s="8" t="str">
        <f t="shared" si="1"/>
        <v>Ok</v>
      </c>
      <c r="I337" s="8">
        <f t="shared" si="2"/>
        <v>0</v>
      </c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3">
        <v>337.0</v>
      </c>
      <c r="B338" s="3">
        <v>0.2273</v>
      </c>
      <c r="C338" s="3">
        <v>0.48</v>
      </c>
      <c r="D338" s="3">
        <v>0.2239</v>
      </c>
      <c r="E338" s="3">
        <v>15.0</v>
      </c>
      <c r="F338" s="3">
        <v>74.0</v>
      </c>
      <c r="G338" s="3">
        <v>89.0</v>
      </c>
      <c r="H338" s="8" t="str">
        <f t="shared" si="1"/>
        <v>Ok</v>
      </c>
      <c r="I338" s="8">
        <f t="shared" si="2"/>
        <v>0</v>
      </c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3">
        <v>338.0</v>
      </c>
      <c r="B339" s="3">
        <v>0.2576</v>
      </c>
      <c r="C339" s="3">
        <v>0.38</v>
      </c>
      <c r="D339" s="3">
        <v>0.2985</v>
      </c>
      <c r="E339" s="3">
        <v>21.0</v>
      </c>
      <c r="F339" s="3">
        <v>80.0</v>
      </c>
      <c r="G339" s="3">
        <v>101.0</v>
      </c>
      <c r="H339" s="8" t="str">
        <f t="shared" si="1"/>
        <v>Ok</v>
      </c>
      <c r="I339" s="8">
        <f t="shared" si="2"/>
        <v>0</v>
      </c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3">
        <v>339.0</v>
      </c>
      <c r="B340" s="3">
        <v>0.2879</v>
      </c>
      <c r="C340" s="3">
        <v>0.39</v>
      </c>
      <c r="D340" s="3">
        <v>0.2836</v>
      </c>
      <c r="E340" s="3">
        <v>26.0</v>
      </c>
      <c r="F340" s="3">
        <v>92.0</v>
      </c>
      <c r="G340" s="3">
        <v>118.0</v>
      </c>
      <c r="H340" s="8" t="str">
        <f t="shared" si="1"/>
        <v>Ok</v>
      </c>
      <c r="I340" s="8">
        <f t="shared" si="2"/>
        <v>0</v>
      </c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3">
        <v>340.0</v>
      </c>
      <c r="B341" s="3">
        <v>0.3182</v>
      </c>
      <c r="C341" s="3">
        <v>0.36</v>
      </c>
      <c r="D341" s="3">
        <v>0.194</v>
      </c>
      <c r="E341" s="3">
        <v>21.0</v>
      </c>
      <c r="F341" s="3">
        <v>108.0</v>
      </c>
      <c r="G341" s="3">
        <v>129.0</v>
      </c>
      <c r="H341" s="8" t="str">
        <f t="shared" si="1"/>
        <v>Ok</v>
      </c>
      <c r="I341" s="8">
        <f t="shared" si="2"/>
        <v>0</v>
      </c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3">
        <v>341.0</v>
      </c>
      <c r="B342" s="3">
        <v>0.3333</v>
      </c>
      <c r="C342" s="3">
        <v>0.34</v>
      </c>
      <c r="D342" s="3">
        <v>0.194</v>
      </c>
      <c r="E342" s="3">
        <v>33.0</v>
      </c>
      <c r="F342" s="3">
        <v>95.0</v>
      </c>
      <c r="G342" s="3">
        <v>128.0</v>
      </c>
      <c r="H342" s="8" t="str">
        <f t="shared" si="1"/>
        <v>Ok</v>
      </c>
      <c r="I342" s="8">
        <f t="shared" si="2"/>
        <v>0</v>
      </c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3">
        <v>342.0</v>
      </c>
      <c r="B343" s="3">
        <v>0.303</v>
      </c>
      <c r="C343" s="3">
        <v>0.36</v>
      </c>
      <c r="D343" s="3">
        <v>0.2836</v>
      </c>
      <c r="E343" s="3">
        <v>29.0</v>
      </c>
      <c r="F343" s="3">
        <v>54.0</v>
      </c>
      <c r="G343" s="3">
        <v>83.0</v>
      </c>
      <c r="H343" s="8" t="str">
        <f t="shared" si="1"/>
        <v>Ok</v>
      </c>
      <c r="I343" s="8">
        <f t="shared" si="2"/>
        <v>0</v>
      </c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3">
        <v>343.0</v>
      </c>
      <c r="B344" s="3">
        <v>0.2879</v>
      </c>
      <c r="C344" s="3">
        <v>0.45</v>
      </c>
      <c r="D344" s="3">
        <v>0.2537</v>
      </c>
      <c r="E344" s="3">
        <v>15.0</v>
      </c>
      <c r="F344" s="3">
        <v>69.0</v>
      </c>
      <c r="G344" s="3">
        <v>84.0</v>
      </c>
      <c r="H344" s="8" t="str">
        <f t="shared" si="1"/>
        <v>Ok</v>
      </c>
      <c r="I344" s="8">
        <f t="shared" si="2"/>
        <v>0</v>
      </c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3">
        <v>344.0</v>
      </c>
      <c r="B345" s="3">
        <v>0.303</v>
      </c>
      <c r="C345" s="3">
        <v>0.39</v>
      </c>
      <c r="D345" s="3">
        <v>0.2537</v>
      </c>
      <c r="E345" s="3">
        <v>14.0</v>
      </c>
      <c r="F345" s="3">
        <v>60.0</v>
      </c>
      <c r="G345" s="3">
        <v>74.0</v>
      </c>
      <c r="H345" s="8" t="str">
        <f t="shared" si="1"/>
        <v>Ok</v>
      </c>
      <c r="I345" s="8">
        <f t="shared" si="2"/>
        <v>0</v>
      </c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3">
        <v>345.0</v>
      </c>
      <c r="B346" s="3">
        <v>0.303</v>
      </c>
      <c r="C346" s="3">
        <v>0.39</v>
      </c>
      <c r="D346" s="3">
        <v>0.2537</v>
      </c>
      <c r="E346" s="3">
        <v>6.0</v>
      </c>
      <c r="F346" s="3">
        <v>35.0</v>
      </c>
      <c r="G346" s="3">
        <v>41.0</v>
      </c>
      <c r="H346" s="8" t="str">
        <f t="shared" si="1"/>
        <v>Ok</v>
      </c>
      <c r="I346" s="8">
        <f t="shared" si="2"/>
        <v>0</v>
      </c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3">
        <v>346.0</v>
      </c>
      <c r="B347" s="3">
        <v>0.303</v>
      </c>
      <c r="C347" s="3">
        <v>0.39</v>
      </c>
      <c r="D347" s="3">
        <v>0.2239</v>
      </c>
      <c r="E347" s="3">
        <v>6.0</v>
      </c>
      <c r="F347" s="3">
        <v>51.0</v>
      </c>
      <c r="G347" s="3">
        <v>57.0</v>
      </c>
      <c r="H347" s="8" t="str">
        <f t="shared" si="1"/>
        <v>Ok</v>
      </c>
      <c r="I347" s="8">
        <f t="shared" si="2"/>
        <v>0</v>
      </c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3">
        <v>347.0</v>
      </c>
      <c r="B348" s="3">
        <v>0.3182</v>
      </c>
      <c r="C348" s="3">
        <v>0.42</v>
      </c>
      <c r="D348" s="3">
        <v>0.1045</v>
      </c>
      <c r="E348" s="3">
        <v>0.0</v>
      </c>
      <c r="F348" s="3">
        <v>26.0</v>
      </c>
      <c r="G348" s="3">
        <v>26.0</v>
      </c>
      <c r="H348" s="8" t="str">
        <f t="shared" si="1"/>
        <v>Ok</v>
      </c>
      <c r="I348" s="8">
        <f t="shared" si="2"/>
        <v>0</v>
      </c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3">
        <v>348.0</v>
      </c>
      <c r="B349" s="3">
        <v>0.2879</v>
      </c>
      <c r="C349" s="3">
        <v>0.45</v>
      </c>
      <c r="D349" s="3">
        <v>0.2836</v>
      </c>
      <c r="E349" s="3">
        <v>5.0</v>
      </c>
      <c r="F349" s="3">
        <v>39.0</v>
      </c>
      <c r="G349" s="3">
        <v>44.0</v>
      </c>
      <c r="H349" s="8" t="str">
        <f t="shared" si="1"/>
        <v>Ok</v>
      </c>
      <c r="I349" s="8">
        <f t="shared" si="2"/>
        <v>0</v>
      </c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3">
        <v>349.0</v>
      </c>
      <c r="B350" s="3">
        <v>0.303</v>
      </c>
      <c r="C350" s="3">
        <v>0.56</v>
      </c>
      <c r="D350" s="3">
        <v>0.0</v>
      </c>
      <c r="E350" s="3">
        <v>6.0</v>
      </c>
      <c r="F350" s="3">
        <v>33.0</v>
      </c>
      <c r="G350" s="3">
        <v>39.0</v>
      </c>
      <c r="H350" s="8" t="str">
        <f t="shared" si="1"/>
        <v>Ok</v>
      </c>
      <c r="I350" s="8">
        <f t="shared" si="2"/>
        <v>0</v>
      </c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3">
        <v>350.0</v>
      </c>
      <c r="B351" s="3">
        <v>0.2727</v>
      </c>
      <c r="C351" s="3">
        <v>0.56</v>
      </c>
      <c r="D351" s="3">
        <v>0.1343</v>
      </c>
      <c r="E351" s="3">
        <v>4.0</v>
      </c>
      <c r="F351" s="3">
        <v>19.0</v>
      </c>
      <c r="G351" s="3">
        <v>23.0</v>
      </c>
      <c r="H351" s="8" t="str">
        <f t="shared" si="1"/>
        <v>Ok</v>
      </c>
      <c r="I351" s="8">
        <f t="shared" si="2"/>
        <v>0</v>
      </c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3">
        <v>351.0</v>
      </c>
      <c r="B352" s="3">
        <v>0.2879</v>
      </c>
      <c r="C352" s="3">
        <v>0.56</v>
      </c>
      <c r="D352" s="3">
        <v>0.0896</v>
      </c>
      <c r="E352" s="3">
        <v>3.0</v>
      </c>
      <c r="F352" s="3">
        <v>13.0</v>
      </c>
      <c r="G352" s="3">
        <v>16.0</v>
      </c>
      <c r="H352" s="8" t="str">
        <f t="shared" si="1"/>
        <v>Ok</v>
      </c>
      <c r="I352" s="8">
        <f t="shared" si="2"/>
        <v>0</v>
      </c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3">
        <v>352.0</v>
      </c>
      <c r="B353" s="3">
        <v>0.2727</v>
      </c>
      <c r="C353" s="3">
        <v>0.69</v>
      </c>
      <c r="D353" s="3">
        <v>0.0</v>
      </c>
      <c r="E353" s="3">
        <v>9.0</v>
      </c>
      <c r="F353" s="3">
        <v>6.0</v>
      </c>
      <c r="G353" s="3">
        <v>15.0</v>
      </c>
      <c r="H353" s="8" t="str">
        <f t="shared" si="1"/>
        <v>Ok</v>
      </c>
      <c r="I353" s="8">
        <f t="shared" si="2"/>
        <v>0</v>
      </c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3">
        <v>353.0</v>
      </c>
      <c r="B354" s="3">
        <v>0.2576</v>
      </c>
      <c r="C354" s="3">
        <v>0.56</v>
      </c>
      <c r="D354" s="3">
        <v>0.1642</v>
      </c>
      <c r="E354" s="3">
        <v>0.0</v>
      </c>
      <c r="F354" s="3">
        <v>1.0</v>
      </c>
      <c r="G354" s="3">
        <v>1.0</v>
      </c>
      <c r="H354" s="8" t="str">
        <f t="shared" si="1"/>
        <v>Ok</v>
      </c>
      <c r="I354" s="8">
        <f t="shared" si="2"/>
        <v>0</v>
      </c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3">
        <v>354.0</v>
      </c>
      <c r="B355" s="3">
        <v>0.2576</v>
      </c>
      <c r="C355" s="3">
        <v>0.56</v>
      </c>
      <c r="D355" s="3">
        <v>0.1642</v>
      </c>
      <c r="E355" s="3">
        <v>1.0</v>
      </c>
      <c r="F355" s="3">
        <v>1.0</v>
      </c>
      <c r="G355" s="3">
        <v>2.0</v>
      </c>
      <c r="H355" s="8" t="str">
        <f t="shared" si="1"/>
        <v>Ok</v>
      </c>
      <c r="I355" s="8">
        <f t="shared" si="2"/>
        <v>0</v>
      </c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3">
        <v>355.0</v>
      </c>
      <c r="B356" s="3">
        <v>0.2576</v>
      </c>
      <c r="C356" s="3">
        <v>0.56</v>
      </c>
      <c r="D356" s="3">
        <v>0.1642</v>
      </c>
      <c r="E356" s="3">
        <v>0.0</v>
      </c>
      <c r="F356" s="3">
        <v>1.0</v>
      </c>
      <c r="G356" s="3">
        <v>1.0</v>
      </c>
      <c r="H356" s="8" t="str">
        <f t="shared" si="1"/>
        <v>Ok</v>
      </c>
      <c r="I356" s="8">
        <f t="shared" si="2"/>
        <v>0</v>
      </c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3">
        <v>356.0</v>
      </c>
      <c r="B357" s="3">
        <v>0.2121</v>
      </c>
      <c r="C357" s="3">
        <v>0.56</v>
      </c>
      <c r="D357" s="3">
        <v>0.2985</v>
      </c>
      <c r="E357" s="3">
        <v>0.0</v>
      </c>
      <c r="F357" s="3">
        <v>3.0</v>
      </c>
      <c r="G357" s="3">
        <v>3.0</v>
      </c>
      <c r="H357" s="8" t="str">
        <f t="shared" si="1"/>
        <v>Ok</v>
      </c>
      <c r="I357" s="8">
        <f t="shared" si="2"/>
        <v>0</v>
      </c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3">
        <v>357.0</v>
      </c>
      <c r="B358" s="3">
        <v>0.2121</v>
      </c>
      <c r="C358" s="3">
        <v>0.55</v>
      </c>
      <c r="D358" s="3">
        <v>0.2836</v>
      </c>
      <c r="E358" s="3">
        <v>0.0</v>
      </c>
      <c r="F358" s="3">
        <v>18.0</v>
      </c>
      <c r="G358" s="3">
        <v>18.0</v>
      </c>
      <c r="H358" s="8" t="str">
        <f t="shared" si="1"/>
        <v>Ok</v>
      </c>
      <c r="I358" s="8">
        <f t="shared" si="2"/>
        <v>0</v>
      </c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3">
        <v>358.0</v>
      </c>
      <c r="B359" s="3">
        <v>0.2121</v>
      </c>
      <c r="C359" s="3">
        <v>0.51</v>
      </c>
      <c r="D359" s="3">
        <v>0.2537</v>
      </c>
      <c r="E359" s="3">
        <v>3.0</v>
      </c>
      <c r="F359" s="3">
        <v>29.0</v>
      </c>
      <c r="G359" s="3">
        <v>32.0</v>
      </c>
      <c r="H359" s="8" t="str">
        <f t="shared" si="1"/>
        <v>Ok</v>
      </c>
      <c r="I359" s="8">
        <f t="shared" si="2"/>
        <v>0</v>
      </c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3">
        <v>359.0</v>
      </c>
      <c r="B360" s="3">
        <v>0.2121</v>
      </c>
      <c r="C360" s="3">
        <v>0.51</v>
      </c>
      <c r="D360" s="3">
        <v>0.2836</v>
      </c>
      <c r="E360" s="3">
        <v>8.0</v>
      </c>
      <c r="F360" s="3">
        <v>71.0</v>
      </c>
      <c r="G360" s="3">
        <v>79.0</v>
      </c>
      <c r="H360" s="8" t="str">
        <f t="shared" si="1"/>
        <v>Ok</v>
      </c>
      <c r="I360" s="8">
        <f t="shared" si="2"/>
        <v>0</v>
      </c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3">
        <v>360.0</v>
      </c>
      <c r="B361" s="3">
        <v>0.2273</v>
      </c>
      <c r="C361" s="3">
        <v>0.44</v>
      </c>
      <c r="D361" s="3">
        <v>0.2537</v>
      </c>
      <c r="E361" s="3">
        <v>23.0</v>
      </c>
      <c r="F361" s="3">
        <v>70.0</v>
      </c>
      <c r="G361" s="3">
        <v>93.0</v>
      </c>
      <c r="H361" s="8" t="str">
        <f t="shared" si="1"/>
        <v>Ok</v>
      </c>
      <c r="I361" s="8">
        <f t="shared" si="2"/>
        <v>0</v>
      </c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3">
        <v>361.0</v>
      </c>
      <c r="B362" s="3">
        <v>0.2121</v>
      </c>
      <c r="C362" s="3">
        <v>0.41</v>
      </c>
      <c r="D362" s="3">
        <v>0.2836</v>
      </c>
      <c r="E362" s="3">
        <v>29.0</v>
      </c>
      <c r="F362" s="3">
        <v>75.0</v>
      </c>
      <c r="G362" s="3">
        <v>104.0</v>
      </c>
      <c r="H362" s="8" t="str">
        <f t="shared" si="1"/>
        <v>Ok</v>
      </c>
      <c r="I362" s="8">
        <f t="shared" si="2"/>
        <v>0</v>
      </c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3">
        <v>362.0</v>
      </c>
      <c r="B363" s="3">
        <v>0.2273</v>
      </c>
      <c r="C363" s="3">
        <v>0.35</v>
      </c>
      <c r="D363" s="3">
        <v>0.2985</v>
      </c>
      <c r="E363" s="3">
        <v>23.0</v>
      </c>
      <c r="F363" s="3">
        <v>95.0</v>
      </c>
      <c r="G363" s="3">
        <v>118.0</v>
      </c>
      <c r="H363" s="8" t="str">
        <f t="shared" si="1"/>
        <v>Ok</v>
      </c>
      <c r="I363" s="8">
        <f t="shared" si="2"/>
        <v>0</v>
      </c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3">
        <v>363.0</v>
      </c>
      <c r="B364" s="3">
        <v>0.2727</v>
      </c>
      <c r="C364" s="3">
        <v>0.36</v>
      </c>
      <c r="D364" s="3">
        <v>0.2537</v>
      </c>
      <c r="E364" s="3">
        <v>22.0</v>
      </c>
      <c r="F364" s="3">
        <v>69.0</v>
      </c>
      <c r="G364" s="3">
        <v>91.0</v>
      </c>
      <c r="H364" s="8" t="str">
        <f t="shared" si="1"/>
        <v>Ok</v>
      </c>
      <c r="I364" s="8">
        <f t="shared" si="2"/>
        <v>0</v>
      </c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3">
        <v>364.0</v>
      </c>
      <c r="B365" s="3">
        <v>0.2424</v>
      </c>
      <c r="C365" s="3">
        <v>0.38</v>
      </c>
      <c r="D365" s="3">
        <v>0.2537</v>
      </c>
      <c r="E365" s="3">
        <v>35.0</v>
      </c>
      <c r="F365" s="3">
        <v>78.0</v>
      </c>
      <c r="G365" s="3">
        <v>113.0</v>
      </c>
      <c r="H365" s="8" t="str">
        <f t="shared" si="1"/>
        <v>Ok</v>
      </c>
      <c r="I365" s="8">
        <f t="shared" si="2"/>
        <v>0</v>
      </c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3">
        <v>365.0</v>
      </c>
      <c r="B366" s="3">
        <v>0.2273</v>
      </c>
      <c r="C366" s="3">
        <v>0.38</v>
      </c>
      <c r="D366" s="3">
        <v>0.2239</v>
      </c>
      <c r="E366" s="3">
        <v>22.0</v>
      </c>
      <c r="F366" s="3">
        <v>77.0</v>
      </c>
      <c r="G366" s="3">
        <v>99.0</v>
      </c>
      <c r="H366" s="8" t="str">
        <f t="shared" si="1"/>
        <v>Ok</v>
      </c>
      <c r="I366" s="8">
        <f t="shared" si="2"/>
        <v>0</v>
      </c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3">
        <v>366.0</v>
      </c>
      <c r="B367" s="3">
        <v>0.2121</v>
      </c>
      <c r="C367" s="3">
        <v>0.37</v>
      </c>
      <c r="D367" s="3">
        <v>0.2537</v>
      </c>
      <c r="E367" s="3">
        <v>23.0</v>
      </c>
      <c r="F367" s="3">
        <v>82.0</v>
      </c>
      <c r="G367" s="3">
        <v>105.0</v>
      </c>
      <c r="H367" s="8" t="str">
        <f t="shared" si="1"/>
        <v>Ok</v>
      </c>
      <c r="I367" s="8">
        <f t="shared" si="2"/>
        <v>0</v>
      </c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3">
        <v>367.0</v>
      </c>
      <c r="B368" s="3">
        <v>0.2121</v>
      </c>
      <c r="C368" s="3">
        <v>0.4</v>
      </c>
      <c r="D368" s="3">
        <v>0.1642</v>
      </c>
      <c r="E368" s="3">
        <v>11.0</v>
      </c>
      <c r="F368" s="3">
        <v>56.0</v>
      </c>
      <c r="G368" s="3">
        <v>67.0</v>
      </c>
      <c r="H368" s="8" t="str">
        <f t="shared" si="1"/>
        <v>Ok</v>
      </c>
      <c r="I368" s="8">
        <f t="shared" si="2"/>
        <v>0</v>
      </c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3">
        <v>368.0</v>
      </c>
      <c r="B369" s="3">
        <v>0.197</v>
      </c>
      <c r="C369" s="3">
        <v>0.47</v>
      </c>
      <c r="D369" s="3">
        <v>0.1343</v>
      </c>
      <c r="E369" s="3">
        <v>14.0</v>
      </c>
      <c r="F369" s="3">
        <v>47.0</v>
      </c>
      <c r="G369" s="3">
        <v>61.0</v>
      </c>
      <c r="H369" s="8" t="str">
        <f t="shared" si="1"/>
        <v>Ok</v>
      </c>
      <c r="I369" s="8">
        <f t="shared" si="2"/>
        <v>0</v>
      </c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3">
        <v>369.0</v>
      </c>
      <c r="B370" s="3">
        <v>0.197</v>
      </c>
      <c r="C370" s="3">
        <v>0.47</v>
      </c>
      <c r="D370" s="3">
        <v>0.1642</v>
      </c>
      <c r="E370" s="3">
        <v>7.0</v>
      </c>
      <c r="F370" s="3">
        <v>50.0</v>
      </c>
      <c r="G370" s="3">
        <v>57.0</v>
      </c>
      <c r="H370" s="8" t="str">
        <f t="shared" si="1"/>
        <v>Ok</v>
      </c>
      <c r="I370" s="8">
        <f t="shared" si="2"/>
        <v>0</v>
      </c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3">
        <v>370.0</v>
      </c>
      <c r="B371" s="3">
        <v>0.197</v>
      </c>
      <c r="C371" s="3">
        <v>0.51</v>
      </c>
      <c r="D371" s="3">
        <v>0.1642</v>
      </c>
      <c r="E371" s="3">
        <v>6.0</v>
      </c>
      <c r="F371" s="3">
        <v>22.0</v>
      </c>
      <c r="G371" s="3">
        <v>28.0</v>
      </c>
      <c r="H371" s="8" t="str">
        <f t="shared" si="1"/>
        <v>Ok</v>
      </c>
      <c r="I371" s="8">
        <f t="shared" si="2"/>
        <v>0</v>
      </c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3">
        <v>371.0</v>
      </c>
      <c r="B372" s="3">
        <v>0.2121</v>
      </c>
      <c r="C372" s="3">
        <v>0.49</v>
      </c>
      <c r="D372" s="3">
        <v>0.1343</v>
      </c>
      <c r="E372" s="3">
        <v>2.0</v>
      </c>
      <c r="F372" s="3">
        <v>19.0</v>
      </c>
      <c r="G372" s="3">
        <v>21.0</v>
      </c>
      <c r="H372" s="8" t="str">
        <f t="shared" si="1"/>
        <v>Ok</v>
      </c>
      <c r="I372" s="8">
        <f t="shared" si="2"/>
        <v>0</v>
      </c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3">
        <v>372.0</v>
      </c>
      <c r="B373" s="3">
        <v>0.2273</v>
      </c>
      <c r="C373" s="3">
        <v>0.4</v>
      </c>
      <c r="D373" s="3">
        <v>0.1045</v>
      </c>
      <c r="E373" s="3">
        <v>0.0</v>
      </c>
      <c r="F373" s="3">
        <v>18.0</v>
      </c>
      <c r="G373" s="3">
        <v>18.0</v>
      </c>
      <c r="H373" s="8" t="str">
        <f t="shared" si="1"/>
        <v>Ok</v>
      </c>
      <c r="I373" s="8">
        <f t="shared" si="2"/>
        <v>0</v>
      </c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3">
        <v>373.0</v>
      </c>
      <c r="B374" s="3">
        <v>0.197</v>
      </c>
      <c r="C374" s="3">
        <v>0.47</v>
      </c>
      <c r="D374" s="3">
        <v>0.2239</v>
      </c>
      <c r="E374" s="3">
        <v>1.0</v>
      </c>
      <c r="F374" s="3">
        <v>16.0</v>
      </c>
      <c r="G374" s="3">
        <v>17.0</v>
      </c>
      <c r="H374" s="8" t="str">
        <f t="shared" si="1"/>
        <v>Ok</v>
      </c>
      <c r="I374" s="8">
        <f t="shared" si="2"/>
        <v>0</v>
      </c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3">
        <v>374.0</v>
      </c>
      <c r="B375" s="3">
        <v>0.197</v>
      </c>
      <c r="C375" s="3">
        <v>0.44</v>
      </c>
      <c r="D375" s="3">
        <v>0.194</v>
      </c>
      <c r="E375" s="3">
        <v>1.0</v>
      </c>
      <c r="F375" s="3">
        <v>15.0</v>
      </c>
      <c r="G375" s="3">
        <v>16.0</v>
      </c>
      <c r="H375" s="8" t="str">
        <f t="shared" si="1"/>
        <v>Ok</v>
      </c>
      <c r="I375" s="8">
        <f t="shared" si="2"/>
        <v>0</v>
      </c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3">
        <v>375.0</v>
      </c>
      <c r="B376" s="3">
        <v>0.1667</v>
      </c>
      <c r="C376" s="3">
        <v>0.43</v>
      </c>
      <c r="D376" s="3">
        <v>0.2537</v>
      </c>
      <c r="E376" s="3">
        <v>0.0</v>
      </c>
      <c r="F376" s="3">
        <v>8.0</v>
      </c>
      <c r="G376" s="3">
        <v>8.0</v>
      </c>
      <c r="H376" s="8" t="str">
        <f t="shared" si="1"/>
        <v>Ok</v>
      </c>
      <c r="I376" s="8">
        <f t="shared" si="2"/>
        <v>0</v>
      </c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3">
        <v>376.0</v>
      </c>
      <c r="B377" s="3">
        <v>0.1818</v>
      </c>
      <c r="C377" s="3">
        <v>0.43</v>
      </c>
      <c r="D377" s="3">
        <v>0.194</v>
      </c>
      <c r="E377" s="3">
        <v>0.0</v>
      </c>
      <c r="F377" s="3">
        <v>2.0</v>
      </c>
      <c r="G377" s="3">
        <v>2.0</v>
      </c>
      <c r="H377" s="8" t="str">
        <f t="shared" si="1"/>
        <v>Ok</v>
      </c>
      <c r="I377" s="8">
        <f t="shared" si="2"/>
        <v>0</v>
      </c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3">
        <v>377.0</v>
      </c>
      <c r="B378" s="3">
        <v>0.197</v>
      </c>
      <c r="C378" s="3">
        <v>0.43</v>
      </c>
      <c r="D378" s="3">
        <v>0.1343</v>
      </c>
      <c r="E378" s="3">
        <v>1.0</v>
      </c>
      <c r="F378" s="3">
        <v>2.0</v>
      </c>
      <c r="G378" s="3">
        <v>3.0</v>
      </c>
      <c r="H378" s="8" t="str">
        <f t="shared" si="1"/>
        <v>Ok</v>
      </c>
      <c r="I378" s="8">
        <f t="shared" si="2"/>
        <v>0</v>
      </c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3">
        <v>378.0</v>
      </c>
      <c r="B379" s="3">
        <v>0.197</v>
      </c>
      <c r="C379" s="3">
        <v>0.43</v>
      </c>
      <c r="D379" s="3">
        <v>0.1642</v>
      </c>
      <c r="E379" s="3">
        <v>0.0</v>
      </c>
      <c r="F379" s="3">
        <v>1.0</v>
      </c>
      <c r="G379" s="3">
        <v>1.0</v>
      </c>
      <c r="H379" s="8" t="str">
        <f t="shared" si="1"/>
        <v>Ok</v>
      </c>
      <c r="I379" s="8">
        <f t="shared" si="2"/>
        <v>0</v>
      </c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3">
        <v>379.0</v>
      </c>
      <c r="B380" s="3">
        <v>0.1818</v>
      </c>
      <c r="C380" s="3">
        <v>0.43</v>
      </c>
      <c r="D380" s="3">
        <v>0.194</v>
      </c>
      <c r="E380" s="3">
        <v>0.0</v>
      </c>
      <c r="F380" s="3">
        <v>5.0</v>
      </c>
      <c r="G380" s="3">
        <v>5.0</v>
      </c>
      <c r="H380" s="8" t="str">
        <f t="shared" si="1"/>
        <v>Ok</v>
      </c>
      <c r="I380" s="8">
        <f t="shared" si="2"/>
        <v>0</v>
      </c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3">
        <v>380.0</v>
      </c>
      <c r="B381" s="3">
        <v>0.1818</v>
      </c>
      <c r="C381" s="3">
        <v>0.5</v>
      </c>
      <c r="D381" s="3">
        <v>0.1343</v>
      </c>
      <c r="E381" s="3">
        <v>4.0</v>
      </c>
      <c r="F381" s="3">
        <v>9.0</v>
      </c>
      <c r="G381" s="3">
        <v>13.0</v>
      </c>
      <c r="H381" s="8" t="str">
        <f t="shared" si="1"/>
        <v>Ok</v>
      </c>
      <c r="I381" s="8">
        <f t="shared" si="2"/>
        <v>0</v>
      </c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3">
        <v>381.0</v>
      </c>
      <c r="B382" s="3">
        <v>0.1515</v>
      </c>
      <c r="C382" s="3">
        <v>0.47</v>
      </c>
      <c r="D382" s="3">
        <v>0.2239</v>
      </c>
      <c r="E382" s="3">
        <v>3.0</v>
      </c>
      <c r="F382" s="3">
        <v>30.0</v>
      </c>
      <c r="G382" s="3">
        <v>33.0</v>
      </c>
      <c r="H382" s="8" t="str">
        <f t="shared" si="1"/>
        <v>Ok</v>
      </c>
      <c r="I382" s="8">
        <f t="shared" si="2"/>
        <v>0</v>
      </c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3">
        <v>382.0</v>
      </c>
      <c r="B383" s="3">
        <v>0.1515</v>
      </c>
      <c r="C383" s="3">
        <v>0.47</v>
      </c>
      <c r="D383" s="3">
        <v>0.2239</v>
      </c>
      <c r="E383" s="3">
        <v>8.0</v>
      </c>
      <c r="F383" s="3">
        <v>39.0</v>
      </c>
      <c r="G383" s="3">
        <v>47.0</v>
      </c>
      <c r="H383" s="8" t="str">
        <f t="shared" si="1"/>
        <v>Ok</v>
      </c>
      <c r="I383" s="8">
        <f t="shared" si="2"/>
        <v>0</v>
      </c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3">
        <v>383.0</v>
      </c>
      <c r="B384" s="3">
        <v>0.1515</v>
      </c>
      <c r="C384" s="3">
        <v>0.5</v>
      </c>
      <c r="D384" s="3">
        <v>0.2537</v>
      </c>
      <c r="E384" s="3">
        <v>7.0</v>
      </c>
      <c r="F384" s="3">
        <v>50.0</v>
      </c>
      <c r="G384" s="3">
        <v>57.0</v>
      </c>
      <c r="H384" s="8" t="str">
        <f t="shared" si="1"/>
        <v>Ok</v>
      </c>
      <c r="I384" s="8">
        <f t="shared" si="2"/>
        <v>0</v>
      </c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3">
        <v>384.0</v>
      </c>
      <c r="B385" s="3">
        <v>0.1515</v>
      </c>
      <c r="C385" s="3">
        <v>0.55</v>
      </c>
      <c r="D385" s="3">
        <v>0.194</v>
      </c>
      <c r="E385" s="3">
        <v>9.0</v>
      </c>
      <c r="F385" s="3">
        <v>55.0</v>
      </c>
      <c r="G385" s="3">
        <v>64.0</v>
      </c>
      <c r="H385" s="8" t="str">
        <f t="shared" si="1"/>
        <v>Ok</v>
      </c>
      <c r="I385" s="8">
        <f t="shared" si="2"/>
        <v>0</v>
      </c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3">
        <v>385.0</v>
      </c>
      <c r="B386" s="3">
        <v>0.197</v>
      </c>
      <c r="C386" s="3">
        <v>0.47</v>
      </c>
      <c r="D386" s="3">
        <v>0.1343</v>
      </c>
      <c r="E386" s="3">
        <v>10.0</v>
      </c>
      <c r="F386" s="3">
        <v>70.0</v>
      </c>
      <c r="G386" s="3">
        <v>80.0</v>
      </c>
      <c r="H386" s="8" t="str">
        <f t="shared" si="1"/>
        <v>Ok</v>
      </c>
      <c r="I386" s="8">
        <f t="shared" si="2"/>
        <v>0</v>
      </c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3">
        <v>386.0</v>
      </c>
      <c r="B387" s="3">
        <v>0.197</v>
      </c>
      <c r="C387" s="3">
        <v>0.47</v>
      </c>
      <c r="D387" s="3">
        <v>0.1343</v>
      </c>
      <c r="E387" s="3">
        <v>13.0</v>
      </c>
      <c r="F387" s="3">
        <v>80.0</v>
      </c>
      <c r="G387" s="3">
        <v>93.0</v>
      </c>
      <c r="H387" s="8" t="str">
        <f t="shared" si="1"/>
        <v>Ok</v>
      </c>
      <c r="I387" s="8">
        <f t="shared" si="2"/>
        <v>0</v>
      </c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3">
        <v>387.0</v>
      </c>
      <c r="B388" s="3">
        <v>0.2121</v>
      </c>
      <c r="C388" s="3">
        <v>0.43</v>
      </c>
      <c r="D388" s="3">
        <v>0.1045</v>
      </c>
      <c r="E388" s="3">
        <v>12.0</v>
      </c>
      <c r="F388" s="3">
        <v>74.0</v>
      </c>
      <c r="G388" s="3">
        <v>86.0</v>
      </c>
      <c r="H388" s="8" t="str">
        <f t="shared" si="1"/>
        <v>Ok</v>
      </c>
      <c r="I388" s="8">
        <f t="shared" si="2"/>
        <v>0</v>
      </c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3">
        <v>388.0</v>
      </c>
      <c r="B389" s="3">
        <v>0.2121</v>
      </c>
      <c r="C389" s="3">
        <v>0.47</v>
      </c>
      <c r="D389" s="3">
        <v>0.1642</v>
      </c>
      <c r="E389" s="3">
        <v>21.0</v>
      </c>
      <c r="F389" s="3">
        <v>72.0</v>
      </c>
      <c r="G389" s="3">
        <v>93.0</v>
      </c>
      <c r="H389" s="8" t="str">
        <f t="shared" si="1"/>
        <v>Ok</v>
      </c>
      <c r="I389" s="8">
        <f t="shared" si="2"/>
        <v>0</v>
      </c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3">
        <v>389.0</v>
      </c>
      <c r="B390" s="3">
        <v>0.2121</v>
      </c>
      <c r="C390" s="3">
        <v>0.47</v>
      </c>
      <c r="D390" s="3">
        <v>0.1642</v>
      </c>
      <c r="E390" s="3">
        <v>6.0</v>
      </c>
      <c r="F390" s="3">
        <v>76.0</v>
      </c>
      <c r="G390" s="3">
        <v>82.0</v>
      </c>
      <c r="H390" s="8" t="str">
        <f t="shared" si="1"/>
        <v>Ok</v>
      </c>
      <c r="I390" s="8">
        <f t="shared" si="2"/>
        <v>0</v>
      </c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3">
        <v>390.0</v>
      </c>
      <c r="B391" s="3">
        <v>0.197</v>
      </c>
      <c r="C391" s="3">
        <v>0.51</v>
      </c>
      <c r="D391" s="3">
        <v>0.194</v>
      </c>
      <c r="E391" s="3">
        <v>4.0</v>
      </c>
      <c r="F391" s="3">
        <v>67.0</v>
      </c>
      <c r="G391" s="3">
        <v>71.0</v>
      </c>
      <c r="H391" s="8" t="str">
        <f t="shared" si="1"/>
        <v>Ok</v>
      </c>
      <c r="I391" s="8">
        <f t="shared" si="2"/>
        <v>0</v>
      </c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3">
        <v>391.0</v>
      </c>
      <c r="B392" s="3">
        <v>0.1667</v>
      </c>
      <c r="C392" s="3">
        <v>0.55</v>
      </c>
      <c r="D392" s="3">
        <v>0.2537</v>
      </c>
      <c r="E392" s="3">
        <v>7.0</v>
      </c>
      <c r="F392" s="3">
        <v>85.0</v>
      </c>
      <c r="G392" s="3">
        <v>92.0</v>
      </c>
      <c r="H392" s="8" t="str">
        <f t="shared" si="1"/>
        <v>Ok</v>
      </c>
      <c r="I392" s="8">
        <f t="shared" si="2"/>
        <v>0</v>
      </c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3">
        <v>392.0</v>
      </c>
      <c r="B393" s="3">
        <v>0.1818</v>
      </c>
      <c r="C393" s="3">
        <v>0.59</v>
      </c>
      <c r="D393" s="3">
        <v>0.194</v>
      </c>
      <c r="E393" s="3">
        <v>2.0</v>
      </c>
      <c r="F393" s="3">
        <v>58.0</v>
      </c>
      <c r="G393" s="3">
        <v>60.0</v>
      </c>
      <c r="H393" s="8" t="str">
        <f t="shared" si="1"/>
        <v>Ok</v>
      </c>
      <c r="I393" s="8">
        <f t="shared" si="2"/>
        <v>0</v>
      </c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3">
        <v>393.0</v>
      </c>
      <c r="B394" s="3">
        <v>0.1515</v>
      </c>
      <c r="C394" s="3">
        <v>0.8</v>
      </c>
      <c r="D394" s="3">
        <v>0.194</v>
      </c>
      <c r="E394" s="3">
        <v>4.0</v>
      </c>
      <c r="F394" s="3">
        <v>29.0</v>
      </c>
      <c r="G394" s="3">
        <v>33.0</v>
      </c>
      <c r="H394" s="8" t="str">
        <f t="shared" si="1"/>
        <v>Ok</v>
      </c>
      <c r="I394" s="8">
        <f t="shared" si="2"/>
        <v>0</v>
      </c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3">
        <v>394.0</v>
      </c>
      <c r="B395" s="3">
        <v>0.1515</v>
      </c>
      <c r="C395" s="3">
        <v>0.8</v>
      </c>
      <c r="D395" s="3">
        <v>0.194</v>
      </c>
      <c r="E395" s="3">
        <v>3.0</v>
      </c>
      <c r="F395" s="3">
        <v>24.0</v>
      </c>
      <c r="G395" s="3">
        <v>27.0</v>
      </c>
      <c r="H395" s="8" t="str">
        <f t="shared" si="1"/>
        <v>Ok</v>
      </c>
      <c r="I395" s="8">
        <f t="shared" si="2"/>
        <v>0</v>
      </c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3">
        <v>395.0</v>
      </c>
      <c r="B396" s="3">
        <v>0.1212</v>
      </c>
      <c r="C396" s="3">
        <v>0.93</v>
      </c>
      <c r="D396" s="3">
        <v>0.2537</v>
      </c>
      <c r="E396" s="3">
        <v>0.0</v>
      </c>
      <c r="F396" s="3">
        <v>13.0</v>
      </c>
      <c r="G396" s="3">
        <v>13.0</v>
      </c>
      <c r="H396" s="8" t="str">
        <f t="shared" si="1"/>
        <v>Ok</v>
      </c>
      <c r="I396" s="8">
        <f t="shared" si="2"/>
        <v>0</v>
      </c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3">
        <v>396.0</v>
      </c>
      <c r="B397" s="3">
        <v>0.1364</v>
      </c>
      <c r="C397" s="3">
        <v>0.86</v>
      </c>
      <c r="D397" s="3">
        <v>0.2836</v>
      </c>
      <c r="E397" s="3">
        <v>1.0</v>
      </c>
      <c r="F397" s="3">
        <v>3.0</v>
      </c>
      <c r="G397" s="3">
        <v>4.0</v>
      </c>
      <c r="H397" s="8" t="str">
        <f t="shared" si="1"/>
        <v>Ok</v>
      </c>
      <c r="I397" s="8">
        <f t="shared" si="2"/>
        <v>0</v>
      </c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3">
        <v>397.0</v>
      </c>
      <c r="B398" s="3">
        <v>0.1818</v>
      </c>
      <c r="C398" s="3">
        <v>0.86</v>
      </c>
      <c r="D398" s="3">
        <v>0.3284</v>
      </c>
      <c r="E398" s="3">
        <v>0.0</v>
      </c>
      <c r="F398" s="3">
        <v>3.0</v>
      </c>
      <c r="G398" s="3">
        <v>3.0</v>
      </c>
      <c r="H398" s="8" t="str">
        <f t="shared" si="1"/>
        <v>Ok</v>
      </c>
      <c r="I398" s="8">
        <f t="shared" si="2"/>
        <v>0</v>
      </c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3">
        <v>398.0</v>
      </c>
      <c r="B399" s="3">
        <v>0.197</v>
      </c>
      <c r="C399" s="3">
        <v>0.86</v>
      </c>
      <c r="D399" s="3">
        <v>0.2239</v>
      </c>
      <c r="E399" s="3">
        <v>0.0</v>
      </c>
      <c r="F399" s="3">
        <v>22.0</v>
      </c>
      <c r="G399" s="3">
        <v>22.0</v>
      </c>
      <c r="H399" s="8" t="str">
        <f t="shared" si="1"/>
        <v>Ok</v>
      </c>
      <c r="I399" s="8">
        <f t="shared" si="2"/>
        <v>0</v>
      </c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3">
        <v>399.0</v>
      </c>
      <c r="B400" s="3">
        <v>0.2273</v>
      </c>
      <c r="C400" s="3">
        <v>0.8</v>
      </c>
      <c r="D400" s="3">
        <v>0.1642</v>
      </c>
      <c r="E400" s="3">
        <v>2.0</v>
      </c>
      <c r="F400" s="3">
        <v>26.0</v>
      </c>
      <c r="G400" s="3">
        <v>28.0</v>
      </c>
      <c r="H400" s="8" t="str">
        <f t="shared" si="1"/>
        <v>Ok</v>
      </c>
      <c r="I400" s="8">
        <f t="shared" si="2"/>
        <v>0</v>
      </c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3">
        <v>400.0</v>
      </c>
      <c r="B401" s="3">
        <v>0.2273</v>
      </c>
      <c r="C401" s="3">
        <v>0.87</v>
      </c>
      <c r="D401" s="3">
        <v>0.1642</v>
      </c>
      <c r="E401" s="3">
        <v>3.0</v>
      </c>
      <c r="F401" s="3">
        <v>32.0</v>
      </c>
      <c r="G401" s="3">
        <v>35.0</v>
      </c>
      <c r="H401" s="8" t="str">
        <f t="shared" si="1"/>
        <v>Ok</v>
      </c>
      <c r="I401" s="8">
        <f t="shared" si="2"/>
        <v>0</v>
      </c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3">
        <v>401.0</v>
      </c>
      <c r="B402" s="3">
        <v>0.2273</v>
      </c>
      <c r="C402" s="3">
        <v>0.87</v>
      </c>
      <c r="D402" s="3">
        <v>0.194</v>
      </c>
      <c r="E402" s="3">
        <v>0.0</v>
      </c>
      <c r="F402" s="3">
        <v>61.0</v>
      </c>
      <c r="G402" s="3">
        <v>61.0</v>
      </c>
      <c r="H402" s="8" t="str">
        <f t="shared" si="1"/>
        <v>Ok</v>
      </c>
      <c r="I402" s="8">
        <f t="shared" si="2"/>
        <v>0</v>
      </c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3">
        <v>402.0</v>
      </c>
      <c r="B403" s="3">
        <v>0.2273</v>
      </c>
      <c r="C403" s="3">
        <v>0.82</v>
      </c>
      <c r="D403" s="3">
        <v>0.194</v>
      </c>
      <c r="E403" s="3">
        <v>1.0</v>
      </c>
      <c r="F403" s="3">
        <v>124.0</v>
      </c>
      <c r="G403" s="3">
        <v>125.0</v>
      </c>
      <c r="H403" s="8" t="str">
        <f t="shared" si="1"/>
        <v>Ok</v>
      </c>
      <c r="I403" s="8">
        <f t="shared" si="2"/>
        <v>0</v>
      </c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3">
        <v>403.0</v>
      </c>
      <c r="B404" s="3">
        <v>0.2273</v>
      </c>
      <c r="C404" s="3">
        <v>0.8</v>
      </c>
      <c r="D404" s="3">
        <v>0.1642</v>
      </c>
      <c r="E404" s="3">
        <v>1.0</v>
      </c>
      <c r="F404" s="3">
        <v>132.0</v>
      </c>
      <c r="G404" s="3">
        <v>133.0</v>
      </c>
      <c r="H404" s="8" t="str">
        <f t="shared" si="1"/>
        <v>Ok</v>
      </c>
      <c r="I404" s="8">
        <f t="shared" si="2"/>
        <v>0</v>
      </c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3">
        <v>404.0</v>
      </c>
      <c r="B405" s="3">
        <v>0.2273</v>
      </c>
      <c r="C405" s="3">
        <v>0.8</v>
      </c>
      <c r="D405" s="3">
        <v>0.1343</v>
      </c>
      <c r="E405" s="3">
        <v>1.0</v>
      </c>
      <c r="F405" s="3">
        <v>98.0</v>
      </c>
      <c r="G405" s="3">
        <v>99.0</v>
      </c>
      <c r="H405" s="8" t="str">
        <f t="shared" si="1"/>
        <v>Ok</v>
      </c>
      <c r="I405" s="8">
        <f t="shared" si="2"/>
        <v>0</v>
      </c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3">
        <v>405.0</v>
      </c>
      <c r="B406" s="3">
        <v>0.2727</v>
      </c>
      <c r="C406" s="3">
        <v>0.87</v>
      </c>
      <c r="D406" s="3">
        <v>0.0</v>
      </c>
      <c r="E406" s="3">
        <v>0.0</v>
      </c>
      <c r="F406" s="3">
        <v>83.0</v>
      </c>
      <c r="G406" s="3">
        <v>83.0</v>
      </c>
      <c r="H406" s="8" t="str">
        <f t="shared" si="1"/>
        <v>Ok</v>
      </c>
      <c r="I406" s="8">
        <f t="shared" si="2"/>
        <v>0</v>
      </c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3">
        <v>406.0</v>
      </c>
      <c r="B407" s="3">
        <v>0.2424</v>
      </c>
      <c r="C407" s="3">
        <v>0.93</v>
      </c>
      <c r="D407" s="3">
        <v>0.1045</v>
      </c>
      <c r="E407" s="3">
        <v>0.0</v>
      </c>
      <c r="F407" s="3">
        <v>41.0</v>
      </c>
      <c r="G407" s="3">
        <v>41.0</v>
      </c>
      <c r="H407" s="8" t="str">
        <f t="shared" si="1"/>
        <v>Ok</v>
      </c>
      <c r="I407" s="8">
        <f t="shared" si="2"/>
        <v>0</v>
      </c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3">
        <v>407.0</v>
      </c>
      <c r="B408" s="3">
        <v>0.2576</v>
      </c>
      <c r="C408" s="3">
        <v>0.93</v>
      </c>
      <c r="D408" s="3">
        <v>0.0896</v>
      </c>
      <c r="E408" s="3">
        <v>0.0</v>
      </c>
      <c r="F408" s="3">
        <v>33.0</v>
      </c>
      <c r="G408" s="3">
        <v>33.0</v>
      </c>
      <c r="H408" s="8" t="str">
        <f t="shared" si="1"/>
        <v>Ok</v>
      </c>
      <c r="I408" s="8">
        <f t="shared" si="2"/>
        <v>0</v>
      </c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3">
        <v>408.0</v>
      </c>
      <c r="B409" s="3">
        <v>0.2727</v>
      </c>
      <c r="C409" s="3">
        <v>0.93</v>
      </c>
      <c r="D409" s="3">
        <v>0.0</v>
      </c>
      <c r="E409" s="3">
        <v>1.0</v>
      </c>
      <c r="F409" s="3">
        <v>19.0</v>
      </c>
      <c r="G409" s="3">
        <v>20.0</v>
      </c>
      <c r="H409" s="8" t="str">
        <f t="shared" si="1"/>
        <v>Ok</v>
      </c>
      <c r="I409" s="8">
        <f t="shared" si="2"/>
        <v>0</v>
      </c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3">
        <v>409.0</v>
      </c>
      <c r="B410" s="3">
        <v>0.2727</v>
      </c>
      <c r="C410" s="3">
        <v>0.93</v>
      </c>
      <c r="D410" s="3">
        <v>0.0</v>
      </c>
      <c r="E410" s="3">
        <v>0.0</v>
      </c>
      <c r="F410" s="3">
        <v>3.0</v>
      </c>
      <c r="G410" s="3">
        <v>3.0</v>
      </c>
      <c r="H410" s="8" t="str">
        <f t="shared" si="1"/>
        <v>Ok</v>
      </c>
      <c r="I410" s="8">
        <f t="shared" si="2"/>
        <v>0</v>
      </c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3">
        <v>410.0</v>
      </c>
      <c r="B411" s="3">
        <v>0.2273</v>
      </c>
      <c r="C411" s="3">
        <v>0.93</v>
      </c>
      <c r="D411" s="3">
        <v>0.1343</v>
      </c>
      <c r="E411" s="3">
        <v>1.0</v>
      </c>
      <c r="F411" s="3">
        <v>6.0</v>
      </c>
      <c r="G411" s="3">
        <v>7.0</v>
      </c>
      <c r="H411" s="8" t="str">
        <f t="shared" si="1"/>
        <v>Ok</v>
      </c>
      <c r="I411" s="8">
        <f t="shared" si="2"/>
        <v>0</v>
      </c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3">
        <v>411.0</v>
      </c>
      <c r="B412" s="3">
        <v>0.2273</v>
      </c>
      <c r="C412" s="3">
        <v>0.93</v>
      </c>
      <c r="D412" s="3">
        <v>0.1343</v>
      </c>
      <c r="E412" s="3">
        <v>0.0</v>
      </c>
      <c r="F412" s="3">
        <v>3.0</v>
      </c>
      <c r="G412" s="3">
        <v>3.0</v>
      </c>
      <c r="H412" s="8" t="str">
        <f t="shared" si="1"/>
        <v>Ok</v>
      </c>
      <c r="I412" s="8">
        <f t="shared" si="2"/>
        <v>0</v>
      </c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3">
        <v>412.0</v>
      </c>
      <c r="B413" s="3">
        <v>0.2273</v>
      </c>
      <c r="C413" s="3">
        <v>0.93</v>
      </c>
      <c r="D413" s="3">
        <v>0.1343</v>
      </c>
      <c r="E413" s="3">
        <v>1.0</v>
      </c>
      <c r="F413" s="3">
        <v>1.0</v>
      </c>
      <c r="G413" s="3">
        <v>2.0</v>
      </c>
      <c r="H413" s="8" t="str">
        <f t="shared" si="1"/>
        <v>Ok</v>
      </c>
      <c r="I413" s="8">
        <f t="shared" si="2"/>
        <v>0</v>
      </c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3">
        <v>413.0</v>
      </c>
      <c r="B414" s="3">
        <v>0.2576</v>
      </c>
      <c r="C414" s="3">
        <v>0.93</v>
      </c>
      <c r="D414" s="3">
        <v>0.0896</v>
      </c>
      <c r="E414" s="3">
        <v>0.0</v>
      </c>
      <c r="F414" s="3">
        <v>7.0</v>
      </c>
      <c r="G414" s="3">
        <v>7.0</v>
      </c>
      <c r="H414" s="8" t="str">
        <f t="shared" si="1"/>
        <v>Ok</v>
      </c>
      <c r="I414" s="8">
        <f t="shared" si="2"/>
        <v>0</v>
      </c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3">
        <v>414.0</v>
      </c>
      <c r="B415" s="3">
        <v>0.2576</v>
      </c>
      <c r="C415" s="3">
        <v>0.93</v>
      </c>
      <c r="D415" s="3">
        <v>0.0896</v>
      </c>
      <c r="E415" s="3">
        <v>0.0</v>
      </c>
      <c r="F415" s="3">
        <v>32.0</v>
      </c>
      <c r="G415" s="3">
        <v>32.0</v>
      </c>
      <c r="H415" s="8" t="str">
        <f t="shared" si="1"/>
        <v>Ok</v>
      </c>
      <c r="I415" s="8">
        <f t="shared" si="2"/>
        <v>0</v>
      </c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3">
        <v>415.0</v>
      </c>
      <c r="B416" s="3">
        <v>0.2576</v>
      </c>
      <c r="C416" s="3">
        <v>0.92</v>
      </c>
      <c r="D416" s="3">
        <v>0.1045</v>
      </c>
      <c r="E416" s="3">
        <v>1.0</v>
      </c>
      <c r="F416" s="3">
        <v>89.0</v>
      </c>
      <c r="G416" s="3">
        <v>90.0</v>
      </c>
      <c r="H416" s="8" t="str">
        <f t="shared" si="1"/>
        <v>Ok</v>
      </c>
      <c r="I416" s="8">
        <f t="shared" si="2"/>
        <v>0</v>
      </c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3">
        <v>416.0</v>
      </c>
      <c r="B417" s="3">
        <v>0.2576</v>
      </c>
      <c r="C417" s="3">
        <v>0.93</v>
      </c>
      <c r="D417" s="3">
        <v>0.1045</v>
      </c>
      <c r="E417" s="3">
        <v>1.0</v>
      </c>
      <c r="F417" s="3">
        <v>196.0</v>
      </c>
      <c r="G417" s="3">
        <v>197.0</v>
      </c>
      <c r="H417" s="8" t="str">
        <f t="shared" si="1"/>
        <v>Ok</v>
      </c>
      <c r="I417" s="8">
        <f t="shared" si="2"/>
        <v>0</v>
      </c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3">
        <v>417.0</v>
      </c>
      <c r="B418" s="3">
        <v>0.2576</v>
      </c>
      <c r="C418" s="3">
        <v>0.93</v>
      </c>
      <c r="D418" s="3">
        <v>0.1045</v>
      </c>
      <c r="E418" s="3">
        <v>2.0</v>
      </c>
      <c r="F418" s="3">
        <v>107.0</v>
      </c>
      <c r="G418" s="3">
        <v>109.0</v>
      </c>
      <c r="H418" s="8" t="str">
        <f t="shared" si="1"/>
        <v>Ok</v>
      </c>
      <c r="I418" s="8">
        <f t="shared" si="2"/>
        <v>0</v>
      </c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3">
        <v>418.0</v>
      </c>
      <c r="B419" s="3">
        <v>0.2727</v>
      </c>
      <c r="C419" s="3">
        <v>0.93</v>
      </c>
      <c r="D419" s="3">
        <v>0.1343</v>
      </c>
      <c r="E419" s="3">
        <v>1.0</v>
      </c>
      <c r="F419" s="3">
        <v>46.0</v>
      </c>
      <c r="G419" s="3">
        <v>47.0</v>
      </c>
      <c r="H419" s="8" t="str">
        <f t="shared" si="1"/>
        <v>Ok</v>
      </c>
      <c r="I419" s="8">
        <f t="shared" si="2"/>
        <v>0</v>
      </c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3">
        <v>419.0</v>
      </c>
      <c r="B420" s="3">
        <v>0.303</v>
      </c>
      <c r="C420" s="3">
        <v>0.87</v>
      </c>
      <c r="D420" s="3">
        <v>0.0896</v>
      </c>
      <c r="E420" s="3">
        <v>5.0</v>
      </c>
      <c r="F420" s="3">
        <v>47.0</v>
      </c>
      <c r="G420" s="3">
        <v>52.0</v>
      </c>
      <c r="H420" s="8" t="str">
        <f t="shared" si="1"/>
        <v>Ok</v>
      </c>
      <c r="I420" s="8">
        <f t="shared" si="2"/>
        <v>0</v>
      </c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3">
        <v>420.0</v>
      </c>
      <c r="B421" s="3">
        <v>0.3182</v>
      </c>
      <c r="C421" s="3">
        <v>0.81</v>
      </c>
      <c r="D421" s="3">
        <v>0.0896</v>
      </c>
      <c r="E421" s="3">
        <v>5.0</v>
      </c>
      <c r="F421" s="3">
        <v>65.0</v>
      </c>
      <c r="G421" s="3">
        <v>70.0</v>
      </c>
      <c r="H421" s="8" t="str">
        <f t="shared" si="1"/>
        <v>Ok</v>
      </c>
      <c r="I421" s="8">
        <f t="shared" si="2"/>
        <v>0</v>
      </c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3">
        <v>421.0</v>
      </c>
      <c r="B422" s="3">
        <v>0.4091</v>
      </c>
      <c r="C422" s="3">
        <v>0.62</v>
      </c>
      <c r="D422" s="3">
        <v>0.2836</v>
      </c>
      <c r="E422" s="3">
        <v>11.0</v>
      </c>
      <c r="F422" s="3">
        <v>67.0</v>
      </c>
      <c r="G422" s="3">
        <v>78.0</v>
      </c>
      <c r="H422" s="8" t="str">
        <f t="shared" si="1"/>
        <v>Ok</v>
      </c>
      <c r="I422" s="8">
        <f t="shared" si="2"/>
        <v>0</v>
      </c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3">
        <v>422.0</v>
      </c>
      <c r="B423" s="3">
        <v>0.4091</v>
      </c>
      <c r="C423" s="3">
        <v>0.58</v>
      </c>
      <c r="D423" s="3">
        <v>0.2537</v>
      </c>
      <c r="E423" s="3">
        <v>7.0</v>
      </c>
      <c r="F423" s="3">
        <v>68.0</v>
      </c>
      <c r="G423" s="3">
        <v>75.0</v>
      </c>
      <c r="H423" s="8" t="str">
        <f t="shared" si="1"/>
        <v>Ok</v>
      </c>
      <c r="I423" s="8">
        <f t="shared" si="2"/>
        <v>0</v>
      </c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3">
        <v>423.0</v>
      </c>
      <c r="B424" s="3">
        <v>0.4091</v>
      </c>
      <c r="C424" s="3">
        <v>0.54</v>
      </c>
      <c r="D424" s="3">
        <v>0.2836</v>
      </c>
      <c r="E424" s="3">
        <v>4.0</v>
      </c>
      <c r="F424" s="3">
        <v>78.0</v>
      </c>
      <c r="G424" s="3">
        <v>82.0</v>
      </c>
      <c r="H424" s="8" t="str">
        <f t="shared" si="1"/>
        <v>Ok</v>
      </c>
      <c r="I424" s="8">
        <f t="shared" si="2"/>
        <v>0</v>
      </c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3">
        <v>424.0</v>
      </c>
      <c r="B425" s="3">
        <v>0.3939</v>
      </c>
      <c r="C425" s="3">
        <v>0.58</v>
      </c>
      <c r="D425" s="3">
        <v>0.3881</v>
      </c>
      <c r="E425" s="3">
        <v>10.0</v>
      </c>
      <c r="F425" s="3">
        <v>94.0</v>
      </c>
      <c r="G425" s="3">
        <v>104.0</v>
      </c>
      <c r="H425" s="8" t="str">
        <f t="shared" si="1"/>
        <v>Ok</v>
      </c>
      <c r="I425" s="8">
        <f t="shared" si="2"/>
        <v>0</v>
      </c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3">
        <v>425.0</v>
      </c>
      <c r="B426" s="3">
        <v>0.3333</v>
      </c>
      <c r="C426" s="3">
        <v>0.57</v>
      </c>
      <c r="D426" s="3">
        <v>0.3284</v>
      </c>
      <c r="E426" s="3">
        <v>7.0</v>
      </c>
      <c r="F426" s="3">
        <v>190.0</v>
      </c>
      <c r="G426" s="3">
        <v>197.0</v>
      </c>
      <c r="H426" s="8" t="str">
        <f t="shared" si="1"/>
        <v>Ok</v>
      </c>
      <c r="I426" s="8">
        <f t="shared" si="2"/>
        <v>0</v>
      </c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3">
        <v>426.0</v>
      </c>
      <c r="B427" s="3">
        <v>0.3182</v>
      </c>
      <c r="C427" s="3">
        <v>0.61</v>
      </c>
      <c r="D427" s="3">
        <v>0.2836</v>
      </c>
      <c r="E427" s="3">
        <v>5.0</v>
      </c>
      <c r="F427" s="3">
        <v>156.0</v>
      </c>
      <c r="G427" s="3">
        <v>161.0</v>
      </c>
      <c r="H427" s="8" t="str">
        <f t="shared" si="1"/>
        <v>Ok</v>
      </c>
      <c r="I427" s="8">
        <f t="shared" si="2"/>
        <v>0</v>
      </c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3">
        <v>427.0</v>
      </c>
      <c r="B428" s="3">
        <v>0.2879</v>
      </c>
      <c r="C428" s="3">
        <v>0.57</v>
      </c>
      <c r="D428" s="3">
        <v>0.4179</v>
      </c>
      <c r="E428" s="3">
        <v>4.0</v>
      </c>
      <c r="F428" s="3">
        <v>108.0</v>
      </c>
      <c r="G428" s="3">
        <v>112.0</v>
      </c>
      <c r="H428" s="8" t="str">
        <f t="shared" si="1"/>
        <v>Ok</v>
      </c>
      <c r="I428" s="8">
        <f t="shared" si="2"/>
        <v>0</v>
      </c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3">
        <v>428.0</v>
      </c>
      <c r="B429" s="3">
        <v>0.303</v>
      </c>
      <c r="C429" s="3">
        <v>0.49</v>
      </c>
      <c r="D429" s="3">
        <v>0.2985</v>
      </c>
      <c r="E429" s="3">
        <v>2.0</v>
      </c>
      <c r="F429" s="3">
        <v>74.0</v>
      </c>
      <c r="G429" s="3">
        <v>76.0</v>
      </c>
      <c r="H429" s="8" t="str">
        <f t="shared" si="1"/>
        <v>Ok</v>
      </c>
      <c r="I429" s="8">
        <f t="shared" si="2"/>
        <v>0</v>
      </c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3">
        <v>429.0</v>
      </c>
      <c r="B430" s="3">
        <v>0.2879</v>
      </c>
      <c r="C430" s="3">
        <v>0.49</v>
      </c>
      <c r="D430" s="3">
        <v>0.4179</v>
      </c>
      <c r="E430" s="3">
        <v>4.0</v>
      </c>
      <c r="F430" s="3">
        <v>55.0</v>
      </c>
      <c r="G430" s="3">
        <v>59.0</v>
      </c>
      <c r="H430" s="8" t="str">
        <f t="shared" si="1"/>
        <v>Ok</v>
      </c>
      <c r="I430" s="8">
        <f t="shared" si="2"/>
        <v>0</v>
      </c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3">
        <v>430.0</v>
      </c>
      <c r="B431" s="3">
        <v>0.303</v>
      </c>
      <c r="C431" s="3">
        <v>0.52</v>
      </c>
      <c r="D431" s="3">
        <v>0.1642</v>
      </c>
      <c r="E431" s="3">
        <v>6.0</v>
      </c>
      <c r="F431" s="3">
        <v>53.0</v>
      </c>
      <c r="G431" s="3">
        <v>59.0</v>
      </c>
      <c r="H431" s="8" t="str">
        <f t="shared" si="1"/>
        <v>Ok</v>
      </c>
      <c r="I431" s="8">
        <f t="shared" si="2"/>
        <v>0</v>
      </c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3">
        <v>431.0</v>
      </c>
      <c r="B432" s="3">
        <v>0.2727</v>
      </c>
      <c r="C432" s="3">
        <v>0.52</v>
      </c>
      <c r="D432" s="3">
        <v>0.4627</v>
      </c>
      <c r="E432" s="3">
        <v>1.0</v>
      </c>
      <c r="F432" s="3">
        <v>27.0</v>
      </c>
      <c r="G432" s="3">
        <v>28.0</v>
      </c>
      <c r="H432" s="8" t="str">
        <f t="shared" si="1"/>
        <v>Ok</v>
      </c>
      <c r="I432" s="8">
        <f t="shared" si="2"/>
        <v>0</v>
      </c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3">
        <v>432.0</v>
      </c>
      <c r="B433" s="3">
        <v>0.2273</v>
      </c>
      <c r="C433" s="3">
        <v>0.56</v>
      </c>
      <c r="D433" s="3">
        <v>0.3881</v>
      </c>
      <c r="E433" s="3">
        <v>5.0</v>
      </c>
      <c r="F433" s="3">
        <v>8.0</v>
      </c>
      <c r="G433" s="3">
        <v>13.0</v>
      </c>
      <c r="H433" s="8" t="str">
        <f t="shared" si="1"/>
        <v>Ok</v>
      </c>
      <c r="I433" s="8">
        <f t="shared" si="2"/>
        <v>0</v>
      </c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3">
        <v>433.0</v>
      </c>
      <c r="B434" s="3">
        <v>0.2727</v>
      </c>
      <c r="C434" s="3">
        <v>0.56</v>
      </c>
      <c r="D434" s="3">
        <v>0.0</v>
      </c>
      <c r="E434" s="3">
        <v>2.0</v>
      </c>
      <c r="F434" s="3">
        <v>3.0</v>
      </c>
      <c r="G434" s="3">
        <v>5.0</v>
      </c>
      <c r="H434" s="8" t="str">
        <f t="shared" si="1"/>
        <v>Ok</v>
      </c>
      <c r="I434" s="8">
        <f t="shared" si="2"/>
        <v>0</v>
      </c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3">
        <v>434.0</v>
      </c>
      <c r="B435" s="3">
        <v>0.2727</v>
      </c>
      <c r="C435" s="3">
        <v>0.56</v>
      </c>
      <c r="D435" s="3">
        <v>0.0</v>
      </c>
      <c r="E435" s="3">
        <v>0.0</v>
      </c>
      <c r="F435" s="3">
        <v>2.0</v>
      </c>
      <c r="G435" s="3">
        <v>2.0</v>
      </c>
      <c r="H435" s="8" t="str">
        <f t="shared" si="1"/>
        <v>Ok</v>
      </c>
      <c r="I435" s="8">
        <f t="shared" si="2"/>
        <v>0</v>
      </c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3">
        <v>435.0</v>
      </c>
      <c r="B436" s="3">
        <v>0.2576</v>
      </c>
      <c r="C436" s="3">
        <v>0.56</v>
      </c>
      <c r="D436" s="3">
        <v>0.1642</v>
      </c>
      <c r="E436" s="3">
        <v>0.0</v>
      </c>
      <c r="F436" s="3">
        <v>1.0</v>
      </c>
      <c r="G436" s="3">
        <v>1.0</v>
      </c>
      <c r="H436" s="8" t="str">
        <f t="shared" si="1"/>
        <v>Ok</v>
      </c>
      <c r="I436" s="8">
        <f t="shared" si="2"/>
        <v>0</v>
      </c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3">
        <v>436.0</v>
      </c>
      <c r="B437" s="3">
        <v>0.2576</v>
      </c>
      <c r="C437" s="3">
        <v>0.56</v>
      </c>
      <c r="D437" s="3">
        <v>0.1642</v>
      </c>
      <c r="E437" s="3">
        <v>0.0</v>
      </c>
      <c r="F437" s="3">
        <v>1.0</v>
      </c>
      <c r="G437" s="3">
        <v>1.0</v>
      </c>
      <c r="H437" s="8" t="str">
        <f t="shared" si="1"/>
        <v>Ok</v>
      </c>
      <c r="I437" s="8">
        <f t="shared" si="2"/>
        <v>0</v>
      </c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3">
        <v>437.0</v>
      </c>
      <c r="B438" s="3">
        <v>0.2273</v>
      </c>
      <c r="C438" s="3">
        <v>0.6</v>
      </c>
      <c r="D438" s="3">
        <v>0.2239</v>
      </c>
      <c r="E438" s="3">
        <v>0.0</v>
      </c>
      <c r="F438" s="3">
        <v>6.0</v>
      </c>
      <c r="G438" s="3">
        <v>6.0</v>
      </c>
      <c r="H438" s="8" t="str">
        <f t="shared" si="1"/>
        <v>Ok</v>
      </c>
      <c r="I438" s="8">
        <f t="shared" si="2"/>
        <v>0</v>
      </c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3">
        <v>438.0</v>
      </c>
      <c r="B439" s="3">
        <v>0.2121</v>
      </c>
      <c r="C439" s="3">
        <v>0.6</v>
      </c>
      <c r="D439" s="3">
        <v>0.2239</v>
      </c>
      <c r="E439" s="3">
        <v>0.0</v>
      </c>
      <c r="F439" s="3">
        <v>35.0</v>
      </c>
      <c r="G439" s="3">
        <v>35.0</v>
      </c>
      <c r="H439" s="8" t="str">
        <f t="shared" si="1"/>
        <v>Ok</v>
      </c>
      <c r="I439" s="8">
        <f t="shared" si="2"/>
        <v>0</v>
      </c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3">
        <v>439.0</v>
      </c>
      <c r="B440" s="3">
        <v>0.2121</v>
      </c>
      <c r="C440" s="3">
        <v>0.55</v>
      </c>
      <c r="D440" s="3">
        <v>0.2239</v>
      </c>
      <c r="E440" s="3">
        <v>1.0</v>
      </c>
      <c r="F440" s="3">
        <v>100.0</v>
      </c>
      <c r="G440" s="3">
        <v>101.0</v>
      </c>
      <c r="H440" s="8" t="str">
        <f t="shared" si="1"/>
        <v>Ok</v>
      </c>
      <c r="I440" s="8">
        <f t="shared" si="2"/>
        <v>0</v>
      </c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3">
        <v>440.0</v>
      </c>
      <c r="B441" s="3">
        <v>0.2121</v>
      </c>
      <c r="C441" s="3">
        <v>0.55</v>
      </c>
      <c r="D441" s="3">
        <v>0.2836</v>
      </c>
      <c r="E441" s="3">
        <v>2.0</v>
      </c>
      <c r="F441" s="3">
        <v>247.0</v>
      </c>
      <c r="G441" s="3">
        <v>249.0</v>
      </c>
      <c r="H441" s="8" t="str">
        <f t="shared" si="1"/>
        <v>Ok</v>
      </c>
      <c r="I441" s="8">
        <f t="shared" si="2"/>
        <v>0</v>
      </c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3">
        <v>441.0</v>
      </c>
      <c r="B442" s="3">
        <v>0.2273</v>
      </c>
      <c r="C442" s="3">
        <v>0.52</v>
      </c>
      <c r="D442" s="3">
        <v>0.2239</v>
      </c>
      <c r="E442" s="3">
        <v>3.0</v>
      </c>
      <c r="F442" s="3">
        <v>140.0</v>
      </c>
      <c r="G442" s="3">
        <v>143.0</v>
      </c>
      <c r="H442" s="8" t="str">
        <f t="shared" si="1"/>
        <v>Ok</v>
      </c>
      <c r="I442" s="8">
        <f t="shared" si="2"/>
        <v>0</v>
      </c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3">
        <v>442.0</v>
      </c>
      <c r="B443" s="3">
        <v>0.2273</v>
      </c>
      <c r="C443" s="3">
        <v>0.48</v>
      </c>
      <c r="D443" s="3">
        <v>0.2985</v>
      </c>
      <c r="E443" s="3">
        <v>1.0</v>
      </c>
      <c r="F443" s="3">
        <v>56.0</v>
      </c>
      <c r="G443" s="3">
        <v>57.0</v>
      </c>
      <c r="H443" s="8" t="str">
        <f t="shared" si="1"/>
        <v>Ok</v>
      </c>
      <c r="I443" s="8">
        <f t="shared" si="2"/>
        <v>0</v>
      </c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3">
        <v>443.0</v>
      </c>
      <c r="B444" s="3">
        <v>0.2727</v>
      </c>
      <c r="C444" s="3">
        <v>0.45</v>
      </c>
      <c r="D444" s="3">
        <v>0.1642</v>
      </c>
      <c r="E444" s="3">
        <v>5.0</v>
      </c>
      <c r="F444" s="3">
        <v>63.0</v>
      </c>
      <c r="G444" s="3">
        <v>68.0</v>
      </c>
      <c r="H444" s="8" t="str">
        <f t="shared" si="1"/>
        <v>Ok</v>
      </c>
      <c r="I444" s="8">
        <f t="shared" si="2"/>
        <v>0</v>
      </c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3">
        <v>444.0</v>
      </c>
      <c r="B445" s="3">
        <v>0.3333</v>
      </c>
      <c r="C445" s="3">
        <v>0.42</v>
      </c>
      <c r="D445" s="3">
        <v>0.0</v>
      </c>
      <c r="E445" s="3">
        <v>7.0</v>
      </c>
      <c r="F445" s="3">
        <v>77.0</v>
      </c>
      <c r="G445" s="3">
        <v>84.0</v>
      </c>
      <c r="H445" s="8" t="str">
        <f t="shared" si="1"/>
        <v>Ok</v>
      </c>
      <c r="I445" s="8">
        <f t="shared" si="2"/>
        <v>0</v>
      </c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3">
        <v>445.0</v>
      </c>
      <c r="B446" s="3">
        <v>0.2879</v>
      </c>
      <c r="C446" s="3">
        <v>0.45</v>
      </c>
      <c r="D446" s="3">
        <v>0.1045</v>
      </c>
      <c r="E446" s="3">
        <v>12.0</v>
      </c>
      <c r="F446" s="3">
        <v>86.0</v>
      </c>
      <c r="G446" s="3">
        <v>98.0</v>
      </c>
      <c r="H446" s="8" t="str">
        <f t="shared" si="1"/>
        <v>Ok</v>
      </c>
      <c r="I446" s="8">
        <f t="shared" si="2"/>
        <v>0</v>
      </c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3">
        <v>446.0</v>
      </c>
      <c r="B447" s="3">
        <v>0.303</v>
      </c>
      <c r="C447" s="3">
        <v>0.45</v>
      </c>
      <c r="D447" s="3">
        <v>0.1343</v>
      </c>
      <c r="E447" s="3">
        <v>6.0</v>
      </c>
      <c r="F447" s="3">
        <v>75.0</v>
      </c>
      <c r="G447" s="3">
        <v>81.0</v>
      </c>
      <c r="H447" s="8" t="str">
        <f t="shared" si="1"/>
        <v>Ok</v>
      </c>
      <c r="I447" s="8">
        <f t="shared" si="2"/>
        <v>0</v>
      </c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3">
        <v>447.0</v>
      </c>
      <c r="B448" s="3">
        <v>0.3182</v>
      </c>
      <c r="C448" s="3">
        <v>0.45</v>
      </c>
      <c r="D448" s="3">
        <v>0.194</v>
      </c>
      <c r="E448" s="3">
        <v>8.0</v>
      </c>
      <c r="F448" s="3">
        <v>62.0</v>
      </c>
      <c r="G448" s="3">
        <v>70.0</v>
      </c>
      <c r="H448" s="8" t="str">
        <f t="shared" si="1"/>
        <v>Ok</v>
      </c>
      <c r="I448" s="8">
        <f t="shared" si="2"/>
        <v>0</v>
      </c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3">
        <v>448.0</v>
      </c>
      <c r="B449" s="3">
        <v>0.303</v>
      </c>
      <c r="C449" s="3">
        <v>0.49</v>
      </c>
      <c r="D449" s="3">
        <v>0.1343</v>
      </c>
      <c r="E449" s="3">
        <v>8.0</v>
      </c>
      <c r="F449" s="3">
        <v>83.0</v>
      </c>
      <c r="G449" s="3">
        <v>91.0</v>
      </c>
      <c r="H449" s="8" t="str">
        <f t="shared" si="1"/>
        <v>Ok</v>
      </c>
      <c r="I449" s="8">
        <f t="shared" si="2"/>
        <v>0</v>
      </c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3">
        <v>449.0</v>
      </c>
      <c r="B450" s="3">
        <v>0.3182</v>
      </c>
      <c r="C450" s="3">
        <v>0.49</v>
      </c>
      <c r="D450" s="3">
        <v>0.1045</v>
      </c>
      <c r="E450" s="3">
        <v>8.0</v>
      </c>
      <c r="F450" s="3">
        <v>207.0</v>
      </c>
      <c r="G450" s="3">
        <v>215.0</v>
      </c>
      <c r="H450" s="8" t="str">
        <f t="shared" si="1"/>
        <v>Ok</v>
      </c>
      <c r="I450" s="8">
        <f t="shared" si="2"/>
        <v>0</v>
      </c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3">
        <v>450.0</v>
      </c>
      <c r="B451" s="3">
        <v>0.2576</v>
      </c>
      <c r="C451" s="3">
        <v>0.56</v>
      </c>
      <c r="D451" s="3">
        <v>0.194</v>
      </c>
      <c r="E451" s="3">
        <v>1.0</v>
      </c>
      <c r="F451" s="3">
        <v>184.0</v>
      </c>
      <c r="G451" s="3">
        <v>185.0</v>
      </c>
      <c r="H451" s="8" t="str">
        <f t="shared" si="1"/>
        <v>Ok</v>
      </c>
      <c r="I451" s="8">
        <f t="shared" si="2"/>
        <v>0</v>
      </c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3">
        <v>451.0</v>
      </c>
      <c r="B452" s="3">
        <v>0.2273</v>
      </c>
      <c r="C452" s="3">
        <v>0.56</v>
      </c>
      <c r="D452" s="3">
        <v>0.3284</v>
      </c>
      <c r="E452" s="3">
        <v>6.0</v>
      </c>
      <c r="F452" s="3">
        <v>146.0</v>
      </c>
      <c r="G452" s="3">
        <v>152.0</v>
      </c>
      <c r="H452" s="8" t="str">
        <f t="shared" si="1"/>
        <v>Ok</v>
      </c>
      <c r="I452" s="8">
        <f t="shared" si="2"/>
        <v>0</v>
      </c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3">
        <v>452.0</v>
      </c>
      <c r="B453" s="3">
        <v>0.2424</v>
      </c>
      <c r="C453" s="3">
        <v>0.6</v>
      </c>
      <c r="D453" s="3">
        <v>0.2836</v>
      </c>
      <c r="E453" s="3">
        <v>2.0</v>
      </c>
      <c r="F453" s="3">
        <v>124.0</v>
      </c>
      <c r="G453" s="3">
        <v>126.0</v>
      </c>
      <c r="H453" s="8" t="str">
        <f t="shared" si="1"/>
        <v>Ok</v>
      </c>
      <c r="I453" s="8">
        <f t="shared" si="2"/>
        <v>0</v>
      </c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3">
        <v>453.0</v>
      </c>
      <c r="B454" s="3">
        <v>0.2273</v>
      </c>
      <c r="C454" s="3">
        <v>0.6</v>
      </c>
      <c r="D454" s="3">
        <v>0.2537</v>
      </c>
      <c r="E454" s="3">
        <v>3.0</v>
      </c>
      <c r="F454" s="3">
        <v>54.0</v>
      </c>
      <c r="G454" s="3">
        <v>57.0</v>
      </c>
      <c r="H454" s="8" t="str">
        <f t="shared" si="1"/>
        <v>Ok</v>
      </c>
      <c r="I454" s="8">
        <f t="shared" si="2"/>
        <v>0</v>
      </c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3">
        <v>454.0</v>
      </c>
      <c r="B455" s="3">
        <v>0.2121</v>
      </c>
      <c r="C455" s="3">
        <v>0.65</v>
      </c>
      <c r="D455" s="3">
        <v>0.2836</v>
      </c>
      <c r="E455" s="3">
        <v>0.0</v>
      </c>
      <c r="F455" s="3">
        <v>56.0</v>
      </c>
      <c r="G455" s="3">
        <v>56.0</v>
      </c>
      <c r="H455" s="8" t="str">
        <f t="shared" si="1"/>
        <v>Ok</v>
      </c>
      <c r="I455" s="8">
        <f t="shared" si="2"/>
        <v>0</v>
      </c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3">
        <v>455.0</v>
      </c>
      <c r="B456" s="3">
        <v>0.2121</v>
      </c>
      <c r="C456" s="3">
        <v>0.65</v>
      </c>
      <c r="D456" s="3">
        <v>0.3284</v>
      </c>
      <c r="E456" s="3">
        <v>3.0</v>
      </c>
      <c r="F456" s="3">
        <v>28.0</v>
      </c>
      <c r="G456" s="3">
        <v>31.0</v>
      </c>
      <c r="H456" s="8" t="str">
        <f t="shared" si="1"/>
        <v>Ok</v>
      </c>
      <c r="I456" s="8">
        <f t="shared" si="2"/>
        <v>0</v>
      </c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3">
        <v>456.0</v>
      </c>
      <c r="B457" s="3">
        <v>0.2273</v>
      </c>
      <c r="C457" s="3">
        <v>0.7</v>
      </c>
      <c r="D457" s="3">
        <v>0.2537</v>
      </c>
      <c r="E457" s="3">
        <v>1.0</v>
      </c>
      <c r="F457" s="3">
        <v>20.0</v>
      </c>
      <c r="G457" s="3">
        <v>21.0</v>
      </c>
      <c r="H457" s="8" t="str">
        <f t="shared" si="1"/>
        <v>Ok</v>
      </c>
      <c r="I457" s="8">
        <f t="shared" si="2"/>
        <v>0</v>
      </c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3">
        <v>457.0</v>
      </c>
      <c r="B458" s="3">
        <v>0.2273</v>
      </c>
      <c r="C458" s="3">
        <v>0.7</v>
      </c>
      <c r="D458" s="3">
        <v>0.2537</v>
      </c>
      <c r="E458" s="3">
        <v>0.0</v>
      </c>
      <c r="F458" s="3">
        <v>6.0</v>
      </c>
      <c r="G458" s="3">
        <v>6.0</v>
      </c>
      <c r="H458" s="8" t="str">
        <f t="shared" si="1"/>
        <v>Ok</v>
      </c>
      <c r="I458" s="8">
        <f t="shared" si="2"/>
        <v>0</v>
      </c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3">
        <v>458.0</v>
      </c>
      <c r="B459" s="3">
        <v>0.2424</v>
      </c>
      <c r="C459" s="3">
        <v>0.75</v>
      </c>
      <c r="D459" s="3">
        <v>0.1642</v>
      </c>
      <c r="E459" s="3">
        <v>0.0</v>
      </c>
      <c r="F459" s="3">
        <v>2.0</v>
      </c>
      <c r="G459" s="3">
        <v>2.0</v>
      </c>
      <c r="H459" s="8" t="str">
        <f t="shared" si="1"/>
        <v>Ok</v>
      </c>
      <c r="I459" s="8">
        <f t="shared" si="2"/>
        <v>0</v>
      </c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3">
        <v>459.0</v>
      </c>
      <c r="B460" s="3">
        <v>0.2121</v>
      </c>
      <c r="C460" s="3">
        <v>0.8</v>
      </c>
      <c r="D460" s="3">
        <v>0.2985</v>
      </c>
      <c r="E460" s="3">
        <v>0.0</v>
      </c>
      <c r="F460" s="3">
        <v>1.0</v>
      </c>
      <c r="G460" s="3">
        <v>1.0</v>
      </c>
      <c r="H460" s="8" t="str">
        <f t="shared" si="1"/>
        <v>Ok</v>
      </c>
      <c r="I460" s="8">
        <f t="shared" si="2"/>
        <v>0</v>
      </c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3">
        <v>460.0</v>
      </c>
      <c r="B461" s="3">
        <v>0.2576</v>
      </c>
      <c r="C461" s="3">
        <v>0.87</v>
      </c>
      <c r="D461" s="3">
        <v>0.0896</v>
      </c>
      <c r="E461" s="3">
        <v>0.0</v>
      </c>
      <c r="F461" s="3">
        <v>1.0</v>
      </c>
      <c r="G461" s="3">
        <v>1.0</v>
      </c>
      <c r="H461" s="8" t="str">
        <f t="shared" si="1"/>
        <v>Ok</v>
      </c>
      <c r="I461" s="8">
        <f t="shared" si="2"/>
        <v>0</v>
      </c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3">
        <v>461.0</v>
      </c>
      <c r="B462" s="3">
        <v>0.197</v>
      </c>
      <c r="C462" s="3">
        <v>0.6</v>
      </c>
      <c r="D462" s="3">
        <v>0.4179</v>
      </c>
      <c r="E462" s="3">
        <v>1.0</v>
      </c>
      <c r="F462" s="3">
        <v>4.0</v>
      </c>
      <c r="G462" s="3">
        <v>5.0</v>
      </c>
      <c r="H462" s="8" t="str">
        <f t="shared" si="1"/>
        <v>Ok</v>
      </c>
      <c r="I462" s="8">
        <f t="shared" si="2"/>
        <v>0</v>
      </c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3">
        <v>462.0</v>
      </c>
      <c r="B463" s="3">
        <v>0.2121</v>
      </c>
      <c r="C463" s="3">
        <v>0.55</v>
      </c>
      <c r="D463" s="3">
        <v>0.2537</v>
      </c>
      <c r="E463" s="3">
        <v>0.0</v>
      </c>
      <c r="F463" s="3">
        <v>27.0</v>
      </c>
      <c r="G463" s="3">
        <v>27.0</v>
      </c>
      <c r="H463" s="8" t="str">
        <f t="shared" si="1"/>
        <v>Ok</v>
      </c>
      <c r="I463" s="8">
        <f t="shared" si="2"/>
        <v>0</v>
      </c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3">
        <v>463.0</v>
      </c>
      <c r="B464" s="3">
        <v>0.1818</v>
      </c>
      <c r="C464" s="3">
        <v>0.51</v>
      </c>
      <c r="D464" s="3">
        <v>0.2836</v>
      </c>
      <c r="E464" s="3">
        <v>2.0</v>
      </c>
      <c r="F464" s="3">
        <v>66.0</v>
      </c>
      <c r="G464" s="3">
        <v>68.0</v>
      </c>
      <c r="H464" s="8" t="str">
        <f t="shared" si="1"/>
        <v>Ok</v>
      </c>
      <c r="I464" s="8">
        <f t="shared" si="2"/>
        <v>0</v>
      </c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3">
        <v>464.0</v>
      </c>
      <c r="B465" s="3">
        <v>0.1818</v>
      </c>
      <c r="C465" s="3">
        <v>0.47</v>
      </c>
      <c r="D465" s="3">
        <v>0.3284</v>
      </c>
      <c r="E465" s="3">
        <v>7.0</v>
      </c>
      <c r="F465" s="3">
        <v>210.0</v>
      </c>
      <c r="G465" s="3">
        <v>217.0</v>
      </c>
      <c r="H465" s="8" t="str">
        <f t="shared" si="1"/>
        <v>Ok</v>
      </c>
      <c r="I465" s="8">
        <f t="shared" si="2"/>
        <v>0</v>
      </c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3">
        <v>465.0</v>
      </c>
      <c r="B466" s="3">
        <v>0.1818</v>
      </c>
      <c r="C466" s="3">
        <v>0.51</v>
      </c>
      <c r="D466" s="3">
        <v>0.3582</v>
      </c>
      <c r="E466" s="3">
        <v>7.0</v>
      </c>
      <c r="F466" s="3">
        <v>159.0</v>
      </c>
      <c r="G466" s="3">
        <v>166.0</v>
      </c>
      <c r="H466" s="8" t="str">
        <f t="shared" si="1"/>
        <v>Ok</v>
      </c>
      <c r="I466" s="8">
        <f t="shared" si="2"/>
        <v>0</v>
      </c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3">
        <v>466.0</v>
      </c>
      <c r="B467" s="3">
        <v>0.1667</v>
      </c>
      <c r="C467" s="3">
        <v>0.47</v>
      </c>
      <c r="D467" s="3">
        <v>0.4627</v>
      </c>
      <c r="E467" s="3">
        <v>6.0</v>
      </c>
      <c r="F467" s="3">
        <v>57.0</v>
      </c>
      <c r="G467" s="3">
        <v>63.0</v>
      </c>
      <c r="H467" s="8" t="str">
        <f t="shared" si="1"/>
        <v>Ok</v>
      </c>
      <c r="I467" s="8">
        <f t="shared" si="2"/>
        <v>0</v>
      </c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3">
        <v>467.0</v>
      </c>
      <c r="B468" s="3">
        <v>0.1818</v>
      </c>
      <c r="C468" s="3">
        <v>0.41</v>
      </c>
      <c r="D468" s="3">
        <v>0.4627</v>
      </c>
      <c r="E468" s="3">
        <v>6.0</v>
      </c>
      <c r="F468" s="3">
        <v>53.0</v>
      </c>
      <c r="G468" s="3">
        <v>59.0</v>
      </c>
      <c r="H468" s="8" t="str">
        <f t="shared" si="1"/>
        <v>Ok</v>
      </c>
      <c r="I468" s="8">
        <f t="shared" si="2"/>
        <v>0</v>
      </c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3">
        <v>468.0</v>
      </c>
      <c r="B469" s="3">
        <v>0.1818</v>
      </c>
      <c r="C469" s="3">
        <v>0.27</v>
      </c>
      <c r="D469" s="3">
        <v>0.5821</v>
      </c>
      <c r="E469" s="3">
        <v>11.0</v>
      </c>
      <c r="F469" s="3">
        <v>67.0</v>
      </c>
      <c r="G469" s="3">
        <v>78.0</v>
      </c>
      <c r="H469" s="8" t="str">
        <f t="shared" si="1"/>
        <v>Ok</v>
      </c>
      <c r="I469" s="8">
        <f t="shared" si="2"/>
        <v>0</v>
      </c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3">
        <v>469.0</v>
      </c>
      <c r="B470" s="3">
        <v>0.1515</v>
      </c>
      <c r="C470" s="3">
        <v>0.21</v>
      </c>
      <c r="D470" s="3">
        <v>0.5821</v>
      </c>
      <c r="E470" s="3">
        <v>8.0</v>
      </c>
      <c r="F470" s="3">
        <v>65.0</v>
      </c>
      <c r="G470" s="3">
        <v>73.0</v>
      </c>
      <c r="H470" s="8" t="str">
        <f t="shared" si="1"/>
        <v>Ok</v>
      </c>
      <c r="I470" s="8">
        <f t="shared" si="2"/>
        <v>0</v>
      </c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3">
        <v>470.0</v>
      </c>
      <c r="B471" s="3">
        <v>0.1515</v>
      </c>
      <c r="C471" s="3">
        <v>0.25</v>
      </c>
      <c r="D471" s="3">
        <v>0.5224</v>
      </c>
      <c r="E471" s="3">
        <v>6.0</v>
      </c>
      <c r="F471" s="3">
        <v>56.0</v>
      </c>
      <c r="G471" s="3">
        <v>62.0</v>
      </c>
      <c r="H471" s="8" t="str">
        <f t="shared" si="1"/>
        <v>Ok</v>
      </c>
      <c r="I471" s="8">
        <f t="shared" si="2"/>
        <v>0</v>
      </c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3">
        <v>471.0</v>
      </c>
      <c r="B472" s="3">
        <v>0.1212</v>
      </c>
      <c r="C472" s="3">
        <v>0.26</v>
      </c>
      <c r="D472" s="3">
        <v>0.4478</v>
      </c>
      <c r="E472" s="3">
        <v>4.0</v>
      </c>
      <c r="F472" s="3">
        <v>61.0</v>
      </c>
      <c r="G472" s="3">
        <v>65.0</v>
      </c>
      <c r="H472" s="8" t="str">
        <f t="shared" si="1"/>
        <v>Ok</v>
      </c>
      <c r="I472" s="8">
        <f t="shared" si="2"/>
        <v>0</v>
      </c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3">
        <v>472.0</v>
      </c>
      <c r="B473" s="3">
        <v>0.1364</v>
      </c>
      <c r="C473" s="3">
        <v>0.26</v>
      </c>
      <c r="D473" s="3">
        <v>0.3582</v>
      </c>
      <c r="E473" s="3">
        <v>0.0</v>
      </c>
      <c r="F473" s="3">
        <v>97.0</v>
      </c>
      <c r="G473" s="3">
        <v>97.0</v>
      </c>
      <c r="H473" s="8" t="str">
        <f t="shared" si="1"/>
        <v>Ok</v>
      </c>
      <c r="I473" s="8">
        <f t="shared" si="2"/>
        <v>0</v>
      </c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3">
        <v>473.0</v>
      </c>
      <c r="B474" s="3">
        <v>0.1212</v>
      </c>
      <c r="C474" s="3">
        <v>0.28</v>
      </c>
      <c r="D474" s="3">
        <v>0.3582</v>
      </c>
      <c r="E474" s="3">
        <v>10.0</v>
      </c>
      <c r="F474" s="3">
        <v>151.0</v>
      </c>
      <c r="G474" s="3">
        <v>161.0</v>
      </c>
      <c r="H474" s="8" t="str">
        <f t="shared" si="1"/>
        <v>Ok</v>
      </c>
      <c r="I474" s="8">
        <f t="shared" si="2"/>
        <v>0</v>
      </c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3">
        <v>474.0</v>
      </c>
      <c r="B475" s="3">
        <v>0.1212</v>
      </c>
      <c r="C475" s="3">
        <v>0.3</v>
      </c>
      <c r="D475" s="3">
        <v>0.2537</v>
      </c>
      <c r="E475" s="3">
        <v>1.0</v>
      </c>
      <c r="F475" s="3">
        <v>119.0</v>
      </c>
      <c r="G475" s="3">
        <v>120.0</v>
      </c>
      <c r="H475" s="8" t="str">
        <f t="shared" si="1"/>
        <v>Ok</v>
      </c>
      <c r="I475" s="8">
        <f t="shared" si="2"/>
        <v>0</v>
      </c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3">
        <v>475.0</v>
      </c>
      <c r="B476" s="3">
        <v>0.1061</v>
      </c>
      <c r="C476" s="3">
        <v>0.3</v>
      </c>
      <c r="D476" s="3">
        <v>0.3284</v>
      </c>
      <c r="E476" s="3">
        <v>3.0</v>
      </c>
      <c r="F476" s="3">
        <v>93.0</v>
      </c>
      <c r="G476" s="3">
        <v>96.0</v>
      </c>
      <c r="H476" s="8" t="str">
        <f t="shared" si="1"/>
        <v>Ok</v>
      </c>
      <c r="I476" s="8">
        <f t="shared" si="2"/>
        <v>0</v>
      </c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3">
        <v>476.0</v>
      </c>
      <c r="B477" s="3">
        <v>0.0758</v>
      </c>
      <c r="C477" s="3">
        <v>0.33</v>
      </c>
      <c r="D477" s="3">
        <v>0.4179</v>
      </c>
      <c r="E477" s="3">
        <v>1.0</v>
      </c>
      <c r="F477" s="3">
        <v>52.0</v>
      </c>
      <c r="G477" s="3">
        <v>53.0</v>
      </c>
      <c r="H477" s="8" t="str">
        <f t="shared" si="1"/>
        <v>Ok</v>
      </c>
      <c r="I477" s="8">
        <f t="shared" si="2"/>
        <v>0</v>
      </c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3">
        <v>477.0</v>
      </c>
      <c r="B478" s="3">
        <v>0.0758</v>
      </c>
      <c r="C478" s="3">
        <v>0.38</v>
      </c>
      <c r="D478" s="3">
        <v>0.2836</v>
      </c>
      <c r="E478" s="3">
        <v>0.0</v>
      </c>
      <c r="F478" s="3">
        <v>41.0</v>
      </c>
      <c r="G478" s="3">
        <v>41.0</v>
      </c>
      <c r="H478" s="8" t="str">
        <f t="shared" si="1"/>
        <v>Ok</v>
      </c>
      <c r="I478" s="8">
        <f t="shared" si="2"/>
        <v>0</v>
      </c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3">
        <v>478.0</v>
      </c>
      <c r="B479" s="3">
        <v>0.0303</v>
      </c>
      <c r="C479" s="3">
        <v>0.41</v>
      </c>
      <c r="D479" s="3">
        <v>0.3881</v>
      </c>
      <c r="E479" s="3">
        <v>1.0</v>
      </c>
      <c r="F479" s="3">
        <v>33.0</v>
      </c>
      <c r="G479" s="3">
        <v>34.0</v>
      </c>
      <c r="H479" s="8" t="str">
        <f t="shared" si="1"/>
        <v>Ok</v>
      </c>
      <c r="I479" s="8">
        <f t="shared" si="2"/>
        <v>0</v>
      </c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3">
        <v>479.0</v>
      </c>
      <c r="B480" s="3">
        <v>0.0455</v>
      </c>
      <c r="C480" s="3">
        <v>0.38</v>
      </c>
      <c r="D480" s="3">
        <v>0.3284</v>
      </c>
      <c r="E480" s="3">
        <v>0.0</v>
      </c>
      <c r="F480" s="3">
        <v>27.0</v>
      </c>
      <c r="G480" s="3">
        <v>27.0</v>
      </c>
      <c r="H480" s="8" t="str">
        <f t="shared" si="1"/>
        <v>Ok</v>
      </c>
      <c r="I480" s="8">
        <f t="shared" si="2"/>
        <v>0</v>
      </c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3">
        <v>480.0</v>
      </c>
      <c r="B481" s="3">
        <v>0.0303</v>
      </c>
      <c r="C481" s="3">
        <v>0.45</v>
      </c>
      <c r="D481" s="3">
        <v>0.2537</v>
      </c>
      <c r="E481" s="3">
        <v>0.0</v>
      </c>
      <c r="F481" s="3">
        <v>13.0</v>
      </c>
      <c r="G481" s="3">
        <v>13.0</v>
      </c>
      <c r="H481" s="8" t="str">
        <f t="shared" si="1"/>
        <v>Ok</v>
      </c>
      <c r="I481" s="8">
        <f t="shared" si="2"/>
        <v>0</v>
      </c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3">
        <v>481.0</v>
      </c>
      <c r="B482" s="3">
        <v>0.0</v>
      </c>
      <c r="C482" s="3">
        <v>0.41</v>
      </c>
      <c r="D482" s="3">
        <v>0.3881</v>
      </c>
      <c r="E482" s="3">
        <v>3.0</v>
      </c>
      <c r="F482" s="3">
        <v>9.0</v>
      </c>
      <c r="G482" s="3">
        <v>12.0</v>
      </c>
      <c r="H482" s="8" t="str">
        <f t="shared" si="1"/>
        <v>Ok</v>
      </c>
      <c r="I482" s="8">
        <f t="shared" si="2"/>
        <v>0</v>
      </c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3">
        <v>482.0</v>
      </c>
      <c r="B483" s="3">
        <v>0.0303</v>
      </c>
      <c r="C483" s="3">
        <v>0.41</v>
      </c>
      <c r="D483" s="3">
        <v>0.2537</v>
      </c>
      <c r="E483" s="3">
        <v>0.0</v>
      </c>
      <c r="F483" s="3">
        <v>11.0</v>
      </c>
      <c r="G483" s="3">
        <v>11.0</v>
      </c>
      <c r="H483" s="8" t="str">
        <f t="shared" si="1"/>
        <v>Ok</v>
      </c>
      <c r="I483" s="8">
        <f t="shared" si="2"/>
        <v>0</v>
      </c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3">
        <v>483.0</v>
      </c>
      <c r="B484" s="3">
        <v>0.0303</v>
      </c>
      <c r="C484" s="3">
        <v>0.41</v>
      </c>
      <c r="D484" s="3">
        <v>0.2836</v>
      </c>
      <c r="E484" s="3">
        <v>1.0</v>
      </c>
      <c r="F484" s="3">
        <v>6.0</v>
      </c>
      <c r="G484" s="3">
        <v>7.0</v>
      </c>
      <c r="H484" s="8" t="str">
        <f t="shared" si="1"/>
        <v>Ok</v>
      </c>
      <c r="I484" s="8">
        <f t="shared" si="2"/>
        <v>0</v>
      </c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3">
        <v>484.0</v>
      </c>
      <c r="B485" s="3">
        <v>0.0152</v>
      </c>
      <c r="C485" s="3">
        <v>0.48</v>
      </c>
      <c r="D485" s="3">
        <v>0.2985</v>
      </c>
      <c r="E485" s="3">
        <v>0.0</v>
      </c>
      <c r="F485" s="3">
        <v>3.0</v>
      </c>
      <c r="G485" s="3">
        <v>3.0</v>
      </c>
      <c r="H485" s="8" t="str">
        <f t="shared" si="1"/>
        <v>Ok</v>
      </c>
      <c r="I485" s="8">
        <f t="shared" si="2"/>
        <v>0</v>
      </c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3">
        <v>485.0</v>
      </c>
      <c r="B486" s="3">
        <v>0.0303</v>
      </c>
      <c r="C486" s="3">
        <v>0.44</v>
      </c>
      <c r="D486" s="3">
        <v>0.2239</v>
      </c>
      <c r="E486" s="3">
        <v>0.0</v>
      </c>
      <c r="F486" s="3">
        <v>2.0</v>
      </c>
      <c r="G486" s="3">
        <v>2.0</v>
      </c>
      <c r="H486" s="8" t="str">
        <f t="shared" si="1"/>
        <v>Ok</v>
      </c>
      <c r="I486" s="8">
        <f t="shared" si="2"/>
        <v>0</v>
      </c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3">
        <v>486.0</v>
      </c>
      <c r="B487" s="3">
        <v>0.0152</v>
      </c>
      <c r="C487" s="3">
        <v>0.44</v>
      </c>
      <c r="D487" s="3">
        <v>0.2836</v>
      </c>
      <c r="E487" s="3">
        <v>0.0</v>
      </c>
      <c r="F487" s="3">
        <v>8.0</v>
      </c>
      <c r="G487" s="3">
        <v>8.0</v>
      </c>
      <c r="H487" s="8" t="str">
        <f t="shared" si="1"/>
        <v>Ok</v>
      </c>
      <c r="I487" s="8">
        <f t="shared" si="2"/>
        <v>0</v>
      </c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3">
        <v>487.0</v>
      </c>
      <c r="B488" s="3">
        <v>0.0</v>
      </c>
      <c r="C488" s="3">
        <v>0.44</v>
      </c>
      <c r="D488" s="3">
        <v>0.3284</v>
      </c>
      <c r="E488" s="3">
        <v>1.0</v>
      </c>
      <c r="F488" s="3">
        <v>26.0</v>
      </c>
      <c r="G488" s="3">
        <v>27.0</v>
      </c>
      <c r="H488" s="8" t="str">
        <f t="shared" si="1"/>
        <v>Ok</v>
      </c>
      <c r="I488" s="8">
        <f t="shared" si="2"/>
        <v>0</v>
      </c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3">
        <v>488.0</v>
      </c>
      <c r="B489" s="3">
        <v>0.0303</v>
      </c>
      <c r="C489" s="3">
        <v>0.41</v>
      </c>
      <c r="D489" s="3">
        <v>0.2537</v>
      </c>
      <c r="E489" s="3">
        <v>3.0</v>
      </c>
      <c r="F489" s="3">
        <v>37.0</v>
      </c>
      <c r="G489" s="3">
        <v>40.0</v>
      </c>
      <c r="H489" s="8" t="str">
        <f t="shared" si="1"/>
        <v>Ok</v>
      </c>
      <c r="I489" s="8">
        <f t="shared" si="2"/>
        <v>0</v>
      </c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3">
        <v>489.0</v>
      </c>
      <c r="B490" s="3">
        <v>0.0606</v>
      </c>
      <c r="C490" s="3">
        <v>0.41</v>
      </c>
      <c r="D490" s="3">
        <v>0.1642</v>
      </c>
      <c r="E490" s="3">
        <v>3.0</v>
      </c>
      <c r="F490" s="3">
        <v>50.0</v>
      </c>
      <c r="G490" s="3">
        <v>53.0</v>
      </c>
      <c r="H490" s="8" t="str">
        <f t="shared" si="1"/>
        <v>Ok</v>
      </c>
      <c r="I490" s="8">
        <f t="shared" si="2"/>
        <v>0</v>
      </c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3">
        <v>490.0</v>
      </c>
      <c r="B491" s="3">
        <v>0.0758</v>
      </c>
      <c r="C491" s="3">
        <v>0.38</v>
      </c>
      <c r="D491" s="3">
        <v>0.1343</v>
      </c>
      <c r="E491" s="3">
        <v>4.0</v>
      </c>
      <c r="F491" s="3">
        <v>59.0</v>
      </c>
      <c r="G491" s="3">
        <v>63.0</v>
      </c>
      <c r="H491" s="8" t="str">
        <f t="shared" si="1"/>
        <v>Ok</v>
      </c>
      <c r="I491" s="8">
        <f t="shared" si="2"/>
        <v>0</v>
      </c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3">
        <v>491.0</v>
      </c>
      <c r="B492" s="3">
        <v>0.1061</v>
      </c>
      <c r="C492" s="3">
        <v>0.38</v>
      </c>
      <c r="D492" s="3">
        <v>0.1045</v>
      </c>
      <c r="E492" s="3">
        <v>10.0</v>
      </c>
      <c r="F492" s="3">
        <v>60.0</v>
      </c>
      <c r="G492" s="3">
        <v>70.0</v>
      </c>
      <c r="H492" s="8" t="str">
        <f t="shared" si="1"/>
        <v>Ok</v>
      </c>
      <c r="I492" s="8">
        <f t="shared" si="2"/>
        <v>0</v>
      </c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3">
        <v>492.0</v>
      </c>
      <c r="B493" s="3">
        <v>0.1667</v>
      </c>
      <c r="C493" s="3">
        <v>0.35</v>
      </c>
      <c r="D493" s="3">
        <v>0.0</v>
      </c>
      <c r="E493" s="3">
        <v>12.0</v>
      </c>
      <c r="F493" s="3">
        <v>72.0</v>
      </c>
      <c r="G493" s="3">
        <v>84.0</v>
      </c>
      <c r="H493" s="8" t="str">
        <f t="shared" si="1"/>
        <v>Ok</v>
      </c>
      <c r="I493" s="8">
        <f t="shared" si="2"/>
        <v>0</v>
      </c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3">
        <v>493.0</v>
      </c>
      <c r="B494" s="3">
        <v>0.1364</v>
      </c>
      <c r="C494" s="3">
        <v>0.33</v>
      </c>
      <c r="D494" s="3">
        <v>0.1045</v>
      </c>
      <c r="E494" s="3">
        <v>11.0</v>
      </c>
      <c r="F494" s="3">
        <v>64.0</v>
      </c>
      <c r="G494" s="3">
        <v>75.0</v>
      </c>
      <c r="H494" s="8" t="str">
        <f t="shared" si="1"/>
        <v>Ok</v>
      </c>
      <c r="I494" s="8">
        <f t="shared" si="2"/>
        <v>0</v>
      </c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3">
        <v>494.0</v>
      </c>
      <c r="B495" s="3">
        <v>0.1515</v>
      </c>
      <c r="C495" s="3">
        <v>0.28</v>
      </c>
      <c r="D495" s="3">
        <v>0.0</v>
      </c>
      <c r="E495" s="3">
        <v>10.0</v>
      </c>
      <c r="F495" s="3">
        <v>93.0</v>
      </c>
      <c r="G495" s="3">
        <v>103.0</v>
      </c>
      <c r="H495" s="8" t="str">
        <f t="shared" si="1"/>
        <v>Ok</v>
      </c>
      <c r="I495" s="8">
        <f t="shared" si="2"/>
        <v>0</v>
      </c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3">
        <v>495.0</v>
      </c>
      <c r="B496" s="3">
        <v>0.1364</v>
      </c>
      <c r="C496" s="3">
        <v>0.28</v>
      </c>
      <c r="D496" s="3">
        <v>0.194</v>
      </c>
      <c r="E496" s="3">
        <v>11.0</v>
      </c>
      <c r="F496" s="3">
        <v>72.0</v>
      </c>
      <c r="G496" s="3">
        <v>83.0</v>
      </c>
      <c r="H496" s="8" t="str">
        <f t="shared" si="1"/>
        <v>Ok</v>
      </c>
      <c r="I496" s="8">
        <f t="shared" si="2"/>
        <v>0</v>
      </c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3">
        <v>496.0</v>
      </c>
      <c r="B497" s="3">
        <v>0.197</v>
      </c>
      <c r="C497" s="3">
        <v>0.28</v>
      </c>
      <c r="D497" s="3">
        <v>0.0</v>
      </c>
      <c r="E497" s="3">
        <v>8.0</v>
      </c>
      <c r="F497" s="3">
        <v>59.0</v>
      </c>
      <c r="G497" s="3">
        <v>67.0</v>
      </c>
      <c r="H497" s="8" t="str">
        <f t="shared" si="1"/>
        <v>Ok</v>
      </c>
      <c r="I497" s="8">
        <f t="shared" si="2"/>
        <v>0</v>
      </c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3">
        <v>497.0</v>
      </c>
      <c r="B498" s="3">
        <v>0.0909</v>
      </c>
      <c r="C498" s="3">
        <v>0.35</v>
      </c>
      <c r="D498" s="3">
        <v>0.194</v>
      </c>
      <c r="E498" s="3">
        <v>0.0</v>
      </c>
      <c r="F498" s="3">
        <v>54.0</v>
      </c>
      <c r="G498" s="3">
        <v>54.0</v>
      </c>
      <c r="H498" s="8" t="str">
        <f t="shared" si="1"/>
        <v>Ok</v>
      </c>
      <c r="I498" s="8">
        <f t="shared" si="2"/>
        <v>0</v>
      </c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3">
        <v>498.0</v>
      </c>
      <c r="B499" s="3">
        <v>0.1061</v>
      </c>
      <c r="C499" s="3">
        <v>0.35</v>
      </c>
      <c r="D499" s="3">
        <v>0.1343</v>
      </c>
      <c r="E499" s="3">
        <v>6.0</v>
      </c>
      <c r="F499" s="3">
        <v>53.0</v>
      </c>
      <c r="G499" s="3">
        <v>59.0</v>
      </c>
      <c r="H499" s="8" t="str">
        <f t="shared" si="1"/>
        <v>Ok</v>
      </c>
      <c r="I499" s="8">
        <f t="shared" si="2"/>
        <v>0</v>
      </c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3">
        <v>499.0</v>
      </c>
      <c r="B500" s="3">
        <v>0.0758</v>
      </c>
      <c r="C500" s="3">
        <v>0.45</v>
      </c>
      <c r="D500" s="3">
        <v>0.1642</v>
      </c>
      <c r="E500" s="3">
        <v>1.0</v>
      </c>
      <c r="F500" s="3">
        <v>44.0</v>
      </c>
      <c r="G500" s="3">
        <v>45.0</v>
      </c>
      <c r="H500" s="8" t="str">
        <f t="shared" si="1"/>
        <v>Ok</v>
      </c>
      <c r="I500" s="8">
        <f t="shared" si="2"/>
        <v>0</v>
      </c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3">
        <v>500.0</v>
      </c>
      <c r="B501" s="3">
        <v>0.1061</v>
      </c>
      <c r="C501" s="3">
        <v>0.41</v>
      </c>
      <c r="D501" s="3">
        <v>0.0896</v>
      </c>
      <c r="E501" s="3">
        <v>0.0</v>
      </c>
      <c r="F501" s="3">
        <v>39.0</v>
      </c>
      <c r="G501" s="3">
        <v>39.0</v>
      </c>
      <c r="H501" s="8" t="str">
        <f t="shared" si="1"/>
        <v>Ok</v>
      </c>
      <c r="I501" s="8">
        <f t="shared" si="2"/>
        <v>0</v>
      </c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3">
        <v>501.0</v>
      </c>
      <c r="B502" s="3">
        <v>0.1515</v>
      </c>
      <c r="C502" s="3">
        <v>0.49</v>
      </c>
      <c r="D502" s="3">
        <v>0.0</v>
      </c>
      <c r="E502" s="3">
        <v>7.0</v>
      </c>
      <c r="F502" s="3">
        <v>23.0</v>
      </c>
      <c r="G502" s="3">
        <v>30.0</v>
      </c>
      <c r="H502" s="8" t="str">
        <f t="shared" si="1"/>
        <v>Ok</v>
      </c>
      <c r="I502" s="8">
        <f t="shared" si="2"/>
        <v>0</v>
      </c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3">
        <v>502.0</v>
      </c>
      <c r="B503" s="3">
        <v>0.0758</v>
      </c>
      <c r="C503" s="3">
        <v>0.57</v>
      </c>
      <c r="D503" s="3">
        <v>0.1045</v>
      </c>
      <c r="E503" s="3">
        <v>2.0</v>
      </c>
      <c r="F503" s="3">
        <v>31.0</v>
      </c>
      <c r="G503" s="3">
        <v>33.0</v>
      </c>
      <c r="H503" s="8" t="str">
        <f t="shared" si="1"/>
        <v>Ok</v>
      </c>
      <c r="I503" s="8">
        <f t="shared" si="2"/>
        <v>0</v>
      </c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3">
        <v>503.0</v>
      </c>
      <c r="B504" s="3">
        <v>0.0758</v>
      </c>
      <c r="C504" s="3">
        <v>0.57</v>
      </c>
      <c r="D504" s="3">
        <v>0.1045</v>
      </c>
      <c r="E504" s="3">
        <v>2.0</v>
      </c>
      <c r="F504" s="3">
        <v>20.0</v>
      </c>
      <c r="G504" s="3">
        <v>22.0</v>
      </c>
      <c r="H504" s="8" t="str">
        <f t="shared" si="1"/>
        <v>Ok</v>
      </c>
      <c r="I504" s="8">
        <f t="shared" si="2"/>
        <v>0</v>
      </c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3">
        <v>504.0</v>
      </c>
      <c r="B505" s="3">
        <v>0.0758</v>
      </c>
      <c r="C505" s="3">
        <v>0.57</v>
      </c>
      <c r="D505" s="3">
        <v>0.1045</v>
      </c>
      <c r="E505" s="3">
        <v>1.0</v>
      </c>
      <c r="F505" s="3">
        <v>12.0</v>
      </c>
      <c r="G505" s="3">
        <v>13.0</v>
      </c>
      <c r="H505" s="8" t="str">
        <f t="shared" si="1"/>
        <v>Ok</v>
      </c>
      <c r="I505" s="8">
        <f t="shared" si="2"/>
        <v>0</v>
      </c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3">
        <v>505.0</v>
      </c>
      <c r="B506" s="3">
        <v>0.0606</v>
      </c>
      <c r="C506" s="3">
        <v>0.62</v>
      </c>
      <c r="D506" s="3">
        <v>0.1343</v>
      </c>
      <c r="E506" s="3">
        <v>3.0</v>
      </c>
      <c r="F506" s="3">
        <v>15.0</v>
      </c>
      <c r="G506" s="3">
        <v>18.0</v>
      </c>
      <c r="H506" s="8" t="str">
        <f t="shared" si="1"/>
        <v>Ok</v>
      </c>
      <c r="I506" s="8">
        <f t="shared" si="2"/>
        <v>0</v>
      </c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3">
        <v>506.0</v>
      </c>
      <c r="B507" s="3">
        <v>0.0606</v>
      </c>
      <c r="C507" s="3">
        <v>0.62</v>
      </c>
      <c r="D507" s="3">
        <v>0.1343</v>
      </c>
      <c r="E507" s="3">
        <v>1.0</v>
      </c>
      <c r="F507" s="3">
        <v>4.0</v>
      </c>
      <c r="G507" s="3">
        <v>5.0</v>
      </c>
      <c r="H507" s="8" t="str">
        <f t="shared" si="1"/>
        <v>Ok</v>
      </c>
      <c r="I507" s="8">
        <f t="shared" si="2"/>
        <v>0</v>
      </c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3">
        <v>507.0</v>
      </c>
      <c r="B508" s="3">
        <v>0.0758</v>
      </c>
      <c r="C508" s="3">
        <v>0.57</v>
      </c>
      <c r="D508" s="3">
        <v>0.1045</v>
      </c>
      <c r="E508" s="3">
        <v>0.0</v>
      </c>
      <c r="F508" s="3">
        <v>3.0</v>
      </c>
      <c r="G508" s="3">
        <v>3.0</v>
      </c>
      <c r="H508" s="8" t="str">
        <f t="shared" si="1"/>
        <v>Ok</v>
      </c>
      <c r="I508" s="8">
        <f t="shared" si="2"/>
        <v>0</v>
      </c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3">
        <v>508.0</v>
      </c>
      <c r="B509" s="3">
        <v>0.0758</v>
      </c>
      <c r="C509" s="3">
        <v>0.57</v>
      </c>
      <c r="D509" s="3">
        <v>0.1045</v>
      </c>
      <c r="E509" s="3">
        <v>0.0</v>
      </c>
      <c r="F509" s="3">
        <v>1.0</v>
      </c>
      <c r="G509" s="3">
        <v>1.0</v>
      </c>
      <c r="H509" s="8" t="str">
        <f t="shared" si="1"/>
        <v>Ok</v>
      </c>
      <c r="I509" s="8">
        <f t="shared" si="2"/>
        <v>0</v>
      </c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3">
        <v>509.0</v>
      </c>
      <c r="B510" s="3">
        <v>0.1061</v>
      </c>
      <c r="C510" s="3">
        <v>0.58</v>
      </c>
      <c r="D510" s="3">
        <v>0.1642</v>
      </c>
      <c r="E510" s="3">
        <v>1.0</v>
      </c>
      <c r="F510" s="3">
        <v>1.0</v>
      </c>
      <c r="G510" s="3">
        <v>2.0</v>
      </c>
      <c r="H510" s="8" t="str">
        <f t="shared" si="1"/>
        <v>Ok</v>
      </c>
      <c r="I510" s="8">
        <f t="shared" si="2"/>
        <v>0</v>
      </c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3">
        <v>510.0</v>
      </c>
      <c r="B511" s="3">
        <v>0.0758</v>
      </c>
      <c r="C511" s="3">
        <v>0.62</v>
      </c>
      <c r="D511" s="3">
        <v>0.1642</v>
      </c>
      <c r="E511" s="3">
        <v>2.0</v>
      </c>
      <c r="F511" s="3">
        <v>17.0</v>
      </c>
      <c r="G511" s="3">
        <v>19.0</v>
      </c>
      <c r="H511" s="8" t="str">
        <f t="shared" si="1"/>
        <v>Ok</v>
      </c>
      <c r="I511" s="8">
        <f t="shared" si="2"/>
        <v>0</v>
      </c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3">
        <v>511.0</v>
      </c>
      <c r="B512" s="3">
        <v>0.0758</v>
      </c>
      <c r="C512" s="3">
        <v>0.54</v>
      </c>
      <c r="D512" s="3">
        <v>0.3582</v>
      </c>
      <c r="E512" s="3">
        <v>3.0</v>
      </c>
      <c r="F512" s="3">
        <v>25.0</v>
      </c>
      <c r="G512" s="3">
        <v>28.0</v>
      </c>
      <c r="H512" s="8" t="str">
        <f t="shared" si="1"/>
        <v>Ok</v>
      </c>
      <c r="I512" s="8">
        <f t="shared" si="2"/>
        <v>0</v>
      </c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3">
        <v>512.0</v>
      </c>
      <c r="B513" s="3">
        <v>0.1061</v>
      </c>
      <c r="C513" s="3">
        <v>0.46</v>
      </c>
      <c r="D513" s="3">
        <v>0.3881</v>
      </c>
      <c r="E513" s="3">
        <v>7.0</v>
      </c>
      <c r="F513" s="3">
        <v>51.0</v>
      </c>
      <c r="G513" s="3">
        <v>58.0</v>
      </c>
      <c r="H513" s="8" t="str">
        <f t="shared" si="1"/>
        <v>Ok</v>
      </c>
      <c r="I513" s="8">
        <f t="shared" si="2"/>
        <v>0</v>
      </c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3">
        <v>513.0</v>
      </c>
      <c r="B514" s="3">
        <v>0.1364</v>
      </c>
      <c r="C514" s="3">
        <v>0.43</v>
      </c>
      <c r="D514" s="3">
        <v>0.2239</v>
      </c>
      <c r="E514" s="3">
        <v>22.0</v>
      </c>
      <c r="F514" s="3">
        <v>77.0</v>
      </c>
      <c r="G514" s="3">
        <v>99.0</v>
      </c>
      <c r="H514" s="8" t="str">
        <f t="shared" si="1"/>
        <v>Ok</v>
      </c>
      <c r="I514" s="8">
        <f t="shared" si="2"/>
        <v>0</v>
      </c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3">
        <v>514.0</v>
      </c>
      <c r="B515" s="3">
        <v>0.1212</v>
      </c>
      <c r="C515" s="3">
        <v>0.37</v>
      </c>
      <c r="D515" s="3">
        <v>0.4627</v>
      </c>
      <c r="E515" s="3">
        <v>24.0</v>
      </c>
      <c r="F515" s="3">
        <v>92.0</v>
      </c>
      <c r="G515" s="3">
        <v>116.0</v>
      </c>
      <c r="H515" s="8" t="str">
        <f t="shared" si="1"/>
        <v>Ok</v>
      </c>
      <c r="I515" s="8">
        <f t="shared" si="2"/>
        <v>0</v>
      </c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3">
        <v>515.0</v>
      </c>
      <c r="B516" s="3">
        <v>0.1061</v>
      </c>
      <c r="C516" s="3">
        <v>0.33</v>
      </c>
      <c r="D516" s="3">
        <v>0.3881</v>
      </c>
      <c r="E516" s="3">
        <v>12.0</v>
      </c>
      <c r="F516" s="3">
        <v>75.0</v>
      </c>
      <c r="G516" s="3">
        <v>87.0</v>
      </c>
      <c r="H516" s="8" t="str">
        <f t="shared" si="1"/>
        <v>Ok</v>
      </c>
      <c r="I516" s="8">
        <f t="shared" si="2"/>
        <v>0</v>
      </c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3">
        <v>516.0</v>
      </c>
      <c r="B517" s="3">
        <v>0.1364</v>
      </c>
      <c r="C517" s="3">
        <v>0.28</v>
      </c>
      <c r="D517" s="3">
        <v>0.3582</v>
      </c>
      <c r="E517" s="3">
        <v>17.0</v>
      </c>
      <c r="F517" s="3">
        <v>93.0</v>
      </c>
      <c r="G517" s="3">
        <v>110.0</v>
      </c>
      <c r="H517" s="8" t="str">
        <f t="shared" si="1"/>
        <v>Ok</v>
      </c>
      <c r="I517" s="8">
        <f t="shared" si="2"/>
        <v>0</v>
      </c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3">
        <v>517.0</v>
      </c>
      <c r="B518" s="3">
        <v>0.1364</v>
      </c>
      <c r="C518" s="3">
        <v>0.28</v>
      </c>
      <c r="D518" s="3">
        <v>0.3582</v>
      </c>
      <c r="E518" s="3">
        <v>13.0</v>
      </c>
      <c r="F518" s="3">
        <v>64.0</v>
      </c>
      <c r="G518" s="3">
        <v>77.0</v>
      </c>
      <c r="H518" s="8" t="str">
        <f t="shared" si="1"/>
        <v>Ok</v>
      </c>
      <c r="I518" s="8">
        <f t="shared" si="2"/>
        <v>0</v>
      </c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3">
        <v>518.0</v>
      </c>
      <c r="B519" s="3">
        <v>0.1364</v>
      </c>
      <c r="C519" s="3">
        <v>0.26</v>
      </c>
      <c r="D519" s="3">
        <v>0.3284</v>
      </c>
      <c r="E519" s="3">
        <v>9.0</v>
      </c>
      <c r="F519" s="3">
        <v>56.0</v>
      </c>
      <c r="G519" s="3">
        <v>65.0</v>
      </c>
      <c r="H519" s="8" t="str">
        <f t="shared" si="1"/>
        <v>Ok</v>
      </c>
      <c r="I519" s="8">
        <f t="shared" si="2"/>
        <v>0</v>
      </c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3">
        <v>519.0</v>
      </c>
      <c r="B520" s="3">
        <v>0.1061</v>
      </c>
      <c r="C520" s="3">
        <v>0.26</v>
      </c>
      <c r="D520" s="3">
        <v>0.3881</v>
      </c>
      <c r="E520" s="3">
        <v>5.0</v>
      </c>
      <c r="F520" s="3">
        <v>50.0</v>
      </c>
      <c r="G520" s="3">
        <v>55.0</v>
      </c>
      <c r="H520" s="8" t="str">
        <f t="shared" si="1"/>
        <v>Ok</v>
      </c>
      <c r="I520" s="8">
        <f t="shared" si="2"/>
        <v>0</v>
      </c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3">
        <v>520.0</v>
      </c>
      <c r="B521" s="3">
        <v>0.1212</v>
      </c>
      <c r="C521" s="3">
        <v>0.3</v>
      </c>
      <c r="D521" s="3">
        <v>0.2537</v>
      </c>
      <c r="E521" s="3">
        <v>5.0</v>
      </c>
      <c r="F521" s="3">
        <v>44.0</v>
      </c>
      <c r="G521" s="3">
        <v>49.0</v>
      </c>
      <c r="H521" s="8" t="str">
        <f t="shared" si="1"/>
        <v>Ok</v>
      </c>
      <c r="I521" s="8">
        <f t="shared" si="2"/>
        <v>0</v>
      </c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3">
        <v>521.0</v>
      </c>
      <c r="B522" s="3">
        <v>0.1212</v>
      </c>
      <c r="C522" s="3">
        <v>0.3</v>
      </c>
      <c r="D522" s="3">
        <v>0.2836</v>
      </c>
      <c r="E522" s="3">
        <v>5.0</v>
      </c>
      <c r="F522" s="3">
        <v>45.0</v>
      </c>
      <c r="G522" s="3">
        <v>50.0</v>
      </c>
      <c r="H522" s="8" t="str">
        <f t="shared" si="1"/>
        <v>Ok</v>
      </c>
      <c r="I522" s="8">
        <f t="shared" si="2"/>
        <v>0</v>
      </c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3">
        <v>522.0</v>
      </c>
      <c r="B523" s="3">
        <v>0.1061</v>
      </c>
      <c r="C523" s="3">
        <v>0.36</v>
      </c>
      <c r="D523" s="3">
        <v>0.2537</v>
      </c>
      <c r="E523" s="3">
        <v>4.0</v>
      </c>
      <c r="F523" s="3">
        <v>31.0</v>
      </c>
      <c r="G523" s="3">
        <v>35.0</v>
      </c>
      <c r="H523" s="8" t="str">
        <f t="shared" si="1"/>
        <v>Ok</v>
      </c>
      <c r="I523" s="8">
        <f t="shared" si="2"/>
        <v>0</v>
      </c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3">
        <v>523.0</v>
      </c>
      <c r="B524" s="3">
        <v>0.1061</v>
      </c>
      <c r="C524" s="3">
        <v>0.36</v>
      </c>
      <c r="D524" s="3">
        <v>0.194</v>
      </c>
      <c r="E524" s="3">
        <v>5.0</v>
      </c>
      <c r="F524" s="3">
        <v>20.0</v>
      </c>
      <c r="G524" s="3">
        <v>25.0</v>
      </c>
      <c r="H524" s="8" t="str">
        <f t="shared" si="1"/>
        <v>Ok</v>
      </c>
      <c r="I524" s="8">
        <f t="shared" si="2"/>
        <v>0</v>
      </c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3">
        <v>524.0</v>
      </c>
      <c r="B525" s="3">
        <v>0.0909</v>
      </c>
      <c r="C525" s="3">
        <v>0.38</v>
      </c>
      <c r="D525" s="3">
        <v>0.194</v>
      </c>
      <c r="E525" s="3">
        <v>5.0</v>
      </c>
      <c r="F525" s="3">
        <v>23.0</v>
      </c>
      <c r="G525" s="3">
        <v>28.0</v>
      </c>
      <c r="H525" s="8" t="str">
        <f t="shared" si="1"/>
        <v>Ok</v>
      </c>
      <c r="I525" s="8">
        <f t="shared" si="2"/>
        <v>0</v>
      </c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3">
        <v>525.0</v>
      </c>
      <c r="B526" s="3">
        <v>0.0606</v>
      </c>
      <c r="C526" s="3">
        <v>0.41</v>
      </c>
      <c r="D526" s="3">
        <v>0.2239</v>
      </c>
      <c r="E526" s="3">
        <v>4.0</v>
      </c>
      <c r="F526" s="3">
        <v>17.0</v>
      </c>
      <c r="G526" s="3">
        <v>21.0</v>
      </c>
      <c r="H526" s="8" t="str">
        <f t="shared" si="1"/>
        <v>Ok</v>
      </c>
      <c r="I526" s="8">
        <f t="shared" si="2"/>
        <v>0</v>
      </c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3">
        <v>526.0</v>
      </c>
      <c r="B527" s="3">
        <v>0.0606</v>
      </c>
      <c r="C527" s="3">
        <v>0.41</v>
      </c>
      <c r="D527" s="3">
        <v>0.194</v>
      </c>
      <c r="E527" s="3">
        <v>0.0</v>
      </c>
      <c r="F527" s="3">
        <v>7.0</v>
      </c>
      <c r="G527" s="3">
        <v>7.0</v>
      </c>
      <c r="H527" s="8" t="str">
        <f t="shared" si="1"/>
        <v>Ok</v>
      </c>
      <c r="I527" s="8">
        <f t="shared" si="2"/>
        <v>0</v>
      </c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3">
        <v>527.0</v>
      </c>
      <c r="B528" s="3">
        <v>0.0455</v>
      </c>
      <c r="C528" s="3">
        <v>0.45</v>
      </c>
      <c r="D528" s="3">
        <v>0.194</v>
      </c>
      <c r="E528" s="3">
        <v>0.0</v>
      </c>
      <c r="F528" s="3">
        <v>1.0</v>
      </c>
      <c r="G528" s="3">
        <v>1.0</v>
      </c>
      <c r="H528" s="8" t="str">
        <f t="shared" si="1"/>
        <v>Ok</v>
      </c>
      <c r="I528" s="8">
        <f t="shared" si="2"/>
        <v>0</v>
      </c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3">
        <v>528.0</v>
      </c>
      <c r="B529" s="3">
        <v>0.0303</v>
      </c>
      <c r="C529" s="3">
        <v>0.45</v>
      </c>
      <c r="D529" s="3">
        <v>0.2537</v>
      </c>
      <c r="E529" s="3">
        <v>0.0</v>
      </c>
      <c r="F529" s="3">
        <v>1.0</v>
      </c>
      <c r="G529" s="3">
        <v>1.0</v>
      </c>
      <c r="H529" s="8" t="str">
        <f t="shared" si="1"/>
        <v>Ok</v>
      </c>
      <c r="I529" s="8">
        <f t="shared" si="2"/>
        <v>0</v>
      </c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3">
        <v>529.0</v>
      </c>
      <c r="B530" s="3">
        <v>0.0606</v>
      </c>
      <c r="C530" s="3">
        <v>0.48</v>
      </c>
      <c r="D530" s="3">
        <v>0.1343</v>
      </c>
      <c r="E530" s="3">
        <v>0.0</v>
      </c>
      <c r="F530" s="3">
        <v>1.0</v>
      </c>
      <c r="G530" s="3">
        <v>1.0</v>
      </c>
      <c r="H530" s="8" t="str">
        <f t="shared" si="1"/>
        <v>Ok</v>
      </c>
      <c r="I530" s="8">
        <f t="shared" si="2"/>
        <v>0</v>
      </c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3">
        <v>530.0</v>
      </c>
      <c r="B531" s="3">
        <v>0.0606</v>
      </c>
      <c r="C531" s="3">
        <v>0.48</v>
      </c>
      <c r="D531" s="3">
        <v>0.1343</v>
      </c>
      <c r="E531" s="3">
        <v>0.0</v>
      </c>
      <c r="F531" s="3">
        <v>5.0</v>
      </c>
      <c r="G531" s="3">
        <v>5.0</v>
      </c>
      <c r="H531" s="8" t="str">
        <f t="shared" si="1"/>
        <v>Ok</v>
      </c>
      <c r="I531" s="8">
        <f t="shared" si="2"/>
        <v>0</v>
      </c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3">
        <v>531.0</v>
      </c>
      <c r="B532" s="3">
        <v>0.0758</v>
      </c>
      <c r="C532" s="3">
        <v>0.48</v>
      </c>
      <c r="D532" s="3">
        <v>0.0896</v>
      </c>
      <c r="E532" s="3">
        <v>0.0</v>
      </c>
      <c r="F532" s="3">
        <v>15.0</v>
      </c>
      <c r="G532" s="3">
        <v>15.0</v>
      </c>
      <c r="H532" s="8" t="str">
        <f t="shared" si="1"/>
        <v>Ok</v>
      </c>
      <c r="I532" s="8">
        <f t="shared" si="2"/>
        <v>0</v>
      </c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3">
        <v>532.0</v>
      </c>
      <c r="B533" s="3">
        <v>0.1212</v>
      </c>
      <c r="C533" s="3">
        <v>0.48</v>
      </c>
      <c r="D533" s="3">
        <v>0.0</v>
      </c>
      <c r="E533" s="3">
        <v>5.0</v>
      </c>
      <c r="F533" s="3">
        <v>79.0</v>
      </c>
      <c r="G533" s="3">
        <v>84.0</v>
      </c>
      <c r="H533" s="8" t="str">
        <f t="shared" si="1"/>
        <v>Ok</v>
      </c>
      <c r="I533" s="8">
        <f t="shared" si="2"/>
        <v>0</v>
      </c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3">
        <v>533.0</v>
      </c>
      <c r="B534" s="3">
        <v>0.1364</v>
      </c>
      <c r="C534" s="3">
        <v>0.49</v>
      </c>
      <c r="D534" s="3">
        <v>0.0</v>
      </c>
      <c r="E534" s="3">
        <v>6.0</v>
      </c>
      <c r="F534" s="3">
        <v>171.0</v>
      </c>
      <c r="G534" s="3">
        <v>177.0</v>
      </c>
      <c r="H534" s="8" t="str">
        <f t="shared" si="1"/>
        <v>Ok</v>
      </c>
      <c r="I534" s="8">
        <f t="shared" si="2"/>
        <v>0</v>
      </c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3">
        <v>534.0</v>
      </c>
      <c r="B535" s="3">
        <v>0.1515</v>
      </c>
      <c r="C535" s="3">
        <v>0.41</v>
      </c>
      <c r="D535" s="3">
        <v>0.0</v>
      </c>
      <c r="E535" s="3">
        <v>4.0</v>
      </c>
      <c r="F535" s="3">
        <v>98.0</v>
      </c>
      <c r="G535" s="3">
        <v>102.0</v>
      </c>
      <c r="H535" s="8" t="str">
        <f t="shared" si="1"/>
        <v>Ok</v>
      </c>
      <c r="I535" s="8">
        <f t="shared" si="2"/>
        <v>0</v>
      </c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3">
        <v>535.0</v>
      </c>
      <c r="B536" s="3">
        <v>0.1364</v>
      </c>
      <c r="C536" s="3">
        <v>0.42</v>
      </c>
      <c r="D536" s="3">
        <v>0.0</v>
      </c>
      <c r="E536" s="3">
        <v>6.0</v>
      </c>
      <c r="F536" s="3">
        <v>34.0</v>
      </c>
      <c r="G536" s="3">
        <v>40.0</v>
      </c>
      <c r="H536" s="8" t="str">
        <f t="shared" si="1"/>
        <v>Ok</v>
      </c>
      <c r="I536" s="8">
        <f t="shared" si="2"/>
        <v>0</v>
      </c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3">
        <v>536.0</v>
      </c>
      <c r="B537" s="3">
        <v>0.1212</v>
      </c>
      <c r="C537" s="3">
        <v>0.46</v>
      </c>
      <c r="D537" s="3">
        <v>0.1343</v>
      </c>
      <c r="E537" s="3">
        <v>3.0</v>
      </c>
      <c r="F537" s="3">
        <v>43.0</v>
      </c>
      <c r="G537" s="3">
        <v>46.0</v>
      </c>
      <c r="H537" s="8" t="str">
        <f t="shared" si="1"/>
        <v>Ok</v>
      </c>
      <c r="I537" s="8">
        <f t="shared" si="2"/>
        <v>0</v>
      </c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3">
        <v>537.0</v>
      </c>
      <c r="B538" s="3">
        <v>0.1364</v>
      </c>
      <c r="C538" s="3">
        <v>0.42</v>
      </c>
      <c r="D538" s="3">
        <v>0.194</v>
      </c>
      <c r="E538" s="3">
        <v>11.0</v>
      </c>
      <c r="F538" s="3">
        <v>52.0</v>
      </c>
      <c r="G538" s="3">
        <v>63.0</v>
      </c>
      <c r="H538" s="8" t="str">
        <f t="shared" si="1"/>
        <v>Ok</v>
      </c>
      <c r="I538" s="8">
        <f t="shared" si="2"/>
        <v>0</v>
      </c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3">
        <v>538.0</v>
      </c>
      <c r="B539" s="3">
        <v>0.1364</v>
      </c>
      <c r="C539" s="3">
        <v>0.43</v>
      </c>
      <c r="D539" s="3">
        <v>0.2239</v>
      </c>
      <c r="E539" s="3">
        <v>6.0</v>
      </c>
      <c r="F539" s="3">
        <v>54.0</v>
      </c>
      <c r="G539" s="3">
        <v>60.0</v>
      </c>
      <c r="H539" s="8" t="str">
        <f t="shared" si="1"/>
        <v>Ok</v>
      </c>
      <c r="I539" s="8">
        <f t="shared" si="2"/>
        <v>0</v>
      </c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3">
        <v>539.0</v>
      </c>
      <c r="B540" s="3">
        <v>0.1364</v>
      </c>
      <c r="C540" s="3">
        <v>0.46</v>
      </c>
      <c r="D540" s="3">
        <v>0.2239</v>
      </c>
      <c r="E540" s="3">
        <v>2.0</v>
      </c>
      <c r="F540" s="3">
        <v>43.0</v>
      </c>
      <c r="G540" s="3">
        <v>45.0</v>
      </c>
      <c r="H540" s="8" t="str">
        <f t="shared" si="1"/>
        <v>Ok</v>
      </c>
      <c r="I540" s="8">
        <f t="shared" si="2"/>
        <v>0</v>
      </c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3">
        <v>540.0</v>
      </c>
      <c r="B541" s="3">
        <v>0.1667</v>
      </c>
      <c r="C541" s="3">
        <v>0.4</v>
      </c>
      <c r="D541" s="3">
        <v>0.1642</v>
      </c>
      <c r="E541" s="3">
        <v>7.0</v>
      </c>
      <c r="F541" s="3">
        <v>50.0</v>
      </c>
      <c r="G541" s="3">
        <v>57.0</v>
      </c>
      <c r="H541" s="8" t="str">
        <f t="shared" si="1"/>
        <v>Ok</v>
      </c>
      <c r="I541" s="8">
        <f t="shared" si="2"/>
        <v>0</v>
      </c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3">
        <v>541.0</v>
      </c>
      <c r="B542" s="3">
        <v>0.1515</v>
      </c>
      <c r="C542" s="3">
        <v>0.47</v>
      </c>
      <c r="D542" s="3">
        <v>0.2537</v>
      </c>
      <c r="E542" s="3">
        <v>4.0</v>
      </c>
      <c r="F542" s="3">
        <v>66.0</v>
      </c>
      <c r="G542" s="3">
        <v>70.0</v>
      </c>
      <c r="H542" s="8" t="str">
        <f t="shared" si="1"/>
        <v>Ok</v>
      </c>
      <c r="I542" s="8">
        <f t="shared" si="2"/>
        <v>0</v>
      </c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3">
        <v>542.0</v>
      </c>
      <c r="B543" s="3">
        <v>0.1212</v>
      </c>
      <c r="C543" s="3">
        <v>0.5</v>
      </c>
      <c r="D543" s="3">
        <v>0.2537</v>
      </c>
      <c r="E543" s="3">
        <v>6.0</v>
      </c>
      <c r="F543" s="3">
        <v>178.0</v>
      </c>
      <c r="G543" s="3">
        <v>184.0</v>
      </c>
      <c r="H543" s="8" t="str">
        <f t="shared" si="1"/>
        <v>Ok</v>
      </c>
      <c r="I543" s="8">
        <f t="shared" si="2"/>
        <v>0</v>
      </c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3">
        <v>543.0</v>
      </c>
      <c r="B544" s="3">
        <v>0.1364</v>
      </c>
      <c r="C544" s="3">
        <v>0.59</v>
      </c>
      <c r="D544" s="3">
        <v>0.194</v>
      </c>
      <c r="E544" s="3">
        <v>8.0</v>
      </c>
      <c r="F544" s="3">
        <v>145.0</v>
      </c>
      <c r="G544" s="3">
        <v>153.0</v>
      </c>
      <c r="H544" s="8" t="str">
        <f t="shared" si="1"/>
        <v>Ok</v>
      </c>
      <c r="I544" s="8">
        <f t="shared" si="2"/>
        <v>0</v>
      </c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3">
        <v>544.0</v>
      </c>
      <c r="B545" s="3">
        <v>0.1515</v>
      </c>
      <c r="C545" s="3">
        <v>0.54</v>
      </c>
      <c r="D545" s="3">
        <v>0.1642</v>
      </c>
      <c r="E545" s="3">
        <v>5.0</v>
      </c>
      <c r="F545" s="3">
        <v>101.0</v>
      </c>
      <c r="G545" s="3">
        <v>106.0</v>
      </c>
      <c r="H545" s="8" t="str">
        <f t="shared" si="1"/>
        <v>Ok</v>
      </c>
      <c r="I545" s="8">
        <f t="shared" si="2"/>
        <v>0</v>
      </c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3">
        <v>545.0</v>
      </c>
      <c r="B546" s="3">
        <v>0.1364</v>
      </c>
      <c r="C546" s="3">
        <v>0.59</v>
      </c>
      <c r="D546" s="3">
        <v>0.194</v>
      </c>
      <c r="E546" s="3">
        <v>1.0</v>
      </c>
      <c r="F546" s="3">
        <v>80.0</v>
      </c>
      <c r="G546" s="3">
        <v>81.0</v>
      </c>
      <c r="H546" s="8" t="str">
        <f t="shared" si="1"/>
        <v>Ok</v>
      </c>
      <c r="I546" s="8">
        <f t="shared" si="2"/>
        <v>0</v>
      </c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3">
        <v>546.0</v>
      </c>
      <c r="B547" s="3">
        <v>0.1515</v>
      </c>
      <c r="C547" s="3">
        <v>0.63</v>
      </c>
      <c r="D547" s="3">
        <v>0.1642</v>
      </c>
      <c r="E547" s="3">
        <v>6.0</v>
      </c>
      <c r="F547" s="3">
        <v>53.0</v>
      </c>
      <c r="G547" s="3">
        <v>59.0</v>
      </c>
      <c r="H547" s="8" t="str">
        <f t="shared" si="1"/>
        <v>Ok</v>
      </c>
      <c r="I547" s="8">
        <f t="shared" si="2"/>
        <v>0</v>
      </c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3">
        <v>547.0</v>
      </c>
      <c r="B548" s="3">
        <v>0.1364</v>
      </c>
      <c r="C548" s="3">
        <v>0.63</v>
      </c>
      <c r="D548" s="3">
        <v>0.2239</v>
      </c>
      <c r="E548" s="3">
        <v>3.0</v>
      </c>
      <c r="F548" s="3">
        <v>32.0</v>
      </c>
      <c r="G548" s="3">
        <v>35.0</v>
      </c>
      <c r="H548" s="8" t="str">
        <f t="shared" si="1"/>
        <v>Ok</v>
      </c>
      <c r="I548" s="8">
        <f t="shared" si="2"/>
        <v>0</v>
      </c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3">
        <v>548.0</v>
      </c>
      <c r="B549" s="3">
        <v>0.1515</v>
      </c>
      <c r="C549" s="3">
        <v>0.64</v>
      </c>
      <c r="D549" s="3">
        <v>0.2537</v>
      </c>
      <c r="E549" s="3">
        <v>3.0</v>
      </c>
      <c r="F549" s="3">
        <v>21.0</v>
      </c>
      <c r="G549" s="3">
        <v>24.0</v>
      </c>
      <c r="H549" s="8" t="str">
        <f t="shared" si="1"/>
        <v>Ok</v>
      </c>
      <c r="I549" s="8">
        <f t="shared" si="2"/>
        <v>0</v>
      </c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3">
        <v>549.0</v>
      </c>
      <c r="B550" s="3">
        <v>0.1364</v>
      </c>
      <c r="C550" s="3">
        <v>0.69</v>
      </c>
      <c r="D550" s="3">
        <v>0.2836</v>
      </c>
      <c r="E550" s="3">
        <v>3.0</v>
      </c>
      <c r="F550" s="3">
        <v>6.0</v>
      </c>
      <c r="G550" s="3">
        <v>9.0</v>
      </c>
      <c r="H550" s="8" t="str">
        <f t="shared" si="1"/>
        <v>Ok</v>
      </c>
      <c r="I550" s="8">
        <f t="shared" si="2"/>
        <v>0</v>
      </c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3">
        <v>550.0</v>
      </c>
      <c r="B551" s="3">
        <v>0.1667</v>
      </c>
      <c r="C551" s="3">
        <v>0.69</v>
      </c>
      <c r="D551" s="3">
        <v>0.1642</v>
      </c>
      <c r="E551" s="3">
        <v>0.0</v>
      </c>
      <c r="F551" s="3">
        <v>5.0</v>
      </c>
      <c r="G551" s="3">
        <v>5.0</v>
      </c>
      <c r="H551" s="8" t="str">
        <f t="shared" si="1"/>
        <v>Ok</v>
      </c>
      <c r="I551" s="8">
        <f t="shared" si="2"/>
        <v>0</v>
      </c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3">
        <v>551.0</v>
      </c>
      <c r="B552" s="3">
        <v>0.1515</v>
      </c>
      <c r="C552" s="3">
        <v>0.69</v>
      </c>
      <c r="D552" s="3">
        <v>0.2239</v>
      </c>
      <c r="E552" s="3">
        <v>0.0</v>
      </c>
      <c r="F552" s="3">
        <v>2.0</v>
      </c>
      <c r="G552" s="3">
        <v>2.0</v>
      </c>
      <c r="H552" s="8" t="str">
        <f t="shared" si="1"/>
        <v>Ok</v>
      </c>
      <c r="I552" s="8">
        <f t="shared" si="2"/>
        <v>0</v>
      </c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3">
        <v>552.0</v>
      </c>
      <c r="B553" s="3">
        <v>0.1667</v>
      </c>
      <c r="C553" s="3">
        <v>0.74</v>
      </c>
      <c r="D553" s="3">
        <v>0.1045</v>
      </c>
      <c r="E553" s="3">
        <v>0.0</v>
      </c>
      <c r="F553" s="3">
        <v>1.0</v>
      </c>
      <c r="G553" s="3">
        <v>1.0</v>
      </c>
      <c r="H553" s="8" t="str">
        <f t="shared" si="1"/>
        <v>Ok</v>
      </c>
      <c r="I553" s="8">
        <f t="shared" si="2"/>
        <v>0</v>
      </c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3">
        <v>553.0</v>
      </c>
      <c r="B554" s="3">
        <v>0.1364</v>
      </c>
      <c r="C554" s="3">
        <v>0.74</v>
      </c>
      <c r="D554" s="3">
        <v>0.2239</v>
      </c>
      <c r="E554" s="3">
        <v>0.0</v>
      </c>
      <c r="F554" s="3">
        <v>9.0</v>
      </c>
      <c r="G554" s="3">
        <v>9.0</v>
      </c>
      <c r="H554" s="8" t="str">
        <f t="shared" si="1"/>
        <v>Ok</v>
      </c>
      <c r="I554" s="8">
        <f t="shared" si="2"/>
        <v>0</v>
      </c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3">
        <v>554.0</v>
      </c>
      <c r="B555" s="3">
        <v>0.1818</v>
      </c>
      <c r="C555" s="3">
        <v>0.74</v>
      </c>
      <c r="D555" s="3">
        <v>0.1045</v>
      </c>
      <c r="E555" s="3">
        <v>1.0</v>
      </c>
      <c r="F555" s="3">
        <v>35.0</v>
      </c>
      <c r="G555" s="3">
        <v>36.0</v>
      </c>
      <c r="H555" s="8" t="str">
        <f t="shared" si="1"/>
        <v>Ok</v>
      </c>
      <c r="I555" s="8">
        <f t="shared" si="2"/>
        <v>0</v>
      </c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3">
        <v>555.0</v>
      </c>
      <c r="B556" s="3">
        <v>0.1515</v>
      </c>
      <c r="C556" s="3">
        <v>0.74</v>
      </c>
      <c r="D556" s="3">
        <v>0.2239</v>
      </c>
      <c r="E556" s="3">
        <v>5.0</v>
      </c>
      <c r="F556" s="3">
        <v>103.0</v>
      </c>
      <c r="G556" s="3">
        <v>108.0</v>
      </c>
      <c r="H556" s="8" t="str">
        <f t="shared" si="1"/>
        <v>Ok</v>
      </c>
      <c r="I556" s="8">
        <f t="shared" si="2"/>
        <v>0</v>
      </c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3">
        <v>556.0</v>
      </c>
      <c r="B557" s="3">
        <v>0.1818</v>
      </c>
      <c r="C557" s="3">
        <v>0.74</v>
      </c>
      <c r="D557" s="3">
        <v>0.1343</v>
      </c>
      <c r="E557" s="3">
        <v>5.0</v>
      </c>
      <c r="F557" s="3">
        <v>233.0</v>
      </c>
      <c r="G557" s="3">
        <v>238.0</v>
      </c>
      <c r="H557" s="8" t="str">
        <f t="shared" si="1"/>
        <v>Ok</v>
      </c>
      <c r="I557" s="8">
        <f t="shared" si="2"/>
        <v>0</v>
      </c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3">
        <v>557.0</v>
      </c>
      <c r="B558" s="3">
        <v>0.2273</v>
      </c>
      <c r="C558" s="3">
        <v>0.64</v>
      </c>
      <c r="D558" s="3">
        <v>0.0896</v>
      </c>
      <c r="E558" s="3">
        <v>10.0</v>
      </c>
      <c r="F558" s="3">
        <v>134.0</v>
      </c>
      <c r="G558" s="3">
        <v>144.0</v>
      </c>
      <c r="H558" s="8" t="str">
        <f t="shared" si="1"/>
        <v>Ok</v>
      </c>
      <c r="I558" s="8">
        <f t="shared" si="2"/>
        <v>0</v>
      </c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3">
        <v>558.0</v>
      </c>
      <c r="B559" s="3">
        <v>0.2424</v>
      </c>
      <c r="C559" s="3">
        <v>0.6</v>
      </c>
      <c r="D559" s="3">
        <v>0.1045</v>
      </c>
      <c r="E559" s="3">
        <v>6.0</v>
      </c>
      <c r="F559" s="3">
        <v>49.0</v>
      </c>
      <c r="G559" s="3">
        <v>55.0</v>
      </c>
      <c r="H559" s="8" t="str">
        <f t="shared" si="1"/>
        <v>Ok</v>
      </c>
      <c r="I559" s="8">
        <f t="shared" si="2"/>
        <v>0</v>
      </c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3">
        <v>559.0</v>
      </c>
      <c r="B560" s="3">
        <v>0.2424</v>
      </c>
      <c r="C560" s="3">
        <v>0.6</v>
      </c>
      <c r="D560" s="3">
        <v>0.1343</v>
      </c>
      <c r="E560" s="3">
        <v>6.0</v>
      </c>
      <c r="F560" s="3">
        <v>55.0</v>
      </c>
      <c r="G560" s="3">
        <v>61.0</v>
      </c>
      <c r="H560" s="8" t="str">
        <f t="shared" si="1"/>
        <v>Ok</v>
      </c>
      <c r="I560" s="8">
        <f t="shared" si="2"/>
        <v>0</v>
      </c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3">
        <v>560.0</v>
      </c>
      <c r="B561" s="3">
        <v>0.2879</v>
      </c>
      <c r="C561" s="3">
        <v>0.56</v>
      </c>
      <c r="D561" s="3">
        <v>0.0896</v>
      </c>
      <c r="E561" s="3">
        <v>21.0</v>
      </c>
      <c r="F561" s="3">
        <v>85.0</v>
      </c>
      <c r="G561" s="3">
        <v>106.0</v>
      </c>
      <c r="H561" s="8" t="str">
        <f t="shared" si="1"/>
        <v>Ok</v>
      </c>
      <c r="I561" s="8">
        <f t="shared" si="2"/>
        <v>0</v>
      </c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3">
        <v>561.0</v>
      </c>
      <c r="B562" s="3">
        <v>0.2727</v>
      </c>
      <c r="C562" s="3">
        <v>0.56</v>
      </c>
      <c r="D562" s="3">
        <v>0.1343</v>
      </c>
      <c r="E562" s="3">
        <v>21.0</v>
      </c>
      <c r="F562" s="3">
        <v>72.0</v>
      </c>
      <c r="G562" s="3">
        <v>93.0</v>
      </c>
      <c r="H562" s="8" t="str">
        <f t="shared" si="1"/>
        <v>Ok</v>
      </c>
      <c r="I562" s="8">
        <f t="shared" si="2"/>
        <v>0</v>
      </c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3">
        <v>562.0</v>
      </c>
      <c r="B563" s="3">
        <v>0.3333</v>
      </c>
      <c r="C563" s="3">
        <v>0.45</v>
      </c>
      <c r="D563" s="3">
        <v>0.0</v>
      </c>
      <c r="E563" s="3">
        <v>11.0</v>
      </c>
      <c r="F563" s="3">
        <v>57.0</v>
      </c>
      <c r="G563" s="3">
        <v>68.0</v>
      </c>
      <c r="H563" s="8" t="str">
        <f t="shared" si="1"/>
        <v>Ok</v>
      </c>
      <c r="I563" s="8">
        <f t="shared" si="2"/>
        <v>0</v>
      </c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3">
        <v>563.0</v>
      </c>
      <c r="B564" s="3">
        <v>0.3485</v>
      </c>
      <c r="C564" s="3">
        <v>0.42</v>
      </c>
      <c r="D564" s="3">
        <v>0.0</v>
      </c>
      <c r="E564" s="3">
        <v>21.0</v>
      </c>
      <c r="F564" s="3">
        <v>63.0</v>
      </c>
      <c r="G564" s="3">
        <v>84.0</v>
      </c>
      <c r="H564" s="8" t="str">
        <f t="shared" si="1"/>
        <v>Ok</v>
      </c>
      <c r="I564" s="8">
        <f t="shared" si="2"/>
        <v>0</v>
      </c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3">
        <v>564.0</v>
      </c>
      <c r="B565" s="3">
        <v>0.3485</v>
      </c>
      <c r="C565" s="3">
        <v>0.42</v>
      </c>
      <c r="D565" s="3">
        <v>0.0</v>
      </c>
      <c r="E565" s="3">
        <v>14.0</v>
      </c>
      <c r="F565" s="3">
        <v>102.0</v>
      </c>
      <c r="G565" s="3">
        <v>116.0</v>
      </c>
      <c r="H565" s="8" t="str">
        <f t="shared" si="1"/>
        <v>Ok</v>
      </c>
      <c r="I565" s="8">
        <f t="shared" si="2"/>
        <v>0</v>
      </c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3">
        <v>565.0</v>
      </c>
      <c r="B566" s="3">
        <v>0.3333</v>
      </c>
      <c r="C566" s="3">
        <v>0.45</v>
      </c>
      <c r="D566" s="3">
        <v>0.0</v>
      </c>
      <c r="E566" s="3">
        <v>14.0</v>
      </c>
      <c r="F566" s="3">
        <v>208.0</v>
      </c>
      <c r="G566" s="3">
        <v>222.0</v>
      </c>
      <c r="H566" s="8" t="str">
        <f t="shared" si="1"/>
        <v>Ok</v>
      </c>
      <c r="I566" s="8">
        <f t="shared" si="2"/>
        <v>0</v>
      </c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3">
        <v>566.0</v>
      </c>
      <c r="B567" s="3">
        <v>0.3182</v>
      </c>
      <c r="C567" s="3">
        <v>0.49</v>
      </c>
      <c r="D567" s="3">
        <v>0.0896</v>
      </c>
      <c r="E567" s="3">
        <v>7.0</v>
      </c>
      <c r="F567" s="3">
        <v>218.0</v>
      </c>
      <c r="G567" s="3">
        <v>225.0</v>
      </c>
      <c r="H567" s="8" t="str">
        <f t="shared" si="1"/>
        <v>Ok</v>
      </c>
      <c r="I567" s="8">
        <f t="shared" si="2"/>
        <v>0</v>
      </c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3">
        <v>567.0</v>
      </c>
      <c r="B568" s="3">
        <v>0.2576</v>
      </c>
      <c r="C568" s="3">
        <v>0.65</v>
      </c>
      <c r="D568" s="3">
        <v>0.1642</v>
      </c>
      <c r="E568" s="3">
        <v>13.0</v>
      </c>
      <c r="F568" s="3">
        <v>133.0</v>
      </c>
      <c r="G568" s="3">
        <v>146.0</v>
      </c>
      <c r="H568" s="8" t="str">
        <f t="shared" si="1"/>
        <v>Ok</v>
      </c>
      <c r="I568" s="8">
        <f t="shared" si="2"/>
        <v>0</v>
      </c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3">
        <v>568.0</v>
      </c>
      <c r="B569" s="3">
        <v>0.2273</v>
      </c>
      <c r="C569" s="3">
        <v>0.65</v>
      </c>
      <c r="D569" s="3">
        <v>0.194</v>
      </c>
      <c r="E569" s="3">
        <v>16.0</v>
      </c>
      <c r="F569" s="3">
        <v>103.0</v>
      </c>
      <c r="G569" s="3">
        <v>119.0</v>
      </c>
      <c r="H569" s="8" t="str">
        <f t="shared" si="1"/>
        <v>Ok</v>
      </c>
      <c r="I569" s="8">
        <f t="shared" si="2"/>
        <v>0</v>
      </c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3">
        <v>569.0</v>
      </c>
      <c r="B570" s="3">
        <v>0.2273</v>
      </c>
      <c r="C570" s="3">
        <v>0.65</v>
      </c>
      <c r="D570" s="3">
        <v>0.194</v>
      </c>
      <c r="E570" s="3">
        <v>5.0</v>
      </c>
      <c r="F570" s="3">
        <v>40.0</v>
      </c>
      <c r="G570" s="3">
        <v>45.0</v>
      </c>
      <c r="H570" s="8" t="str">
        <f t="shared" si="1"/>
        <v>Ok</v>
      </c>
      <c r="I570" s="8">
        <f t="shared" si="2"/>
        <v>0</v>
      </c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3">
        <v>570.0</v>
      </c>
      <c r="B571" s="3">
        <v>0.2273</v>
      </c>
      <c r="C571" s="3">
        <v>0.64</v>
      </c>
      <c r="D571" s="3">
        <v>0.1642</v>
      </c>
      <c r="E571" s="3">
        <v>4.0</v>
      </c>
      <c r="F571" s="3">
        <v>49.0</v>
      </c>
      <c r="G571" s="3">
        <v>53.0</v>
      </c>
      <c r="H571" s="8" t="str">
        <f t="shared" si="1"/>
        <v>Ok</v>
      </c>
      <c r="I571" s="8">
        <f t="shared" si="2"/>
        <v>0</v>
      </c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3">
        <v>571.0</v>
      </c>
      <c r="B572" s="3">
        <v>0.2273</v>
      </c>
      <c r="C572" s="3">
        <v>0.64</v>
      </c>
      <c r="D572" s="3">
        <v>0.1642</v>
      </c>
      <c r="E572" s="3">
        <v>3.0</v>
      </c>
      <c r="F572" s="3">
        <v>37.0</v>
      </c>
      <c r="G572" s="3">
        <v>40.0</v>
      </c>
      <c r="H572" s="8" t="str">
        <f t="shared" si="1"/>
        <v>Ok</v>
      </c>
      <c r="I572" s="8">
        <f t="shared" si="2"/>
        <v>0</v>
      </c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3">
        <v>572.0</v>
      </c>
      <c r="B573" s="3">
        <v>0.2273</v>
      </c>
      <c r="C573" s="3">
        <v>0.69</v>
      </c>
      <c r="D573" s="3">
        <v>0.1343</v>
      </c>
      <c r="E573" s="3">
        <v>3.0</v>
      </c>
      <c r="F573" s="3">
        <v>14.0</v>
      </c>
      <c r="G573" s="3">
        <v>17.0</v>
      </c>
      <c r="H573" s="8" t="str">
        <f t="shared" si="1"/>
        <v>Ok</v>
      </c>
      <c r="I573" s="8">
        <f t="shared" si="2"/>
        <v>0</v>
      </c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3">
        <v>573.0</v>
      </c>
      <c r="B574" s="3">
        <v>0.2424</v>
      </c>
      <c r="C574" s="3">
        <v>0.65</v>
      </c>
      <c r="D574" s="3">
        <v>0.1343</v>
      </c>
      <c r="E574" s="3">
        <v>0.0</v>
      </c>
      <c r="F574" s="3">
        <v>5.0</v>
      </c>
      <c r="G574" s="3">
        <v>5.0</v>
      </c>
      <c r="H574" s="8" t="str">
        <f t="shared" si="1"/>
        <v>Ok</v>
      </c>
      <c r="I574" s="8">
        <f t="shared" si="2"/>
        <v>0</v>
      </c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3">
        <v>574.0</v>
      </c>
      <c r="B575" s="3">
        <v>0.2273</v>
      </c>
      <c r="C575" s="3">
        <v>0.69</v>
      </c>
      <c r="D575" s="3">
        <v>0.194</v>
      </c>
      <c r="E575" s="3">
        <v>3.0</v>
      </c>
      <c r="F575" s="3">
        <v>7.0</v>
      </c>
      <c r="G575" s="3">
        <v>10.0</v>
      </c>
      <c r="H575" s="8" t="str">
        <f t="shared" si="1"/>
        <v>Ok</v>
      </c>
      <c r="I575" s="8">
        <f t="shared" si="2"/>
        <v>0</v>
      </c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3">
        <v>575.0</v>
      </c>
      <c r="B576" s="3">
        <v>0.1818</v>
      </c>
      <c r="C576" s="3">
        <v>0.86</v>
      </c>
      <c r="D576" s="3">
        <v>0.2836</v>
      </c>
      <c r="E576" s="3">
        <v>0.0</v>
      </c>
      <c r="F576" s="3">
        <v>1.0</v>
      </c>
      <c r="G576" s="3">
        <v>1.0</v>
      </c>
      <c r="H576" s="8" t="str">
        <f t="shared" si="1"/>
        <v>Ok</v>
      </c>
      <c r="I576" s="8">
        <f t="shared" si="2"/>
        <v>0</v>
      </c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3">
        <v>576.0</v>
      </c>
      <c r="B577" s="3">
        <v>0.1818</v>
      </c>
      <c r="C577" s="3">
        <v>0.86</v>
      </c>
      <c r="D577" s="3">
        <v>0.2836</v>
      </c>
      <c r="E577" s="3">
        <v>0.0</v>
      </c>
      <c r="F577" s="3">
        <v>8.0</v>
      </c>
      <c r="G577" s="3">
        <v>8.0</v>
      </c>
      <c r="H577" s="8" t="str">
        <f t="shared" si="1"/>
        <v>Ok</v>
      </c>
      <c r="I577" s="8">
        <f t="shared" si="2"/>
        <v>0</v>
      </c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3">
        <v>577.0</v>
      </c>
      <c r="B578" s="3">
        <v>0.2121</v>
      </c>
      <c r="C578" s="3">
        <v>0.87</v>
      </c>
      <c r="D578" s="3">
        <v>0.2985</v>
      </c>
      <c r="E578" s="3">
        <v>1.0</v>
      </c>
      <c r="F578" s="3">
        <v>29.0</v>
      </c>
      <c r="G578" s="3">
        <v>30.0</v>
      </c>
      <c r="H578" s="8" t="str">
        <f t="shared" si="1"/>
        <v>Ok</v>
      </c>
      <c r="I578" s="8">
        <f t="shared" si="2"/>
        <v>0</v>
      </c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3">
        <v>578.0</v>
      </c>
      <c r="B579" s="3">
        <v>0.2121</v>
      </c>
      <c r="C579" s="3">
        <v>0.87</v>
      </c>
      <c r="D579" s="3">
        <v>0.2985</v>
      </c>
      <c r="E579" s="3">
        <v>3.0</v>
      </c>
      <c r="F579" s="3">
        <v>69.0</v>
      </c>
      <c r="G579" s="3">
        <v>72.0</v>
      </c>
      <c r="H579" s="8" t="str">
        <f t="shared" si="1"/>
        <v>Ok</v>
      </c>
      <c r="I579" s="8">
        <f t="shared" si="2"/>
        <v>0</v>
      </c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3">
        <v>579.0</v>
      </c>
      <c r="B580" s="3">
        <v>0.2121</v>
      </c>
      <c r="C580" s="3">
        <v>0.87</v>
      </c>
      <c r="D580" s="3">
        <v>0.2985</v>
      </c>
      <c r="E580" s="3">
        <v>3.0</v>
      </c>
      <c r="F580" s="3">
        <v>55.0</v>
      </c>
      <c r="G580" s="3">
        <v>58.0</v>
      </c>
      <c r="H580" s="8" t="str">
        <f t="shared" si="1"/>
        <v>Ok</v>
      </c>
      <c r="I580" s="8">
        <f t="shared" si="2"/>
        <v>0</v>
      </c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3">
        <v>580.0</v>
      </c>
      <c r="B581" s="3">
        <v>0.2121</v>
      </c>
      <c r="C581" s="3">
        <v>0.93</v>
      </c>
      <c r="D581" s="3">
        <v>0.2836</v>
      </c>
      <c r="E581" s="3">
        <v>2.0</v>
      </c>
      <c r="F581" s="3">
        <v>26.0</v>
      </c>
      <c r="G581" s="3">
        <v>28.0</v>
      </c>
      <c r="H581" s="8" t="str">
        <f t="shared" si="1"/>
        <v>Ok</v>
      </c>
      <c r="I581" s="8">
        <f t="shared" si="2"/>
        <v>0</v>
      </c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3">
        <v>581.0</v>
      </c>
      <c r="B582" s="3">
        <v>0.197</v>
      </c>
      <c r="C582" s="3">
        <v>0.93</v>
      </c>
      <c r="D582" s="3">
        <v>0.3284</v>
      </c>
      <c r="E582" s="3">
        <v>6.0</v>
      </c>
      <c r="F582" s="3">
        <v>35.0</v>
      </c>
      <c r="G582" s="3">
        <v>41.0</v>
      </c>
      <c r="H582" s="8" t="str">
        <f t="shared" si="1"/>
        <v>Ok</v>
      </c>
      <c r="I582" s="8">
        <f t="shared" si="2"/>
        <v>0</v>
      </c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3">
        <v>582.0</v>
      </c>
      <c r="B583" s="3">
        <v>0.197</v>
      </c>
      <c r="C583" s="3">
        <v>0.93</v>
      </c>
      <c r="D583" s="3">
        <v>0.3284</v>
      </c>
      <c r="E583" s="3">
        <v>7.0</v>
      </c>
      <c r="F583" s="3">
        <v>41.0</v>
      </c>
      <c r="G583" s="3">
        <v>48.0</v>
      </c>
      <c r="H583" s="8" t="str">
        <f t="shared" si="1"/>
        <v>Ok</v>
      </c>
      <c r="I583" s="8">
        <f t="shared" si="2"/>
        <v>0</v>
      </c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3">
        <v>583.0</v>
      </c>
      <c r="B584" s="3">
        <v>0.197</v>
      </c>
      <c r="C584" s="3">
        <v>0.93</v>
      </c>
      <c r="D584" s="3">
        <v>0.3284</v>
      </c>
      <c r="E584" s="3">
        <v>4.0</v>
      </c>
      <c r="F584" s="3">
        <v>43.0</v>
      </c>
      <c r="G584" s="3">
        <v>47.0</v>
      </c>
      <c r="H584" s="8" t="str">
        <f t="shared" si="1"/>
        <v>Ok</v>
      </c>
      <c r="I584" s="8">
        <f t="shared" si="2"/>
        <v>0</v>
      </c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3">
        <v>584.0</v>
      </c>
      <c r="B585" s="3">
        <v>0.197</v>
      </c>
      <c r="C585" s="3">
        <v>0.93</v>
      </c>
      <c r="D585" s="3">
        <v>0.3582</v>
      </c>
      <c r="E585" s="3">
        <v>0.0</v>
      </c>
      <c r="F585" s="3">
        <v>36.0</v>
      </c>
      <c r="G585" s="3">
        <v>36.0</v>
      </c>
      <c r="H585" s="8" t="str">
        <f t="shared" si="1"/>
        <v>Ok</v>
      </c>
      <c r="I585" s="8">
        <f t="shared" si="2"/>
        <v>0</v>
      </c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3">
        <v>585.0</v>
      </c>
      <c r="B586" s="3">
        <v>0.1818</v>
      </c>
      <c r="C586" s="3">
        <v>0.93</v>
      </c>
      <c r="D586" s="3">
        <v>0.4627</v>
      </c>
      <c r="E586" s="3">
        <v>1.0</v>
      </c>
      <c r="F586" s="3">
        <v>42.0</v>
      </c>
      <c r="G586" s="3">
        <v>43.0</v>
      </c>
      <c r="H586" s="8" t="str">
        <f t="shared" si="1"/>
        <v>Ok</v>
      </c>
      <c r="I586" s="8">
        <f t="shared" si="2"/>
        <v>0</v>
      </c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3">
        <v>586.0</v>
      </c>
      <c r="B587" s="3">
        <v>0.197</v>
      </c>
      <c r="C587" s="3">
        <v>0.93</v>
      </c>
      <c r="D587" s="3">
        <v>0.3284</v>
      </c>
      <c r="E587" s="3">
        <v>1.0</v>
      </c>
      <c r="F587" s="3">
        <v>35.0</v>
      </c>
      <c r="G587" s="3">
        <v>36.0</v>
      </c>
      <c r="H587" s="8" t="str">
        <f t="shared" si="1"/>
        <v>Ok</v>
      </c>
      <c r="I587" s="8">
        <f t="shared" si="2"/>
        <v>0</v>
      </c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3">
        <v>587.0</v>
      </c>
      <c r="B588" s="3">
        <v>0.1818</v>
      </c>
      <c r="C588" s="3">
        <v>0.93</v>
      </c>
      <c r="D588" s="3">
        <v>0.3582</v>
      </c>
      <c r="E588" s="3">
        <v>0.0</v>
      </c>
      <c r="F588" s="3">
        <v>26.0</v>
      </c>
      <c r="G588" s="3">
        <v>26.0</v>
      </c>
      <c r="H588" s="8" t="str">
        <f t="shared" si="1"/>
        <v>Ok</v>
      </c>
      <c r="I588" s="8">
        <f t="shared" si="2"/>
        <v>0</v>
      </c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3">
        <v>588.0</v>
      </c>
      <c r="B589" s="3">
        <v>0.2273</v>
      </c>
      <c r="C589" s="3">
        <v>0.55</v>
      </c>
      <c r="D589" s="3">
        <v>0.194</v>
      </c>
      <c r="E589" s="3">
        <v>1.0</v>
      </c>
      <c r="F589" s="3">
        <v>23.0</v>
      </c>
      <c r="G589" s="3">
        <v>24.0</v>
      </c>
      <c r="H589" s="8" t="str">
        <f t="shared" si="1"/>
        <v>Ok</v>
      </c>
      <c r="I589" s="8">
        <f t="shared" si="2"/>
        <v>0</v>
      </c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3">
        <v>589.0</v>
      </c>
      <c r="B590" s="3">
        <v>0.2424</v>
      </c>
      <c r="C590" s="3">
        <v>0.55</v>
      </c>
      <c r="D590" s="3">
        <v>0.1045</v>
      </c>
      <c r="E590" s="3">
        <v>2.0</v>
      </c>
      <c r="F590" s="3">
        <v>82.0</v>
      </c>
      <c r="G590" s="3">
        <v>84.0</v>
      </c>
      <c r="H590" s="8" t="str">
        <f t="shared" si="1"/>
        <v>Ok</v>
      </c>
      <c r="I590" s="8">
        <f t="shared" si="2"/>
        <v>0</v>
      </c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3">
        <v>590.0</v>
      </c>
      <c r="B591" s="3">
        <v>0.2273</v>
      </c>
      <c r="C591" s="3">
        <v>0.69</v>
      </c>
      <c r="D591" s="3">
        <v>0.0896</v>
      </c>
      <c r="E591" s="3">
        <v>3.0</v>
      </c>
      <c r="F591" s="3">
        <v>101.0</v>
      </c>
      <c r="G591" s="3">
        <v>104.0</v>
      </c>
      <c r="H591" s="8" t="str">
        <f t="shared" si="1"/>
        <v>Ok</v>
      </c>
      <c r="I591" s="8">
        <f t="shared" si="2"/>
        <v>0</v>
      </c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3">
        <v>591.0</v>
      </c>
      <c r="B592" s="3">
        <v>0.2273</v>
      </c>
      <c r="C592" s="3">
        <v>0.69</v>
      </c>
      <c r="D592" s="3">
        <v>0.0896</v>
      </c>
      <c r="E592" s="3">
        <v>3.0</v>
      </c>
      <c r="F592" s="3">
        <v>76.0</v>
      </c>
      <c r="G592" s="3">
        <v>79.0</v>
      </c>
      <c r="H592" s="8" t="str">
        <f t="shared" si="1"/>
        <v>Ok</v>
      </c>
      <c r="I592" s="8">
        <f t="shared" si="2"/>
        <v>0</v>
      </c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3">
        <v>592.0</v>
      </c>
      <c r="B593" s="3">
        <v>0.2121</v>
      </c>
      <c r="C593" s="3">
        <v>0.74</v>
      </c>
      <c r="D593" s="3">
        <v>0.0896</v>
      </c>
      <c r="E593" s="3">
        <v>4.0</v>
      </c>
      <c r="F593" s="3">
        <v>55.0</v>
      </c>
      <c r="G593" s="3">
        <v>59.0</v>
      </c>
      <c r="H593" s="8" t="str">
        <f t="shared" si="1"/>
        <v>Ok</v>
      </c>
      <c r="I593" s="8">
        <f t="shared" si="2"/>
        <v>0</v>
      </c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3">
        <v>593.0</v>
      </c>
      <c r="B594" s="3">
        <v>0.2121</v>
      </c>
      <c r="C594" s="3">
        <v>0.74</v>
      </c>
      <c r="D594" s="3">
        <v>0.0896</v>
      </c>
      <c r="E594" s="3">
        <v>2.0</v>
      </c>
      <c r="F594" s="3">
        <v>36.0</v>
      </c>
      <c r="G594" s="3">
        <v>38.0</v>
      </c>
      <c r="H594" s="8" t="str">
        <f t="shared" si="1"/>
        <v>Ok</v>
      </c>
      <c r="I594" s="8">
        <f t="shared" si="2"/>
        <v>0</v>
      </c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3">
        <v>594.0</v>
      </c>
      <c r="B595" s="3">
        <v>0.2121</v>
      </c>
      <c r="C595" s="3">
        <v>0.74</v>
      </c>
      <c r="D595" s="3">
        <v>0.0896</v>
      </c>
      <c r="E595" s="3">
        <v>0.0</v>
      </c>
      <c r="F595" s="3">
        <v>27.0</v>
      </c>
      <c r="G595" s="3">
        <v>27.0</v>
      </c>
      <c r="H595" s="8" t="str">
        <f t="shared" si="1"/>
        <v>Ok</v>
      </c>
      <c r="I595" s="8">
        <f t="shared" si="2"/>
        <v>0</v>
      </c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3">
        <v>595.0</v>
      </c>
      <c r="B596" s="3">
        <v>0.197</v>
      </c>
      <c r="C596" s="3">
        <v>0.8</v>
      </c>
      <c r="D596" s="3">
        <v>0.1642</v>
      </c>
      <c r="E596" s="3">
        <v>0.0</v>
      </c>
      <c r="F596" s="3">
        <v>16.0</v>
      </c>
      <c r="G596" s="3">
        <v>16.0</v>
      </c>
      <c r="H596" s="8" t="str">
        <f t="shared" si="1"/>
        <v>Ok</v>
      </c>
      <c r="I596" s="8">
        <f t="shared" si="2"/>
        <v>0</v>
      </c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3">
        <v>596.0</v>
      </c>
      <c r="B597" s="3">
        <v>0.2121</v>
      </c>
      <c r="C597" s="3">
        <v>0.75</v>
      </c>
      <c r="D597" s="3">
        <v>0.1343</v>
      </c>
      <c r="E597" s="3">
        <v>0.0</v>
      </c>
      <c r="F597" s="3">
        <v>9.0</v>
      </c>
      <c r="G597" s="3">
        <v>9.0</v>
      </c>
      <c r="H597" s="8" t="str">
        <f t="shared" si="1"/>
        <v>Ok</v>
      </c>
      <c r="I597" s="8">
        <f t="shared" si="2"/>
        <v>0</v>
      </c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3">
        <v>597.0</v>
      </c>
      <c r="B598" s="3">
        <v>0.2121</v>
      </c>
      <c r="C598" s="3">
        <v>0.75</v>
      </c>
      <c r="D598" s="3">
        <v>0.1343</v>
      </c>
      <c r="E598" s="3">
        <v>1.0</v>
      </c>
      <c r="F598" s="3">
        <v>2.0</v>
      </c>
      <c r="G598" s="3">
        <v>3.0</v>
      </c>
      <c r="H598" s="8" t="str">
        <f t="shared" si="1"/>
        <v>Ok</v>
      </c>
      <c r="I598" s="8">
        <f t="shared" si="2"/>
        <v>0</v>
      </c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3">
        <v>598.0</v>
      </c>
      <c r="B599" s="3">
        <v>0.2121</v>
      </c>
      <c r="C599" s="3">
        <v>0.75</v>
      </c>
      <c r="D599" s="3">
        <v>0.1642</v>
      </c>
      <c r="E599" s="3">
        <v>0.0</v>
      </c>
      <c r="F599" s="3">
        <v>2.0</v>
      </c>
      <c r="G599" s="3">
        <v>2.0</v>
      </c>
      <c r="H599" s="8" t="str">
        <f t="shared" si="1"/>
        <v>Ok</v>
      </c>
      <c r="I599" s="8">
        <f t="shared" si="2"/>
        <v>0</v>
      </c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3">
        <v>599.0</v>
      </c>
      <c r="B600" s="3">
        <v>0.2273</v>
      </c>
      <c r="C600" s="3">
        <v>0.75</v>
      </c>
      <c r="D600" s="3">
        <v>0.1045</v>
      </c>
      <c r="E600" s="3">
        <v>1.0</v>
      </c>
      <c r="F600" s="3">
        <v>0.0</v>
      </c>
      <c r="G600" s="3">
        <v>1.0</v>
      </c>
      <c r="H600" s="8" t="str">
        <f t="shared" si="1"/>
        <v>Ok</v>
      </c>
      <c r="I600" s="8">
        <f t="shared" si="2"/>
        <v>0</v>
      </c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3">
        <v>600.0</v>
      </c>
      <c r="B601" s="3">
        <v>0.2121</v>
      </c>
      <c r="C601" s="3">
        <v>0.8</v>
      </c>
      <c r="D601" s="3">
        <v>0.1045</v>
      </c>
      <c r="E601" s="3">
        <v>0.0</v>
      </c>
      <c r="F601" s="3">
        <v>4.0</v>
      </c>
      <c r="G601" s="3">
        <v>4.0</v>
      </c>
      <c r="H601" s="8" t="str">
        <f t="shared" si="1"/>
        <v>Ok</v>
      </c>
      <c r="I601" s="8">
        <f t="shared" si="2"/>
        <v>0</v>
      </c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3">
        <v>601.0</v>
      </c>
      <c r="B602" s="3">
        <v>0.197</v>
      </c>
      <c r="C602" s="3">
        <v>0.8</v>
      </c>
      <c r="D602" s="3">
        <v>0.1343</v>
      </c>
      <c r="E602" s="3">
        <v>0.0</v>
      </c>
      <c r="F602" s="3">
        <v>16.0</v>
      </c>
      <c r="G602" s="3">
        <v>16.0</v>
      </c>
      <c r="H602" s="8" t="str">
        <f t="shared" si="1"/>
        <v>Ok</v>
      </c>
      <c r="I602" s="8">
        <f t="shared" si="2"/>
        <v>0</v>
      </c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3">
        <v>602.0</v>
      </c>
      <c r="B603" s="3">
        <v>0.197</v>
      </c>
      <c r="C603" s="3">
        <v>0.86</v>
      </c>
      <c r="D603" s="3">
        <v>0.0896</v>
      </c>
      <c r="E603" s="3">
        <v>2.0</v>
      </c>
      <c r="F603" s="3">
        <v>58.0</v>
      </c>
      <c r="G603" s="3">
        <v>60.0</v>
      </c>
      <c r="H603" s="8" t="str">
        <f t="shared" si="1"/>
        <v>Ok</v>
      </c>
      <c r="I603" s="8">
        <f t="shared" si="2"/>
        <v>0</v>
      </c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3">
        <v>603.0</v>
      </c>
      <c r="B604" s="3">
        <v>0.197</v>
      </c>
      <c r="C604" s="3">
        <v>0.86</v>
      </c>
      <c r="D604" s="3">
        <v>0.0896</v>
      </c>
      <c r="E604" s="3">
        <v>2.0</v>
      </c>
      <c r="F604" s="3">
        <v>155.0</v>
      </c>
      <c r="G604" s="3">
        <v>157.0</v>
      </c>
      <c r="H604" s="8" t="str">
        <f t="shared" si="1"/>
        <v>Ok</v>
      </c>
      <c r="I604" s="8">
        <f t="shared" si="2"/>
        <v>0</v>
      </c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3">
        <v>604.0</v>
      </c>
      <c r="B605" s="3">
        <v>0.2121</v>
      </c>
      <c r="C605" s="3">
        <v>0.86</v>
      </c>
      <c r="D605" s="3">
        <v>0.0896</v>
      </c>
      <c r="E605" s="3">
        <v>6.0</v>
      </c>
      <c r="F605" s="3">
        <v>95.0</v>
      </c>
      <c r="G605" s="3">
        <v>101.0</v>
      </c>
      <c r="H605" s="8" t="str">
        <f t="shared" si="1"/>
        <v>Ok</v>
      </c>
      <c r="I605" s="8">
        <f t="shared" si="2"/>
        <v>0</v>
      </c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3">
        <v>605.0</v>
      </c>
      <c r="B606" s="3">
        <v>0.2121</v>
      </c>
      <c r="C606" s="3">
        <v>0.86</v>
      </c>
      <c r="D606" s="3">
        <v>0.1045</v>
      </c>
      <c r="E606" s="3">
        <v>0.0</v>
      </c>
      <c r="F606" s="3">
        <v>49.0</v>
      </c>
      <c r="G606" s="3">
        <v>49.0</v>
      </c>
      <c r="H606" s="8" t="str">
        <f t="shared" si="1"/>
        <v>Ok</v>
      </c>
      <c r="I606" s="8">
        <f t="shared" si="2"/>
        <v>0</v>
      </c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3">
        <v>606.0</v>
      </c>
      <c r="B607" s="3">
        <v>0.2121</v>
      </c>
      <c r="C607" s="3">
        <v>0.93</v>
      </c>
      <c r="D607" s="3">
        <v>0.1045</v>
      </c>
      <c r="E607" s="3">
        <v>0.0</v>
      </c>
      <c r="F607" s="3">
        <v>30.0</v>
      </c>
      <c r="G607" s="3">
        <v>30.0</v>
      </c>
      <c r="H607" s="8" t="str">
        <f t="shared" si="1"/>
        <v>Ok</v>
      </c>
      <c r="I607" s="8">
        <f t="shared" si="2"/>
        <v>0</v>
      </c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3">
        <v>607.0</v>
      </c>
      <c r="B608" s="3">
        <v>0.2121</v>
      </c>
      <c r="C608" s="3">
        <v>0.93</v>
      </c>
      <c r="D608" s="3">
        <v>0.1045</v>
      </c>
      <c r="E608" s="3">
        <v>1.0</v>
      </c>
      <c r="F608" s="3">
        <v>28.0</v>
      </c>
      <c r="G608" s="3">
        <v>29.0</v>
      </c>
      <c r="H608" s="8" t="str">
        <f t="shared" si="1"/>
        <v>Ok</v>
      </c>
      <c r="I608" s="8">
        <f t="shared" si="2"/>
        <v>0</v>
      </c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3">
        <v>608.0</v>
      </c>
      <c r="B609" s="3">
        <v>0.2121</v>
      </c>
      <c r="C609" s="3">
        <v>0.93</v>
      </c>
      <c r="D609" s="3">
        <v>0.1045</v>
      </c>
      <c r="E609" s="3">
        <v>0.0</v>
      </c>
      <c r="F609" s="3">
        <v>31.0</v>
      </c>
      <c r="G609" s="3">
        <v>31.0</v>
      </c>
      <c r="H609" s="8" t="str">
        <f t="shared" si="1"/>
        <v>Ok</v>
      </c>
      <c r="I609" s="8">
        <f t="shared" si="2"/>
        <v>0</v>
      </c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3">
        <v>609.0</v>
      </c>
      <c r="B610" s="3">
        <v>0.2727</v>
      </c>
      <c r="C610" s="3">
        <v>0.8</v>
      </c>
      <c r="D610" s="3">
        <v>0.0</v>
      </c>
      <c r="E610" s="3">
        <v>2.0</v>
      </c>
      <c r="F610" s="3">
        <v>36.0</v>
      </c>
      <c r="G610" s="3">
        <v>38.0</v>
      </c>
      <c r="H610" s="8" t="str">
        <f t="shared" si="1"/>
        <v>Ok</v>
      </c>
      <c r="I610" s="8">
        <f t="shared" si="2"/>
        <v>0</v>
      </c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3">
        <v>610.0</v>
      </c>
      <c r="B611" s="3">
        <v>0.2576</v>
      </c>
      <c r="C611" s="3">
        <v>0.86</v>
      </c>
      <c r="D611" s="3">
        <v>0.0</v>
      </c>
      <c r="E611" s="3">
        <v>1.0</v>
      </c>
      <c r="F611" s="3">
        <v>40.0</v>
      </c>
      <c r="G611" s="3">
        <v>41.0</v>
      </c>
      <c r="H611" s="8" t="str">
        <f t="shared" si="1"/>
        <v>Ok</v>
      </c>
      <c r="I611" s="8">
        <f t="shared" si="2"/>
        <v>0</v>
      </c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autoFilter ref="$A$1:$H$611"/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8" width="12.63"/>
    <col customWidth="1" min="9" max="9" width="14.75"/>
    <col customWidth="1" min="10" max="12" width="12.63"/>
    <col customWidth="1" min="13" max="13" width="15.0"/>
    <col customWidth="1" min="14" max="14" width="12.63"/>
    <col customWidth="1" min="15" max="15" width="14.75"/>
    <col customWidth="1" min="16" max="17" width="12.63"/>
    <col customWidth="1" min="18" max="18" width="17.25"/>
    <col customWidth="1" min="19" max="19" width="19.25"/>
    <col customWidth="1" min="20" max="20" width="17.13"/>
    <col customWidth="1" min="21" max="21" width="16.2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5"/>
      <c r="R1" s="5" t="s">
        <v>18</v>
      </c>
      <c r="S1" s="5" t="s">
        <v>19</v>
      </c>
      <c r="T1" s="5" t="s">
        <v>20</v>
      </c>
      <c r="U1" s="5" t="s">
        <v>21</v>
      </c>
      <c r="V1" s="5"/>
      <c r="W1" s="5"/>
      <c r="X1" s="5"/>
      <c r="Y1" s="5"/>
      <c r="Z1" s="5"/>
    </row>
    <row r="2" ht="15.75" customHeight="1">
      <c r="A2" s="3">
        <v>611.0</v>
      </c>
      <c r="B2" s="4">
        <v>40571.0</v>
      </c>
      <c r="C2" s="3">
        <v>1.0</v>
      </c>
      <c r="D2" s="3">
        <v>0.0</v>
      </c>
      <c r="E2" s="3">
        <v>1.0</v>
      </c>
      <c r="F2" s="3">
        <v>16.0</v>
      </c>
      <c r="G2" s="3" t="b">
        <f t="shared" ref="G2:G391" si="1">FALSE()</f>
        <v>0</v>
      </c>
      <c r="H2" s="3">
        <v>5.0</v>
      </c>
      <c r="I2" s="3">
        <v>1.0</v>
      </c>
      <c r="J2" s="3">
        <v>0.22</v>
      </c>
      <c r="K2" s="3">
        <v>0.2727</v>
      </c>
      <c r="L2" s="3">
        <v>0.8</v>
      </c>
      <c r="M2" s="3">
        <v>0.0</v>
      </c>
      <c r="N2" s="3">
        <v>10.0</v>
      </c>
      <c r="O2" s="3">
        <v>70.0</v>
      </c>
      <c r="P2" s="3">
        <v>80.0</v>
      </c>
      <c r="Q2" s="8"/>
      <c r="R2" s="8">
        <f t="shared" ref="R2:R391" si="2">COUNTIF($A$2:$A$391,A2)</f>
        <v>1</v>
      </c>
      <c r="S2" s="8">
        <f t="shared" ref="S2:S391" si="3">COUNTBLANK(A2:P2)</f>
        <v>0</v>
      </c>
      <c r="T2" s="8" t="str">
        <f t="shared" ref="T2:T391" si="4">IF(N2+O2=P2,"OK","ERROR")</f>
        <v>OK</v>
      </c>
      <c r="U2" s="8">
        <f t="shared" ref="U2:U391" si="5">COUNTIF(T2:T391,"ERROR")</f>
        <v>0</v>
      </c>
      <c r="V2" s="8"/>
      <c r="W2" s="8"/>
      <c r="X2" s="8"/>
      <c r="Y2" s="8"/>
      <c r="Z2" s="8"/>
    </row>
    <row r="3" ht="15.75" customHeight="1">
      <c r="A3" s="3">
        <v>612.0</v>
      </c>
      <c r="B3" s="4">
        <v>40571.0</v>
      </c>
      <c r="C3" s="3">
        <v>1.0</v>
      </c>
      <c r="D3" s="3">
        <v>0.0</v>
      </c>
      <c r="E3" s="3">
        <v>1.0</v>
      </c>
      <c r="F3" s="3">
        <v>17.0</v>
      </c>
      <c r="G3" s="3" t="b">
        <f t="shared" si="1"/>
        <v>0</v>
      </c>
      <c r="H3" s="3">
        <v>5.0</v>
      </c>
      <c r="I3" s="3">
        <v>1.0</v>
      </c>
      <c r="J3" s="3">
        <v>0.24</v>
      </c>
      <c r="K3" s="3">
        <v>0.2424</v>
      </c>
      <c r="L3" s="3">
        <v>0.75</v>
      </c>
      <c r="M3" s="3">
        <v>0.1343</v>
      </c>
      <c r="N3" s="3">
        <v>2.0</v>
      </c>
      <c r="O3" s="3">
        <v>147.0</v>
      </c>
      <c r="P3" s="3">
        <v>149.0</v>
      </c>
      <c r="Q3" s="8"/>
      <c r="R3" s="8">
        <f t="shared" si="2"/>
        <v>1</v>
      </c>
      <c r="S3" s="8">
        <f t="shared" si="3"/>
        <v>0</v>
      </c>
      <c r="T3" s="8" t="str">
        <f t="shared" si="4"/>
        <v>OK</v>
      </c>
      <c r="U3" s="8">
        <f t="shared" si="5"/>
        <v>0</v>
      </c>
      <c r="V3" s="8"/>
      <c r="W3" s="8"/>
      <c r="X3" s="8"/>
      <c r="Y3" s="8"/>
      <c r="Z3" s="8"/>
    </row>
    <row r="4" ht="15.75" customHeight="1">
      <c r="A4" s="3">
        <v>613.0</v>
      </c>
      <c r="B4" s="4">
        <v>40571.0</v>
      </c>
      <c r="C4" s="3">
        <v>1.0</v>
      </c>
      <c r="D4" s="3">
        <v>0.0</v>
      </c>
      <c r="E4" s="3">
        <v>1.0</v>
      </c>
      <c r="F4" s="3">
        <v>18.0</v>
      </c>
      <c r="G4" s="3" t="b">
        <f t="shared" si="1"/>
        <v>0</v>
      </c>
      <c r="H4" s="3">
        <v>5.0</v>
      </c>
      <c r="I4" s="3">
        <v>1.0</v>
      </c>
      <c r="J4" s="3">
        <v>0.24</v>
      </c>
      <c r="K4" s="3">
        <v>0.2273</v>
      </c>
      <c r="L4" s="3">
        <v>0.75</v>
      </c>
      <c r="M4" s="3">
        <v>0.194</v>
      </c>
      <c r="N4" s="3">
        <v>2.0</v>
      </c>
      <c r="O4" s="3">
        <v>107.0</v>
      </c>
      <c r="P4" s="3">
        <v>109.0</v>
      </c>
      <c r="Q4" s="8"/>
      <c r="R4" s="8">
        <f t="shared" si="2"/>
        <v>1</v>
      </c>
      <c r="S4" s="8">
        <f t="shared" si="3"/>
        <v>0</v>
      </c>
      <c r="T4" s="8" t="str">
        <f t="shared" si="4"/>
        <v>OK</v>
      </c>
      <c r="U4" s="8">
        <f t="shared" si="5"/>
        <v>0</v>
      </c>
      <c r="V4" s="8"/>
      <c r="W4" s="8"/>
      <c r="X4" s="8"/>
      <c r="Y4" s="8"/>
      <c r="Z4" s="8"/>
    </row>
    <row r="5" ht="15.75" customHeight="1">
      <c r="A5" s="3">
        <v>614.0</v>
      </c>
      <c r="B5" s="4">
        <v>40571.0</v>
      </c>
      <c r="C5" s="3">
        <v>1.0</v>
      </c>
      <c r="D5" s="3">
        <v>0.0</v>
      </c>
      <c r="E5" s="3">
        <v>1.0</v>
      </c>
      <c r="F5" s="3">
        <v>19.0</v>
      </c>
      <c r="G5" s="3" t="b">
        <f t="shared" si="1"/>
        <v>0</v>
      </c>
      <c r="H5" s="3">
        <v>5.0</v>
      </c>
      <c r="I5" s="3">
        <v>2.0</v>
      </c>
      <c r="J5" s="3">
        <v>0.24</v>
      </c>
      <c r="K5" s="3">
        <v>0.2424</v>
      </c>
      <c r="L5" s="3">
        <v>0.75</v>
      </c>
      <c r="M5" s="3">
        <v>0.1343</v>
      </c>
      <c r="N5" s="3">
        <v>5.0</v>
      </c>
      <c r="O5" s="3">
        <v>84.0</v>
      </c>
      <c r="P5" s="3">
        <v>89.0</v>
      </c>
      <c r="Q5" s="8"/>
      <c r="R5" s="8">
        <f t="shared" si="2"/>
        <v>1</v>
      </c>
      <c r="S5" s="8">
        <f t="shared" si="3"/>
        <v>0</v>
      </c>
      <c r="T5" s="8" t="str">
        <f t="shared" si="4"/>
        <v>OK</v>
      </c>
      <c r="U5" s="8">
        <f t="shared" si="5"/>
        <v>0</v>
      </c>
      <c r="V5" s="8"/>
      <c r="W5" s="8"/>
      <c r="X5" s="8"/>
      <c r="Y5" s="8"/>
      <c r="Z5" s="8"/>
    </row>
    <row r="6" ht="15.75" customHeight="1">
      <c r="A6" s="3">
        <v>615.0</v>
      </c>
      <c r="B6" s="4">
        <v>40571.0</v>
      </c>
      <c r="C6" s="3">
        <v>1.0</v>
      </c>
      <c r="D6" s="3">
        <v>0.0</v>
      </c>
      <c r="E6" s="3">
        <v>1.0</v>
      </c>
      <c r="F6" s="3">
        <v>20.0</v>
      </c>
      <c r="G6" s="3" t="b">
        <f t="shared" si="1"/>
        <v>0</v>
      </c>
      <c r="H6" s="3">
        <v>5.0</v>
      </c>
      <c r="I6" s="3">
        <v>2.0</v>
      </c>
      <c r="J6" s="3">
        <v>0.24</v>
      </c>
      <c r="K6" s="3">
        <v>0.2273</v>
      </c>
      <c r="L6" s="3">
        <v>0.7</v>
      </c>
      <c r="M6" s="3">
        <v>0.194</v>
      </c>
      <c r="N6" s="3">
        <v>1.0</v>
      </c>
      <c r="O6" s="3">
        <v>61.0</v>
      </c>
      <c r="P6" s="3">
        <v>62.0</v>
      </c>
      <c r="Q6" s="8"/>
      <c r="R6" s="8">
        <f t="shared" si="2"/>
        <v>1</v>
      </c>
      <c r="S6" s="8">
        <f t="shared" si="3"/>
        <v>0</v>
      </c>
      <c r="T6" s="8" t="str">
        <f t="shared" si="4"/>
        <v>OK</v>
      </c>
      <c r="U6" s="8">
        <f t="shared" si="5"/>
        <v>0</v>
      </c>
      <c r="V6" s="8"/>
      <c r="W6" s="8"/>
      <c r="X6" s="8"/>
      <c r="Y6" s="8"/>
      <c r="Z6" s="8"/>
    </row>
    <row r="7" ht="15.75" customHeight="1">
      <c r="A7" s="3">
        <v>616.0</v>
      </c>
      <c r="B7" s="4">
        <v>40571.0</v>
      </c>
      <c r="C7" s="3">
        <v>1.0</v>
      </c>
      <c r="D7" s="3">
        <v>0.0</v>
      </c>
      <c r="E7" s="3">
        <v>1.0</v>
      </c>
      <c r="F7" s="3">
        <v>21.0</v>
      </c>
      <c r="G7" s="3" t="b">
        <f t="shared" si="1"/>
        <v>0</v>
      </c>
      <c r="H7" s="3">
        <v>5.0</v>
      </c>
      <c r="I7" s="3">
        <v>2.0</v>
      </c>
      <c r="J7" s="3">
        <v>0.22</v>
      </c>
      <c r="K7" s="3">
        <v>0.2273</v>
      </c>
      <c r="L7" s="3">
        <v>0.75</v>
      </c>
      <c r="M7" s="3">
        <v>0.1343</v>
      </c>
      <c r="N7" s="3">
        <v>1.0</v>
      </c>
      <c r="O7" s="3">
        <v>57.0</v>
      </c>
      <c r="P7" s="3">
        <v>58.0</v>
      </c>
      <c r="Q7" s="8"/>
      <c r="R7" s="8">
        <f t="shared" si="2"/>
        <v>1</v>
      </c>
      <c r="S7" s="8">
        <f t="shared" si="3"/>
        <v>0</v>
      </c>
      <c r="T7" s="8" t="str">
        <f t="shared" si="4"/>
        <v>OK</v>
      </c>
      <c r="U7" s="8">
        <f t="shared" si="5"/>
        <v>0</v>
      </c>
      <c r="V7" s="8"/>
      <c r="W7" s="8"/>
      <c r="X7" s="8"/>
      <c r="Y7" s="8"/>
      <c r="Z7" s="8"/>
    </row>
    <row r="8" ht="15.75" customHeight="1">
      <c r="A8" s="3">
        <v>617.0</v>
      </c>
      <c r="B8" s="4">
        <v>40571.0</v>
      </c>
      <c r="C8" s="3">
        <v>1.0</v>
      </c>
      <c r="D8" s="3">
        <v>0.0</v>
      </c>
      <c r="E8" s="3">
        <v>1.0</v>
      </c>
      <c r="F8" s="3">
        <v>22.0</v>
      </c>
      <c r="G8" s="3" t="b">
        <f t="shared" si="1"/>
        <v>0</v>
      </c>
      <c r="H8" s="3">
        <v>5.0</v>
      </c>
      <c r="I8" s="3">
        <v>1.0</v>
      </c>
      <c r="J8" s="3">
        <v>0.24</v>
      </c>
      <c r="K8" s="3">
        <v>0.2121</v>
      </c>
      <c r="L8" s="3">
        <v>0.65</v>
      </c>
      <c r="M8" s="3">
        <v>0.3582</v>
      </c>
      <c r="N8" s="3">
        <v>0.0</v>
      </c>
      <c r="O8" s="3">
        <v>26.0</v>
      </c>
      <c r="P8" s="3">
        <v>26.0</v>
      </c>
      <c r="Q8" s="8"/>
      <c r="R8" s="8">
        <f t="shared" si="2"/>
        <v>1</v>
      </c>
      <c r="S8" s="8">
        <f t="shared" si="3"/>
        <v>0</v>
      </c>
      <c r="T8" s="8" t="str">
        <f t="shared" si="4"/>
        <v>OK</v>
      </c>
      <c r="U8" s="8">
        <f t="shared" si="5"/>
        <v>0</v>
      </c>
      <c r="V8" s="8"/>
      <c r="W8" s="8"/>
      <c r="X8" s="8"/>
      <c r="Y8" s="8"/>
      <c r="Z8" s="8"/>
    </row>
    <row r="9" ht="15.75" customHeight="1">
      <c r="A9" s="3">
        <v>618.0</v>
      </c>
      <c r="B9" s="4">
        <v>40571.0</v>
      </c>
      <c r="C9" s="3">
        <v>1.0</v>
      </c>
      <c r="D9" s="3">
        <v>0.0</v>
      </c>
      <c r="E9" s="3">
        <v>1.0</v>
      </c>
      <c r="F9" s="3">
        <v>23.0</v>
      </c>
      <c r="G9" s="3" t="b">
        <f t="shared" si="1"/>
        <v>0</v>
      </c>
      <c r="H9" s="3">
        <v>5.0</v>
      </c>
      <c r="I9" s="3">
        <v>1.0</v>
      </c>
      <c r="J9" s="3">
        <v>0.24</v>
      </c>
      <c r="K9" s="3">
        <v>0.2273</v>
      </c>
      <c r="L9" s="3">
        <v>0.6</v>
      </c>
      <c r="M9" s="3">
        <v>0.2239</v>
      </c>
      <c r="N9" s="3">
        <v>1.0</v>
      </c>
      <c r="O9" s="3">
        <v>22.0</v>
      </c>
      <c r="P9" s="3">
        <v>23.0</v>
      </c>
      <c r="Q9" s="8"/>
      <c r="R9" s="8">
        <f t="shared" si="2"/>
        <v>1</v>
      </c>
      <c r="S9" s="8">
        <f t="shared" si="3"/>
        <v>0</v>
      </c>
      <c r="T9" s="8" t="str">
        <f t="shared" si="4"/>
        <v>OK</v>
      </c>
      <c r="U9" s="8">
        <f t="shared" si="5"/>
        <v>0</v>
      </c>
      <c r="V9" s="8"/>
      <c r="W9" s="8"/>
      <c r="X9" s="8"/>
      <c r="Y9" s="8"/>
      <c r="Z9" s="8"/>
    </row>
    <row r="10" ht="15.75" customHeight="1">
      <c r="A10" s="3">
        <v>619.0</v>
      </c>
      <c r="B10" s="4">
        <v>40572.0</v>
      </c>
      <c r="C10" s="3">
        <v>1.0</v>
      </c>
      <c r="D10" s="3">
        <v>0.0</v>
      </c>
      <c r="E10" s="3">
        <v>1.0</v>
      </c>
      <c r="F10" s="3">
        <v>0.0</v>
      </c>
      <c r="G10" s="3" t="b">
        <f t="shared" si="1"/>
        <v>0</v>
      </c>
      <c r="H10" s="3">
        <v>6.0</v>
      </c>
      <c r="I10" s="3">
        <v>1.0</v>
      </c>
      <c r="J10" s="3">
        <v>0.22</v>
      </c>
      <c r="K10" s="3">
        <v>0.197</v>
      </c>
      <c r="L10" s="3">
        <v>0.64</v>
      </c>
      <c r="M10" s="3">
        <v>0.3582</v>
      </c>
      <c r="N10" s="3">
        <v>2.0</v>
      </c>
      <c r="O10" s="3">
        <v>26.0</v>
      </c>
      <c r="P10" s="3">
        <v>28.0</v>
      </c>
      <c r="Q10" s="8"/>
      <c r="R10" s="8">
        <f t="shared" si="2"/>
        <v>1</v>
      </c>
      <c r="S10" s="8">
        <f t="shared" si="3"/>
        <v>0</v>
      </c>
      <c r="T10" s="8" t="str">
        <f t="shared" si="4"/>
        <v>OK</v>
      </c>
      <c r="U10" s="8">
        <f t="shared" si="5"/>
        <v>0</v>
      </c>
      <c r="V10" s="8"/>
      <c r="W10" s="8"/>
      <c r="X10" s="8"/>
      <c r="Y10" s="8"/>
      <c r="Z10" s="8"/>
    </row>
    <row r="11" ht="15.75" customHeight="1">
      <c r="A11" s="3">
        <v>620.0</v>
      </c>
      <c r="B11" s="4">
        <v>40572.0</v>
      </c>
      <c r="C11" s="3">
        <v>1.0</v>
      </c>
      <c r="D11" s="3">
        <v>0.0</v>
      </c>
      <c r="E11" s="3">
        <v>1.0</v>
      </c>
      <c r="F11" s="3">
        <v>1.0</v>
      </c>
      <c r="G11" s="3" t="b">
        <f t="shared" si="1"/>
        <v>0</v>
      </c>
      <c r="H11" s="3">
        <v>6.0</v>
      </c>
      <c r="I11" s="3">
        <v>1.0</v>
      </c>
      <c r="J11" s="3">
        <v>0.22</v>
      </c>
      <c r="K11" s="3">
        <v>0.2273</v>
      </c>
      <c r="L11" s="3">
        <v>0.64</v>
      </c>
      <c r="M11" s="3">
        <v>0.194</v>
      </c>
      <c r="N11" s="3">
        <v>0.0</v>
      </c>
      <c r="O11" s="3">
        <v>20.0</v>
      </c>
      <c r="P11" s="3">
        <v>20.0</v>
      </c>
      <c r="Q11" s="8"/>
      <c r="R11" s="8">
        <f t="shared" si="2"/>
        <v>1</v>
      </c>
      <c r="S11" s="8">
        <f t="shared" si="3"/>
        <v>0</v>
      </c>
      <c r="T11" s="8" t="str">
        <f t="shared" si="4"/>
        <v>OK</v>
      </c>
      <c r="U11" s="8">
        <f t="shared" si="5"/>
        <v>0</v>
      </c>
      <c r="V11" s="8"/>
      <c r="W11" s="8"/>
      <c r="X11" s="8"/>
      <c r="Y11" s="8"/>
      <c r="Z11" s="8"/>
    </row>
    <row r="12" ht="15.75" customHeight="1">
      <c r="A12" s="3">
        <v>621.0</v>
      </c>
      <c r="B12" s="4">
        <v>40572.0</v>
      </c>
      <c r="C12" s="3">
        <v>1.0</v>
      </c>
      <c r="D12" s="3">
        <v>0.0</v>
      </c>
      <c r="E12" s="3">
        <v>1.0</v>
      </c>
      <c r="F12" s="3">
        <v>2.0</v>
      </c>
      <c r="G12" s="3" t="b">
        <f t="shared" si="1"/>
        <v>0</v>
      </c>
      <c r="H12" s="3">
        <v>6.0</v>
      </c>
      <c r="I12" s="3">
        <v>1.0</v>
      </c>
      <c r="J12" s="3">
        <v>0.22</v>
      </c>
      <c r="K12" s="3">
        <v>0.2273</v>
      </c>
      <c r="L12" s="3">
        <v>0.64</v>
      </c>
      <c r="M12" s="3">
        <v>0.1642</v>
      </c>
      <c r="N12" s="3">
        <v>0.0</v>
      </c>
      <c r="O12" s="3">
        <v>15.0</v>
      </c>
      <c r="P12" s="3">
        <v>15.0</v>
      </c>
      <c r="Q12" s="8"/>
      <c r="R12" s="8">
        <f t="shared" si="2"/>
        <v>1</v>
      </c>
      <c r="S12" s="8">
        <f t="shared" si="3"/>
        <v>0</v>
      </c>
      <c r="T12" s="8" t="str">
        <f t="shared" si="4"/>
        <v>OK</v>
      </c>
      <c r="U12" s="8">
        <f t="shared" si="5"/>
        <v>0</v>
      </c>
      <c r="V12" s="8"/>
      <c r="W12" s="8"/>
      <c r="X12" s="8"/>
      <c r="Y12" s="8"/>
      <c r="Z12" s="8"/>
    </row>
    <row r="13" ht="15.75" customHeight="1">
      <c r="A13" s="3">
        <v>622.0</v>
      </c>
      <c r="B13" s="4">
        <v>40572.0</v>
      </c>
      <c r="C13" s="3">
        <v>1.0</v>
      </c>
      <c r="D13" s="3">
        <v>0.0</v>
      </c>
      <c r="E13" s="3">
        <v>1.0</v>
      </c>
      <c r="F13" s="3">
        <v>3.0</v>
      </c>
      <c r="G13" s="3" t="b">
        <f t="shared" si="1"/>
        <v>0</v>
      </c>
      <c r="H13" s="3">
        <v>6.0</v>
      </c>
      <c r="I13" s="3">
        <v>1.0</v>
      </c>
      <c r="J13" s="3">
        <v>0.2</v>
      </c>
      <c r="K13" s="3">
        <v>0.2121</v>
      </c>
      <c r="L13" s="3">
        <v>0.64</v>
      </c>
      <c r="M13" s="3">
        <v>0.1343</v>
      </c>
      <c r="N13" s="3">
        <v>3.0</v>
      </c>
      <c r="O13" s="3">
        <v>5.0</v>
      </c>
      <c r="P13" s="3">
        <v>8.0</v>
      </c>
      <c r="Q13" s="8"/>
      <c r="R13" s="8">
        <f t="shared" si="2"/>
        <v>1</v>
      </c>
      <c r="S13" s="8">
        <f t="shared" si="3"/>
        <v>0</v>
      </c>
      <c r="T13" s="8" t="str">
        <f t="shared" si="4"/>
        <v>OK</v>
      </c>
      <c r="U13" s="8">
        <f t="shared" si="5"/>
        <v>0</v>
      </c>
      <c r="V13" s="8"/>
      <c r="W13" s="8"/>
      <c r="X13" s="8"/>
      <c r="Y13" s="8"/>
      <c r="Z13" s="8"/>
    </row>
    <row r="14" ht="15.75" customHeight="1">
      <c r="A14" s="3">
        <v>623.0</v>
      </c>
      <c r="B14" s="4">
        <v>40572.0</v>
      </c>
      <c r="C14" s="3">
        <v>1.0</v>
      </c>
      <c r="D14" s="3">
        <v>0.0</v>
      </c>
      <c r="E14" s="3">
        <v>1.0</v>
      </c>
      <c r="F14" s="3">
        <v>4.0</v>
      </c>
      <c r="G14" s="3" t="b">
        <f t="shared" si="1"/>
        <v>0</v>
      </c>
      <c r="H14" s="3">
        <v>6.0</v>
      </c>
      <c r="I14" s="3">
        <v>1.0</v>
      </c>
      <c r="J14" s="3">
        <v>0.16</v>
      </c>
      <c r="K14" s="3">
        <v>0.1818</v>
      </c>
      <c r="L14" s="3">
        <v>0.69</v>
      </c>
      <c r="M14" s="3">
        <v>0.1045</v>
      </c>
      <c r="N14" s="3">
        <v>1.0</v>
      </c>
      <c r="O14" s="3">
        <v>2.0</v>
      </c>
      <c r="P14" s="3">
        <v>3.0</v>
      </c>
      <c r="Q14" s="8"/>
      <c r="R14" s="8">
        <f t="shared" si="2"/>
        <v>1</v>
      </c>
      <c r="S14" s="8">
        <f t="shared" si="3"/>
        <v>0</v>
      </c>
      <c r="T14" s="8" t="str">
        <f t="shared" si="4"/>
        <v>OK</v>
      </c>
      <c r="U14" s="8">
        <f t="shared" si="5"/>
        <v>0</v>
      </c>
      <c r="V14" s="8"/>
      <c r="W14" s="8"/>
      <c r="X14" s="8"/>
      <c r="Y14" s="8"/>
      <c r="Z14" s="8"/>
    </row>
    <row r="15" ht="15.75" customHeight="1">
      <c r="A15" s="3">
        <v>624.0</v>
      </c>
      <c r="B15" s="4">
        <v>40572.0</v>
      </c>
      <c r="C15" s="3">
        <v>1.0</v>
      </c>
      <c r="D15" s="3">
        <v>0.0</v>
      </c>
      <c r="E15" s="3">
        <v>1.0</v>
      </c>
      <c r="F15" s="3">
        <v>6.0</v>
      </c>
      <c r="G15" s="3" t="b">
        <f t="shared" si="1"/>
        <v>0</v>
      </c>
      <c r="H15" s="3">
        <v>6.0</v>
      </c>
      <c r="I15" s="3">
        <v>1.0</v>
      </c>
      <c r="J15" s="3">
        <v>0.16</v>
      </c>
      <c r="K15" s="3">
        <v>0.1818</v>
      </c>
      <c r="L15" s="3">
        <v>0.64</v>
      </c>
      <c r="M15" s="3">
        <v>0.1343</v>
      </c>
      <c r="N15" s="3">
        <v>0.0</v>
      </c>
      <c r="O15" s="3">
        <v>2.0</v>
      </c>
      <c r="P15" s="3">
        <v>2.0</v>
      </c>
      <c r="Q15" s="8"/>
      <c r="R15" s="8">
        <f t="shared" si="2"/>
        <v>1</v>
      </c>
      <c r="S15" s="8">
        <f t="shared" si="3"/>
        <v>0</v>
      </c>
      <c r="T15" s="8" t="str">
        <f t="shared" si="4"/>
        <v>OK</v>
      </c>
      <c r="U15" s="8">
        <f t="shared" si="5"/>
        <v>0</v>
      </c>
      <c r="V15" s="8"/>
      <c r="W15" s="8"/>
      <c r="X15" s="8"/>
      <c r="Y15" s="8"/>
      <c r="Z15" s="8"/>
    </row>
    <row r="16" ht="15.75" customHeight="1">
      <c r="A16" s="3">
        <v>625.0</v>
      </c>
      <c r="B16" s="4">
        <v>40572.0</v>
      </c>
      <c r="C16" s="3">
        <v>1.0</v>
      </c>
      <c r="D16" s="3">
        <v>0.0</v>
      </c>
      <c r="E16" s="3">
        <v>1.0</v>
      </c>
      <c r="F16" s="3">
        <v>7.0</v>
      </c>
      <c r="G16" s="3" t="b">
        <f t="shared" si="1"/>
        <v>0</v>
      </c>
      <c r="H16" s="3">
        <v>6.0</v>
      </c>
      <c r="I16" s="3">
        <v>1.0</v>
      </c>
      <c r="J16" s="3">
        <v>0.16</v>
      </c>
      <c r="K16" s="3">
        <v>0.1818</v>
      </c>
      <c r="L16" s="3">
        <v>0.59</v>
      </c>
      <c r="M16" s="3">
        <v>0.1045</v>
      </c>
      <c r="N16" s="3">
        <v>1.0</v>
      </c>
      <c r="O16" s="3">
        <v>4.0</v>
      </c>
      <c r="P16" s="3">
        <v>5.0</v>
      </c>
      <c r="Q16" s="8"/>
      <c r="R16" s="8">
        <f t="shared" si="2"/>
        <v>1</v>
      </c>
      <c r="S16" s="8">
        <f t="shared" si="3"/>
        <v>0</v>
      </c>
      <c r="T16" s="8" t="str">
        <f t="shared" si="4"/>
        <v>OK</v>
      </c>
      <c r="U16" s="8">
        <f t="shared" si="5"/>
        <v>0</v>
      </c>
      <c r="V16" s="8"/>
      <c r="W16" s="8"/>
      <c r="X16" s="8"/>
      <c r="Y16" s="8"/>
      <c r="Z16" s="8"/>
    </row>
    <row r="17" ht="15.75" customHeight="1">
      <c r="A17" s="3">
        <v>626.0</v>
      </c>
      <c r="B17" s="4">
        <v>40572.0</v>
      </c>
      <c r="C17" s="3">
        <v>1.0</v>
      </c>
      <c r="D17" s="3">
        <v>0.0</v>
      </c>
      <c r="E17" s="3">
        <v>1.0</v>
      </c>
      <c r="F17" s="3">
        <v>8.0</v>
      </c>
      <c r="G17" s="3" t="b">
        <f t="shared" si="1"/>
        <v>0</v>
      </c>
      <c r="H17" s="3">
        <v>6.0</v>
      </c>
      <c r="I17" s="3">
        <v>1.0</v>
      </c>
      <c r="J17" s="3">
        <v>0.18</v>
      </c>
      <c r="K17" s="3">
        <v>0.197</v>
      </c>
      <c r="L17" s="3">
        <v>0.55</v>
      </c>
      <c r="M17" s="3">
        <v>0.1642</v>
      </c>
      <c r="N17" s="3">
        <v>3.0</v>
      </c>
      <c r="O17" s="3">
        <v>31.0</v>
      </c>
      <c r="P17" s="3">
        <v>34.0</v>
      </c>
      <c r="Q17" s="8"/>
      <c r="R17" s="8">
        <f t="shared" si="2"/>
        <v>1</v>
      </c>
      <c r="S17" s="8">
        <f t="shared" si="3"/>
        <v>0</v>
      </c>
      <c r="T17" s="8" t="str">
        <f t="shared" si="4"/>
        <v>OK</v>
      </c>
      <c r="U17" s="8">
        <f t="shared" si="5"/>
        <v>0</v>
      </c>
      <c r="V17" s="8"/>
      <c r="W17" s="8"/>
      <c r="X17" s="8"/>
      <c r="Y17" s="8"/>
      <c r="Z17" s="8"/>
    </row>
    <row r="18" ht="15.75" customHeight="1">
      <c r="A18" s="3">
        <v>627.0</v>
      </c>
      <c r="B18" s="4">
        <v>40572.0</v>
      </c>
      <c r="C18" s="3">
        <v>1.0</v>
      </c>
      <c r="D18" s="3">
        <v>0.0</v>
      </c>
      <c r="E18" s="3">
        <v>1.0</v>
      </c>
      <c r="F18" s="3">
        <v>9.0</v>
      </c>
      <c r="G18" s="3" t="b">
        <f t="shared" si="1"/>
        <v>0</v>
      </c>
      <c r="H18" s="3">
        <v>6.0</v>
      </c>
      <c r="I18" s="3">
        <v>1.0</v>
      </c>
      <c r="J18" s="3">
        <v>0.18</v>
      </c>
      <c r="K18" s="3">
        <v>0.2121</v>
      </c>
      <c r="L18" s="3">
        <v>0.59</v>
      </c>
      <c r="M18" s="3">
        <v>0.0896</v>
      </c>
      <c r="N18" s="3">
        <v>0.0</v>
      </c>
      <c r="O18" s="3">
        <v>34.0</v>
      </c>
      <c r="P18" s="3">
        <v>34.0</v>
      </c>
      <c r="Q18" s="8"/>
      <c r="R18" s="8">
        <f t="shared" si="2"/>
        <v>1</v>
      </c>
      <c r="S18" s="8">
        <f t="shared" si="3"/>
        <v>0</v>
      </c>
      <c r="T18" s="8" t="str">
        <f t="shared" si="4"/>
        <v>OK</v>
      </c>
      <c r="U18" s="8">
        <f t="shared" si="5"/>
        <v>0</v>
      </c>
      <c r="V18" s="8"/>
      <c r="W18" s="8"/>
      <c r="X18" s="8"/>
      <c r="Y18" s="8"/>
      <c r="Z18" s="8"/>
    </row>
    <row r="19" ht="15.75" customHeight="1">
      <c r="A19" s="3">
        <v>628.0</v>
      </c>
      <c r="B19" s="4">
        <v>40572.0</v>
      </c>
      <c r="C19" s="3">
        <v>1.0</v>
      </c>
      <c r="D19" s="3">
        <v>0.0</v>
      </c>
      <c r="E19" s="3">
        <v>1.0</v>
      </c>
      <c r="F19" s="3">
        <v>10.0</v>
      </c>
      <c r="G19" s="3" t="b">
        <f t="shared" si="1"/>
        <v>0</v>
      </c>
      <c r="H19" s="3">
        <v>6.0</v>
      </c>
      <c r="I19" s="3">
        <v>2.0</v>
      </c>
      <c r="J19" s="3">
        <v>0.18</v>
      </c>
      <c r="K19" s="3">
        <v>0.2121</v>
      </c>
      <c r="L19" s="3">
        <v>0.64</v>
      </c>
      <c r="M19" s="3">
        <v>0.1045</v>
      </c>
      <c r="N19" s="3">
        <v>4.0</v>
      </c>
      <c r="O19" s="3">
        <v>51.0</v>
      </c>
      <c r="P19" s="3">
        <v>55.0</v>
      </c>
      <c r="Q19" s="8"/>
      <c r="R19" s="8">
        <f t="shared" si="2"/>
        <v>1</v>
      </c>
      <c r="S19" s="8">
        <f t="shared" si="3"/>
        <v>0</v>
      </c>
      <c r="T19" s="8" t="str">
        <f t="shared" si="4"/>
        <v>OK</v>
      </c>
      <c r="U19" s="8">
        <f t="shared" si="5"/>
        <v>0</v>
      </c>
      <c r="V19" s="8"/>
      <c r="W19" s="8"/>
      <c r="X19" s="8"/>
      <c r="Y19" s="8"/>
      <c r="Z19" s="8"/>
    </row>
    <row r="20" ht="15.75" customHeight="1">
      <c r="A20" s="3">
        <v>629.0</v>
      </c>
      <c r="B20" s="4">
        <v>40572.0</v>
      </c>
      <c r="C20" s="3">
        <v>1.0</v>
      </c>
      <c r="D20" s="3">
        <v>0.0</v>
      </c>
      <c r="E20" s="3">
        <v>1.0</v>
      </c>
      <c r="F20" s="3">
        <v>11.0</v>
      </c>
      <c r="G20" s="3" t="b">
        <f t="shared" si="1"/>
        <v>0</v>
      </c>
      <c r="H20" s="3">
        <v>6.0</v>
      </c>
      <c r="I20" s="3">
        <v>2.0</v>
      </c>
      <c r="J20" s="3">
        <v>0.18</v>
      </c>
      <c r="K20" s="3">
        <v>0.197</v>
      </c>
      <c r="L20" s="3">
        <v>0.64</v>
      </c>
      <c r="M20" s="3">
        <v>0.1343</v>
      </c>
      <c r="N20" s="3">
        <v>4.0</v>
      </c>
      <c r="O20" s="3">
        <v>60.0</v>
      </c>
      <c r="P20" s="3">
        <v>64.0</v>
      </c>
      <c r="Q20" s="8"/>
      <c r="R20" s="8">
        <f t="shared" si="2"/>
        <v>1</v>
      </c>
      <c r="S20" s="8">
        <f t="shared" si="3"/>
        <v>0</v>
      </c>
      <c r="T20" s="8" t="str">
        <f t="shared" si="4"/>
        <v>OK</v>
      </c>
      <c r="U20" s="8">
        <f t="shared" si="5"/>
        <v>0</v>
      </c>
      <c r="V20" s="8"/>
      <c r="W20" s="8"/>
      <c r="X20" s="8"/>
      <c r="Y20" s="8"/>
      <c r="Z20" s="8"/>
    </row>
    <row r="21" ht="15.75" customHeight="1">
      <c r="A21" s="3">
        <v>630.0</v>
      </c>
      <c r="B21" s="4">
        <v>40572.0</v>
      </c>
      <c r="C21" s="3">
        <v>1.0</v>
      </c>
      <c r="D21" s="3">
        <v>0.0</v>
      </c>
      <c r="E21" s="3">
        <v>1.0</v>
      </c>
      <c r="F21" s="3">
        <v>12.0</v>
      </c>
      <c r="G21" s="3" t="b">
        <f t="shared" si="1"/>
        <v>0</v>
      </c>
      <c r="H21" s="3">
        <v>6.0</v>
      </c>
      <c r="I21" s="3">
        <v>2.0</v>
      </c>
      <c r="J21" s="3">
        <v>0.2</v>
      </c>
      <c r="K21" s="3">
        <v>0.197</v>
      </c>
      <c r="L21" s="3">
        <v>0.59</v>
      </c>
      <c r="M21" s="3">
        <v>0.194</v>
      </c>
      <c r="N21" s="3">
        <v>12.0</v>
      </c>
      <c r="O21" s="3">
        <v>66.0</v>
      </c>
      <c r="P21" s="3">
        <v>78.0</v>
      </c>
      <c r="Q21" s="8"/>
      <c r="R21" s="8">
        <f t="shared" si="2"/>
        <v>1</v>
      </c>
      <c r="S21" s="8">
        <f t="shared" si="3"/>
        <v>0</v>
      </c>
      <c r="T21" s="8" t="str">
        <f t="shared" si="4"/>
        <v>OK</v>
      </c>
      <c r="U21" s="8">
        <f t="shared" si="5"/>
        <v>0</v>
      </c>
      <c r="V21" s="8"/>
      <c r="W21" s="8"/>
      <c r="X21" s="8"/>
      <c r="Y21" s="8"/>
      <c r="Z21" s="8"/>
    </row>
    <row r="22" ht="15.75" customHeight="1">
      <c r="A22" s="3">
        <v>631.0</v>
      </c>
      <c r="B22" s="4">
        <v>40572.0</v>
      </c>
      <c r="C22" s="3">
        <v>1.0</v>
      </c>
      <c r="D22" s="3">
        <v>0.0</v>
      </c>
      <c r="E22" s="3">
        <v>1.0</v>
      </c>
      <c r="F22" s="3">
        <v>13.0</v>
      </c>
      <c r="G22" s="3" t="b">
        <f t="shared" si="1"/>
        <v>0</v>
      </c>
      <c r="H22" s="3">
        <v>6.0</v>
      </c>
      <c r="I22" s="3">
        <v>2.0</v>
      </c>
      <c r="J22" s="3">
        <v>0.22</v>
      </c>
      <c r="K22" s="3">
        <v>0.2273</v>
      </c>
      <c r="L22" s="3">
        <v>0.55</v>
      </c>
      <c r="M22" s="3">
        <v>0.1642</v>
      </c>
      <c r="N22" s="3">
        <v>9.0</v>
      </c>
      <c r="O22" s="3">
        <v>56.0</v>
      </c>
      <c r="P22" s="3">
        <v>65.0</v>
      </c>
      <c r="Q22" s="8"/>
      <c r="R22" s="8">
        <f t="shared" si="2"/>
        <v>1</v>
      </c>
      <c r="S22" s="8">
        <f t="shared" si="3"/>
        <v>0</v>
      </c>
      <c r="T22" s="8" t="str">
        <f t="shared" si="4"/>
        <v>OK</v>
      </c>
      <c r="U22" s="8">
        <f t="shared" si="5"/>
        <v>0</v>
      </c>
      <c r="V22" s="8"/>
      <c r="W22" s="8"/>
      <c r="X22" s="8"/>
      <c r="Y22" s="8"/>
      <c r="Z22" s="8"/>
    </row>
    <row r="23" ht="15.75" customHeight="1">
      <c r="A23" s="3">
        <v>632.0</v>
      </c>
      <c r="B23" s="4">
        <v>40572.0</v>
      </c>
      <c r="C23" s="3">
        <v>1.0</v>
      </c>
      <c r="D23" s="3">
        <v>0.0</v>
      </c>
      <c r="E23" s="3">
        <v>1.0</v>
      </c>
      <c r="F23" s="3">
        <v>14.0</v>
      </c>
      <c r="G23" s="3" t="b">
        <f t="shared" si="1"/>
        <v>0</v>
      </c>
      <c r="H23" s="3">
        <v>6.0</v>
      </c>
      <c r="I23" s="3">
        <v>2.0</v>
      </c>
      <c r="J23" s="3">
        <v>0.22</v>
      </c>
      <c r="K23" s="3">
        <v>0.2273</v>
      </c>
      <c r="L23" s="3">
        <v>0.6</v>
      </c>
      <c r="M23" s="3">
        <v>0.1343</v>
      </c>
      <c r="N23" s="3">
        <v>10.0</v>
      </c>
      <c r="O23" s="3">
        <v>89.0</v>
      </c>
      <c r="P23" s="3">
        <v>99.0</v>
      </c>
      <c r="Q23" s="8"/>
      <c r="R23" s="8">
        <f t="shared" si="2"/>
        <v>1</v>
      </c>
      <c r="S23" s="8">
        <f t="shared" si="3"/>
        <v>0</v>
      </c>
      <c r="T23" s="8" t="str">
        <f t="shared" si="4"/>
        <v>OK</v>
      </c>
      <c r="U23" s="8">
        <f t="shared" si="5"/>
        <v>0</v>
      </c>
      <c r="V23" s="8"/>
      <c r="W23" s="8"/>
      <c r="X23" s="8"/>
      <c r="Y23" s="8"/>
      <c r="Z23" s="8"/>
    </row>
    <row r="24" ht="15.75" customHeight="1">
      <c r="A24" s="3">
        <v>633.0</v>
      </c>
      <c r="B24" s="4">
        <v>40572.0</v>
      </c>
      <c r="C24" s="3">
        <v>1.0</v>
      </c>
      <c r="D24" s="3">
        <v>0.0</v>
      </c>
      <c r="E24" s="3">
        <v>1.0</v>
      </c>
      <c r="F24" s="3">
        <v>15.0</v>
      </c>
      <c r="G24" s="3" t="b">
        <f t="shared" si="1"/>
        <v>0</v>
      </c>
      <c r="H24" s="3">
        <v>6.0</v>
      </c>
      <c r="I24" s="3">
        <v>1.0</v>
      </c>
      <c r="J24" s="3">
        <v>0.22</v>
      </c>
      <c r="K24" s="3">
        <v>0.2121</v>
      </c>
      <c r="L24" s="3">
        <v>0.69</v>
      </c>
      <c r="M24" s="3">
        <v>0.2537</v>
      </c>
      <c r="N24" s="3">
        <v>22.0</v>
      </c>
      <c r="O24" s="3">
        <v>98.0</v>
      </c>
      <c r="P24" s="3">
        <v>120.0</v>
      </c>
      <c r="Q24" s="8"/>
      <c r="R24" s="8">
        <f t="shared" si="2"/>
        <v>1</v>
      </c>
      <c r="S24" s="8">
        <f t="shared" si="3"/>
        <v>0</v>
      </c>
      <c r="T24" s="8" t="str">
        <f t="shared" si="4"/>
        <v>OK</v>
      </c>
      <c r="U24" s="8">
        <f t="shared" si="5"/>
        <v>0</v>
      </c>
      <c r="V24" s="8"/>
      <c r="W24" s="8"/>
      <c r="X24" s="8"/>
      <c r="Y24" s="8"/>
      <c r="Z24" s="8"/>
    </row>
    <row r="25" ht="15.75" customHeight="1">
      <c r="A25" s="3">
        <v>634.0</v>
      </c>
      <c r="B25" s="4">
        <v>40572.0</v>
      </c>
      <c r="C25" s="3">
        <v>1.0</v>
      </c>
      <c r="D25" s="3">
        <v>0.0</v>
      </c>
      <c r="E25" s="3">
        <v>1.0</v>
      </c>
      <c r="F25" s="3">
        <v>16.0</v>
      </c>
      <c r="G25" s="3" t="b">
        <f t="shared" si="1"/>
        <v>0</v>
      </c>
      <c r="H25" s="3">
        <v>6.0</v>
      </c>
      <c r="I25" s="3">
        <v>1.0</v>
      </c>
      <c r="J25" s="3">
        <v>0.24</v>
      </c>
      <c r="K25" s="3">
        <v>0.2424</v>
      </c>
      <c r="L25" s="3">
        <v>0.6</v>
      </c>
      <c r="M25" s="3">
        <v>0.1642</v>
      </c>
      <c r="N25" s="3">
        <v>19.0</v>
      </c>
      <c r="O25" s="3">
        <v>88.0</v>
      </c>
      <c r="P25" s="3">
        <v>107.0</v>
      </c>
      <c r="Q25" s="8"/>
      <c r="R25" s="8">
        <f t="shared" si="2"/>
        <v>1</v>
      </c>
      <c r="S25" s="8">
        <f t="shared" si="3"/>
        <v>0</v>
      </c>
      <c r="T25" s="8" t="str">
        <f t="shared" si="4"/>
        <v>OK</v>
      </c>
      <c r="U25" s="8">
        <f t="shared" si="5"/>
        <v>0</v>
      </c>
      <c r="V25" s="8"/>
      <c r="W25" s="8"/>
      <c r="X25" s="8"/>
      <c r="Y25" s="8"/>
      <c r="Z25" s="8"/>
    </row>
    <row r="26" ht="15.75" customHeight="1">
      <c r="A26" s="3">
        <v>635.0</v>
      </c>
      <c r="B26" s="4">
        <v>40572.0</v>
      </c>
      <c r="C26" s="3">
        <v>1.0</v>
      </c>
      <c r="D26" s="3">
        <v>0.0</v>
      </c>
      <c r="E26" s="3">
        <v>1.0</v>
      </c>
      <c r="F26" s="3">
        <v>17.0</v>
      </c>
      <c r="G26" s="3" t="b">
        <f t="shared" si="1"/>
        <v>0</v>
      </c>
      <c r="H26" s="3">
        <v>6.0</v>
      </c>
      <c r="I26" s="3">
        <v>1.0</v>
      </c>
      <c r="J26" s="3">
        <v>0.24</v>
      </c>
      <c r="K26" s="3">
        <v>0.2879</v>
      </c>
      <c r="L26" s="3">
        <v>0.6</v>
      </c>
      <c r="M26" s="3">
        <v>0.0</v>
      </c>
      <c r="N26" s="3">
        <v>9.0</v>
      </c>
      <c r="O26" s="3">
        <v>82.0</v>
      </c>
      <c r="P26" s="3">
        <v>91.0</v>
      </c>
      <c r="Q26" s="8"/>
      <c r="R26" s="8">
        <f t="shared" si="2"/>
        <v>1</v>
      </c>
      <c r="S26" s="8">
        <f t="shared" si="3"/>
        <v>0</v>
      </c>
      <c r="T26" s="8" t="str">
        <f t="shared" si="4"/>
        <v>OK</v>
      </c>
      <c r="U26" s="8">
        <f t="shared" si="5"/>
        <v>0</v>
      </c>
      <c r="V26" s="8"/>
      <c r="W26" s="8"/>
      <c r="X26" s="8"/>
      <c r="Y26" s="8"/>
      <c r="Z26" s="8"/>
    </row>
    <row r="27" ht="15.75" customHeight="1">
      <c r="A27" s="3">
        <v>636.0</v>
      </c>
      <c r="B27" s="4">
        <v>40572.0</v>
      </c>
      <c r="C27" s="3">
        <v>1.0</v>
      </c>
      <c r="D27" s="3">
        <v>0.0</v>
      </c>
      <c r="E27" s="3">
        <v>1.0</v>
      </c>
      <c r="F27" s="3">
        <v>18.0</v>
      </c>
      <c r="G27" s="3" t="b">
        <f t="shared" si="1"/>
        <v>0</v>
      </c>
      <c r="H27" s="3">
        <v>6.0</v>
      </c>
      <c r="I27" s="3">
        <v>1.0</v>
      </c>
      <c r="J27" s="3">
        <v>0.22</v>
      </c>
      <c r="K27" s="3">
        <v>0.2273</v>
      </c>
      <c r="L27" s="3">
        <v>0.69</v>
      </c>
      <c r="M27" s="3">
        <v>0.1343</v>
      </c>
      <c r="N27" s="3">
        <v>9.0</v>
      </c>
      <c r="O27" s="3">
        <v>59.0</v>
      </c>
      <c r="P27" s="3">
        <v>68.0</v>
      </c>
      <c r="Q27" s="8"/>
      <c r="R27" s="8">
        <f t="shared" si="2"/>
        <v>1</v>
      </c>
      <c r="S27" s="8">
        <f t="shared" si="3"/>
        <v>0</v>
      </c>
      <c r="T27" s="8" t="str">
        <f t="shared" si="4"/>
        <v>OK</v>
      </c>
      <c r="U27" s="8">
        <f t="shared" si="5"/>
        <v>0</v>
      </c>
      <c r="V27" s="8"/>
      <c r="W27" s="8"/>
      <c r="X27" s="8"/>
      <c r="Y27" s="8"/>
      <c r="Z27" s="8"/>
    </row>
    <row r="28" ht="15.75" customHeight="1">
      <c r="A28" s="3">
        <v>637.0</v>
      </c>
      <c r="B28" s="4">
        <v>40572.0</v>
      </c>
      <c r="C28" s="3">
        <v>1.0</v>
      </c>
      <c r="D28" s="3">
        <v>0.0</v>
      </c>
      <c r="E28" s="3">
        <v>1.0</v>
      </c>
      <c r="F28" s="3">
        <v>19.0</v>
      </c>
      <c r="G28" s="3" t="b">
        <f t="shared" si="1"/>
        <v>0</v>
      </c>
      <c r="H28" s="3">
        <v>6.0</v>
      </c>
      <c r="I28" s="3">
        <v>2.0</v>
      </c>
      <c r="J28" s="3">
        <v>0.22</v>
      </c>
      <c r="K28" s="3">
        <v>0.2121</v>
      </c>
      <c r="L28" s="3">
        <v>0.69</v>
      </c>
      <c r="M28" s="3">
        <v>0.2537</v>
      </c>
      <c r="N28" s="3">
        <v>6.0</v>
      </c>
      <c r="O28" s="3">
        <v>52.0</v>
      </c>
      <c r="P28" s="3">
        <v>58.0</v>
      </c>
      <c r="Q28" s="8"/>
      <c r="R28" s="8">
        <f t="shared" si="2"/>
        <v>1</v>
      </c>
      <c r="S28" s="8">
        <f t="shared" si="3"/>
        <v>0</v>
      </c>
      <c r="T28" s="8" t="str">
        <f t="shared" si="4"/>
        <v>OK</v>
      </c>
      <c r="U28" s="8">
        <f t="shared" si="5"/>
        <v>0</v>
      </c>
      <c r="V28" s="8"/>
      <c r="W28" s="8"/>
      <c r="X28" s="8"/>
      <c r="Y28" s="8"/>
      <c r="Z28" s="8"/>
    </row>
    <row r="29" ht="15.75" customHeight="1">
      <c r="A29" s="3">
        <v>638.0</v>
      </c>
      <c r="B29" s="4">
        <v>40572.0</v>
      </c>
      <c r="C29" s="3">
        <v>1.0</v>
      </c>
      <c r="D29" s="3">
        <v>0.0</v>
      </c>
      <c r="E29" s="3">
        <v>1.0</v>
      </c>
      <c r="F29" s="3">
        <v>20.0</v>
      </c>
      <c r="G29" s="3" t="b">
        <f t="shared" si="1"/>
        <v>0</v>
      </c>
      <c r="H29" s="3">
        <v>6.0</v>
      </c>
      <c r="I29" s="3">
        <v>1.0</v>
      </c>
      <c r="J29" s="3">
        <v>0.18</v>
      </c>
      <c r="K29" s="3">
        <v>0.2121</v>
      </c>
      <c r="L29" s="3">
        <v>0.74</v>
      </c>
      <c r="M29" s="3">
        <v>0.0896</v>
      </c>
      <c r="N29" s="3">
        <v>1.0</v>
      </c>
      <c r="O29" s="3">
        <v>42.0</v>
      </c>
      <c r="P29" s="3">
        <v>43.0</v>
      </c>
      <c r="Q29" s="8"/>
      <c r="R29" s="8">
        <f t="shared" si="2"/>
        <v>1</v>
      </c>
      <c r="S29" s="8">
        <f t="shared" si="3"/>
        <v>0</v>
      </c>
      <c r="T29" s="8" t="str">
        <f t="shared" si="4"/>
        <v>OK</v>
      </c>
      <c r="U29" s="8">
        <f t="shared" si="5"/>
        <v>0</v>
      </c>
      <c r="V29" s="8"/>
      <c r="W29" s="8"/>
      <c r="X29" s="8"/>
      <c r="Y29" s="8"/>
      <c r="Z29" s="8"/>
    </row>
    <row r="30" ht="15.75" customHeight="1">
      <c r="A30" s="3">
        <v>639.0</v>
      </c>
      <c r="B30" s="4">
        <v>40572.0</v>
      </c>
      <c r="C30" s="3">
        <v>1.0</v>
      </c>
      <c r="D30" s="3">
        <v>0.0</v>
      </c>
      <c r="E30" s="3">
        <v>1.0</v>
      </c>
      <c r="F30" s="3">
        <v>21.0</v>
      </c>
      <c r="G30" s="3" t="b">
        <f t="shared" si="1"/>
        <v>0</v>
      </c>
      <c r="H30" s="3">
        <v>6.0</v>
      </c>
      <c r="I30" s="3">
        <v>1.0</v>
      </c>
      <c r="J30" s="3">
        <v>0.18</v>
      </c>
      <c r="K30" s="3">
        <v>0.2121</v>
      </c>
      <c r="L30" s="3">
        <v>0.74</v>
      </c>
      <c r="M30" s="3">
        <v>0.0896</v>
      </c>
      <c r="N30" s="3">
        <v>1.0</v>
      </c>
      <c r="O30" s="3">
        <v>35.0</v>
      </c>
      <c r="P30" s="3">
        <v>36.0</v>
      </c>
      <c r="Q30" s="8"/>
      <c r="R30" s="8">
        <f t="shared" si="2"/>
        <v>1</v>
      </c>
      <c r="S30" s="8">
        <f t="shared" si="3"/>
        <v>0</v>
      </c>
      <c r="T30" s="8" t="str">
        <f t="shared" si="4"/>
        <v>OK</v>
      </c>
      <c r="U30" s="8">
        <f t="shared" si="5"/>
        <v>0</v>
      </c>
      <c r="V30" s="8"/>
      <c r="W30" s="8"/>
      <c r="X30" s="8"/>
      <c r="Y30" s="8"/>
      <c r="Z30" s="8"/>
    </row>
    <row r="31" ht="15.75" customHeight="1">
      <c r="A31" s="3">
        <v>640.0</v>
      </c>
      <c r="B31" s="4">
        <v>40572.0</v>
      </c>
      <c r="C31" s="3">
        <v>1.0</v>
      </c>
      <c r="D31" s="3">
        <v>0.0</v>
      </c>
      <c r="E31" s="3">
        <v>1.0</v>
      </c>
      <c r="F31" s="3">
        <v>22.0</v>
      </c>
      <c r="G31" s="3" t="b">
        <f t="shared" si="1"/>
        <v>0</v>
      </c>
      <c r="H31" s="3">
        <v>6.0</v>
      </c>
      <c r="I31" s="3">
        <v>1.0</v>
      </c>
      <c r="J31" s="3">
        <v>0.16</v>
      </c>
      <c r="K31" s="3">
        <v>0.197</v>
      </c>
      <c r="L31" s="3">
        <v>0.8</v>
      </c>
      <c r="M31" s="3">
        <v>0.0896</v>
      </c>
      <c r="N31" s="3">
        <v>4.0</v>
      </c>
      <c r="O31" s="3">
        <v>28.0</v>
      </c>
      <c r="P31" s="3">
        <v>32.0</v>
      </c>
      <c r="Q31" s="8"/>
      <c r="R31" s="8">
        <f t="shared" si="2"/>
        <v>1</v>
      </c>
      <c r="S31" s="8">
        <f t="shared" si="3"/>
        <v>0</v>
      </c>
      <c r="T31" s="8" t="str">
        <f t="shared" si="4"/>
        <v>OK</v>
      </c>
      <c r="U31" s="8">
        <f t="shared" si="5"/>
        <v>0</v>
      </c>
      <c r="V31" s="8"/>
      <c r="W31" s="8"/>
      <c r="X31" s="8"/>
      <c r="Y31" s="8"/>
      <c r="Z31" s="8"/>
    </row>
    <row r="32" ht="15.75" customHeight="1">
      <c r="A32" s="3">
        <v>641.0</v>
      </c>
      <c r="B32" s="4">
        <v>40572.0</v>
      </c>
      <c r="C32" s="3">
        <v>1.0</v>
      </c>
      <c r="D32" s="3">
        <v>0.0</v>
      </c>
      <c r="E32" s="3">
        <v>1.0</v>
      </c>
      <c r="F32" s="3">
        <v>23.0</v>
      </c>
      <c r="G32" s="3" t="b">
        <f t="shared" si="1"/>
        <v>0</v>
      </c>
      <c r="H32" s="3">
        <v>6.0</v>
      </c>
      <c r="I32" s="3">
        <v>1.0</v>
      </c>
      <c r="J32" s="3">
        <v>0.16</v>
      </c>
      <c r="K32" s="3">
        <v>0.197</v>
      </c>
      <c r="L32" s="3">
        <v>0.8</v>
      </c>
      <c r="M32" s="3">
        <v>0.0896</v>
      </c>
      <c r="N32" s="3">
        <v>3.0</v>
      </c>
      <c r="O32" s="3">
        <v>30.0</v>
      </c>
      <c r="P32" s="3">
        <v>33.0</v>
      </c>
      <c r="Q32" s="8"/>
      <c r="R32" s="8">
        <f t="shared" si="2"/>
        <v>1</v>
      </c>
      <c r="S32" s="8">
        <f t="shared" si="3"/>
        <v>0</v>
      </c>
      <c r="T32" s="8" t="str">
        <f t="shared" si="4"/>
        <v>OK</v>
      </c>
      <c r="U32" s="8">
        <f t="shared" si="5"/>
        <v>0</v>
      </c>
      <c r="V32" s="8"/>
      <c r="W32" s="8"/>
      <c r="X32" s="8"/>
      <c r="Y32" s="8"/>
      <c r="Z32" s="8"/>
    </row>
    <row r="33" ht="15.75" customHeight="1">
      <c r="A33" s="3">
        <v>642.0</v>
      </c>
      <c r="B33" s="4">
        <v>40573.0</v>
      </c>
      <c r="C33" s="3">
        <v>1.0</v>
      </c>
      <c r="D33" s="3">
        <v>0.0</v>
      </c>
      <c r="E33" s="3">
        <v>1.0</v>
      </c>
      <c r="F33" s="3">
        <v>0.0</v>
      </c>
      <c r="G33" s="3" t="b">
        <f t="shared" si="1"/>
        <v>0</v>
      </c>
      <c r="H33" s="3">
        <v>0.0</v>
      </c>
      <c r="I33" s="3">
        <v>1.0</v>
      </c>
      <c r="J33" s="3">
        <v>0.16</v>
      </c>
      <c r="K33" s="3">
        <v>0.1818</v>
      </c>
      <c r="L33" s="3">
        <v>0.8</v>
      </c>
      <c r="M33" s="3">
        <v>0.1045</v>
      </c>
      <c r="N33" s="3">
        <v>0.0</v>
      </c>
      <c r="O33" s="3">
        <v>33.0</v>
      </c>
      <c r="P33" s="3">
        <v>33.0</v>
      </c>
      <c r="Q33" s="8"/>
      <c r="R33" s="8">
        <f t="shared" si="2"/>
        <v>1</v>
      </c>
      <c r="S33" s="8">
        <f t="shared" si="3"/>
        <v>0</v>
      </c>
      <c r="T33" s="8" t="str">
        <f t="shared" si="4"/>
        <v>OK</v>
      </c>
      <c r="U33" s="8">
        <f t="shared" si="5"/>
        <v>0</v>
      </c>
      <c r="V33" s="8"/>
      <c r="W33" s="8"/>
      <c r="X33" s="8"/>
      <c r="Y33" s="8"/>
      <c r="Z33" s="8"/>
    </row>
    <row r="34" ht="15.75" customHeight="1">
      <c r="A34" s="3">
        <v>643.0</v>
      </c>
      <c r="B34" s="4">
        <v>40573.0</v>
      </c>
      <c r="C34" s="3">
        <v>1.0</v>
      </c>
      <c r="D34" s="3">
        <v>0.0</v>
      </c>
      <c r="E34" s="3">
        <v>1.0</v>
      </c>
      <c r="F34" s="3">
        <v>1.0</v>
      </c>
      <c r="G34" s="3" t="b">
        <f t="shared" si="1"/>
        <v>0</v>
      </c>
      <c r="H34" s="3">
        <v>0.0</v>
      </c>
      <c r="I34" s="3">
        <v>1.0</v>
      </c>
      <c r="J34" s="3">
        <v>0.14</v>
      </c>
      <c r="K34" s="3">
        <v>0.2121</v>
      </c>
      <c r="L34" s="3">
        <v>0.8</v>
      </c>
      <c r="M34" s="3">
        <v>0.0</v>
      </c>
      <c r="N34" s="3">
        <v>7.0</v>
      </c>
      <c r="O34" s="3">
        <v>22.0</v>
      </c>
      <c r="P34" s="3">
        <v>29.0</v>
      </c>
      <c r="Q34" s="8"/>
      <c r="R34" s="8">
        <f t="shared" si="2"/>
        <v>1</v>
      </c>
      <c r="S34" s="8">
        <f t="shared" si="3"/>
        <v>0</v>
      </c>
      <c r="T34" s="8" t="str">
        <f t="shared" si="4"/>
        <v>OK</v>
      </c>
      <c r="U34" s="8">
        <f t="shared" si="5"/>
        <v>0</v>
      </c>
      <c r="V34" s="8"/>
      <c r="W34" s="8"/>
      <c r="X34" s="8"/>
      <c r="Y34" s="8"/>
      <c r="Z34" s="8"/>
    </row>
    <row r="35" ht="15.75" customHeight="1">
      <c r="A35" s="3">
        <v>644.0</v>
      </c>
      <c r="B35" s="4">
        <v>40573.0</v>
      </c>
      <c r="C35" s="3">
        <v>1.0</v>
      </c>
      <c r="D35" s="3">
        <v>0.0</v>
      </c>
      <c r="E35" s="3">
        <v>1.0</v>
      </c>
      <c r="F35" s="3">
        <v>2.0</v>
      </c>
      <c r="G35" s="3" t="b">
        <f t="shared" si="1"/>
        <v>0</v>
      </c>
      <c r="H35" s="3">
        <v>0.0</v>
      </c>
      <c r="I35" s="3">
        <v>1.0</v>
      </c>
      <c r="J35" s="3">
        <v>0.16</v>
      </c>
      <c r="K35" s="3">
        <v>0.2273</v>
      </c>
      <c r="L35" s="3">
        <v>0.8</v>
      </c>
      <c r="M35" s="3">
        <v>0.0</v>
      </c>
      <c r="N35" s="3">
        <v>1.0</v>
      </c>
      <c r="O35" s="3">
        <v>10.0</v>
      </c>
      <c r="P35" s="3">
        <v>11.0</v>
      </c>
      <c r="Q35" s="8"/>
      <c r="R35" s="8">
        <f t="shared" si="2"/>
        <v>1</v>
      </c>
      <c r="S35" s="8">
        <f t="shared" si="3"/>
        <v>0</v>
      </c>
      <c r="T35" s="8" t="str">
        <f t="shared" si="4"/>
        <v>OK</v>
      </c>
      <c r="U35" s="8">
        <f t="shared" si="5"/>
        <v>0</v>
      </c>
      <c r="V35" s="8"/>
      <c r="W35" s="8"/>
      <c r="X35" s="8"/>
      <c r="Y35" s="8"/>
      <c r="Z35" s="8"/>
    </row>
    <row r="36" ht="15.75" customHeight="1">
      <c r="A36" s="3">
        <v>645.0</v>
      </c>
      <c r="B36" s="4">
        <v>40573.0</v>
      </c>
      <c r="C36" s="3">
        <v>1.0</v>
      </c>
      <c r="D36" s="3">
        <v>0.0</v>
      </c>
      <c r="E36" s="3">
        <v>1.0</v>
      </c>
      <c r="F36" s="3">
        <v>3.0</v>
      </c>
      <c r="G36" s="3" t="b">
        <f t="shared" si="1"/>
        <v>0</v>
      </c>
      <c r="H36" s="3">
        <v>0.0</v>
      </c>
      <c r="I36" s="3">
        <v>1.0</v>
      </c>
      <c r="J36" s="3">
        <v>0.14</v>
      </c>
      <c r="K36" s="3">
        <v>0.2121</v>
      </c>
      <c r="L36" s="3">
        <v>0.93</v>
      </c>
      <c r="M36" s="3">
        <v>0.0</v>
      </c>
      <c r="N36" s="3">
        <v>1.0</v>
      </c>
      <c r="O36" s="3">
        <v>7.0</v>
      </c>
      <c r="P36" s="3">
        <v>8.0</v>
      </c>
      <c r="Q36" s="8"/>
      <c r="R36" s="8">
        <f t="shared" si="2"/>
        <v>1</v>
      </c>
      <c r="S36" s="8">
        <f t="shared" si="3"/>
        <v>0</v>
      </c>
      <c r="T36" s="8" t="str">
        <f t="shared" si="4"/>
        <v>OK</v>
      </c>
      <c r="U36" s="8">
        <f t="shared" si="5"/>
        <v>0</v>
      </c>
      <c r="V36" s="8"/>
      <c r="W36" s="8"/>
      <c r="X36" s="8"/>
      <c r="Y36" s="8"/>
      <c r="Z36" s="8"/>
    </row>
    <row r="37" ht="15.75" customHeight="1">
      <c r="A37" s="3">
        <v>646.0</v>
      </c>
      <c r="B37" s="4">
        <v>40573.0</v>
      </c>
      <c r="C37" s="3">
        <v>1.0</v>
      </c>
      <c r="D37" s="3">
        <v>0.0</v>
      </c>
      <c r="E37" s="3">
        <v>1.0</v>
      </c>
      <c r="F37" s="3">
        <v>4.0</v>
      </c>
      <c r="G37" s="3" t="b">
        <f t="shared" si="1"/>
        <v>0</v>
      </c>
      <c r="H37" s="3">
        <v>0.0</v>
      </c>
      <c r="I37" s="3">
        <v>1.0</v>
      </c>
      <c r="J37" s="3">
        <v>0.14</v>
      </c>
      <c r="K37" s="3">
        <v>0.2121</v>
      </c>
      <c r="L37" s="3">
        <v>0.93</v>
      </c>
      <c r="M37" s="3">
        <v>0.0</v>
      </c>
      <c r="N37" s="3">
        <v>0.0</v>
      </c>
      <c r="O37" s="3">
        <v>1.0</v>
      </c>
      <c r="P37" s="3">
        <v>1.0</v>
      </c>
      <c r="Q37" s="8"/>
      <c r="R37" s="8">
        <f t="shared" si="2"/>
        <v>1</v>
      </c>
      <c r="S37" s="8">
        <f t="shared" si="3"/>
        <v>0</v>
      </c>
      <c r="T37" s="8" t="str">
        <f t="shared" si="4"/>
        <v>OK</v>
      </c>
      <c r="U37" s="8">
        <f t="shared" si="5"/>
        <v>0</v>
      </c>
      <c r="V37" s="8"/>
      <c r="W37" s="8"/>
      <c r="X37" s="8"/>
      <c r="Y37" s="8"/>
      <c r="Z37" s="8"/>
    </row>
    <row r="38" ht="15.75" customHeight="1">
      <c r="A38" s="3">
        <v>647.0</v>
      </c>
      <c r="B38" s="4">
        <v>40573.0</v>
      </c>
      <c r="C38" s="3">
        <v>1.0</v>
      </c>
      <c r="D38" s="3">
        <v>0.0</v>
      </c>
      <c r="E38" s="3">
        <v>1.0</v>
      </c>
      <c r="F38" s="3">
        <v>5.0</v>
      </c>
      <c r="G38" s="3" t="b">
        <f t="shared" si="1"/>
        <v>0</v>
      </c>
      <c r="H38" s="3">
        <v>0.0</v>
      </c>
      <c r="I38" s="3">
        <v>1.0</v>
      </c>
      <c r="J38" s="3">
        <v>0.14</v>
      </c>
      <c r="K38" s="3">
        <v>0.2121</v>
      </c>
      <c r="L38" s="3">
        <v>0.86</v>
      </c>
      <c r="M38" s="3">
        <v>0.0</v>
      </c>
      <c r="N38" s="3">
        <v>0.0</v>
      </c>
      <c r="O38" s="3">
        <v>3.0</v>
      </c>
      <c r="P38" s="3">
        <v>3.0</v>
      </c>
      <c r="Q38" s="8"/>
      <c r="R38" s="8">
        <f t="shared" si="2"/>
        <v>1</v>
      </c>
      <c r="S38" s="8">
        <f t="shared" si="3"/>
        <v>0</v>
      </c>
      <c r="T38" s="8" t="str">
        <f t="shared" si="4"/>
        <v>OK</v>
      </c>
      <c r="U38" s="8">
        <f t="shared" si="5"/>
        <v>0</v>
      </c>
      <c r="V38" s="8"/>
      <c r="W38" s="8"/>
      <c r="X38" s="8"/>
      <c r="Y38" s="8"/>
      <c r="Z38" s="8"/>
    </row>
    <row r="39" ht="15.75" customHeight="1">
      <c r="A39" s="3">
        <v>648.0</v>
      </c>
      <c r="B39" s="4">
        <v>40573.0</v>
      </c>
      <c r="C39" s="3">
        <v>1.0</v>
      </c>
      <c r="D39" s="3">
        <v>0.0</v>
      </c>
      <c r="E39" s="3">
        <v>1.0</v>
      </c>
      <c r="F39" s="3">
        <v>7.0</v>
      </c>
      <c r="G39" s="3" t="b">
        <f t="shared" si="1"/>
        <v>0</v>
      </c>
      <c r="H39" s="3">
        <v>0.0</v>
      </c>
      <c r="I39" s="3">
        <v>1.0</v>
      </c>
      <c r="J39" s="3">
        <v>0.14</v>
      </c>
      <c r="K39" s="3">
        <v>0.2121</v>
      </c>
      <c r="L39" s="3">
        <v>0.86</v>
      </c>
      <c r="M39" s="3">
        <v>0.0</v>
      </c>
      <c r="N39" s="3">
        <v>0.0</v>
      </c>
      <c r="O39" s="3">
        <v>3.0</v>
      </c>
      <c r="P39" s="3">
        <v>3.0</v>
      </c>
      <c r="Q39" s="8"/>
      <c r="R39" s="8">
        <f t="shared" si="2"/>
        <v>1</v>
      </c>
      <c r="S39" s="8">
        <f t="shared" si="3"/>
        <v>0</v>
      </c>
      <c r="T39" s="8" t="str">
        <f t="shared" si="4"/>
        <v>OK</v>
      </c>
      <c r="U39" s="8">
        <f t="shared" si="5"/>
        <v>0</v>
      </c>
      <c r="V39" s="8"/>
      <c r="W39" s="8"/>
      <c r="X39" s="8"/>
      <c r="Y39" s="8"/>
      <c r="Z39" s="8"/>
    </row>
    <row r="40" ht="15.75" customHeight="1">
      <c r="A40" s="3">
        <v>649.0</v>
      </c>
      <c r="B40" s="4">
        <v>40573.0</v>
      </c>
      <c r="C40" s="3">
        <v>1.0</v>
      </c>
      <c r="D40" s="3">
        <v>0.0</v>
      </c>
      <c r="E40" s="3">
        <v>1.0</v>
      </c>
      <c r="F40" s="3">
        <v>8.0</v>
      </c>
      <c r="G40" s="3" t="b">
        <f t="shared" si="1"/>
        <v>0</v>
      </c>
      <c r="H40" s="3">
        <v>0.0</v>
      </c>
      <c r="I40" s="3">
        <v>2.0</v>
      </c>
      <c r="J40" s="3">
        <v>0.14</v>
      </c>
      <c r="K40" s="3">
        <v>0.2121</v>
      </c>
      <c r="L40" s="3">
        <v>0.86</v>
      </c>
      <c r="M40" s="3">
        <v>0.0</v>
      </c>
      <c r="N40" s="3">
        <v>1.0</v>
      </c>
      <c r="O40" s="3">
        <v>11.0</v>
      </c>
      <c r="P40" s="3">
        <v>12.0</v>
      </c>
      <c r="Q40" s="8"/>
      <c r="R40" s="8">
        <f t="shared" si="2"/>
        <v>1</v>
      </c>
      <c r="S40" s="8">
        <f t="shared" si="3"/>
        <v>0</v>
      </c>
      <c r="T40" s="8" t="str">
        <f t="shared" si="4"/>
        <v>OK</v>
      </c>
      <c r="U40" s="8">
        <f t="shared" si="5"/>
        <v>0</v>
      </c>
      <c r="V40" s="8"/>
      <c r="W40" s="8"/>
      <c r="X40" s="8"/>
      <c r="Y40" s="8"/>
      <c r="Z40" s="8"/>
    </row>
    <row r="41" ht="15.75" customHeight="1">
      <c r="A41" s="3">
        <v>650.0</v>
      </c>
      <c r="B41" s="4">
        <v>40573.0</v>
      </c>
      <c r="C41" s="3">
        <v>1.0</v>
      </c>
      <c r="D41" s="3">
        <v>0.0</v>
      </c>
      <c r="E41" s="3">
        <v>1.0</v>
      </c>
      <c r="F41" s="3">
        <v>9.0</v>
      </c>
      <c r="G41" s="3" t="b">
        <f t="shared" si="1"/>
        <v>0</v>
      </c>
      <c r="H41" s="3">
        <v>0.0</v>
      </c>
      <c r="I41" s="3">
        <v>2.0</v>
      </c>
      <c r="J41" s="3">
        <v>0.16</v>
      </c>
      <c r="K41" s="3">
        <v>0.2273</v>
      </c>
      <c r="L41" s="3">
        <v>0.8</v>
      </c>
      <c r="M41" s="3">
        <v>0.0</v>
      </c>
      <c r="N41" s="3">
        <v>4.0</v>
      </c>
      <c r="O41" s="3">
        <v>34.0</v>
      </c>
      <c r="P41" s="3">
        <v>38.0</v>
      </c>
      <c r="Q41" s="8"/>
      <c r="R41" s="8">
        <f t="shared" si="2"/>
        <v>1</v>
      </c>
      <c r="S41" s="8">
        <f t="shared" si="3"/>
        <v>0</v>
      </c>
      <c r="T41" s="8" t="str">
        <f t="shared" si="4"/>
        <v>OK</v>
      </c>
      <c r="U41" s="8">
        <f t="shared" si="5"/>
        <v>0</v>
      </c>
      <c r="V41" s="8"/>
      <c r="W41" s="8"/>
      <c r="X41" s="8"/>
      <c r="Y41" s="8"/>
      <c r="Z41" s="8"/>
    </row>
    <row r="42" ht="15.75" customHeight="1">
      <c r="A42" s="3">
        <v>651.0</v>
      </c>
      <c r="B42" s="4">
        <v>40573.0</v>
      </c>
      <c r="C42" s="3">
        <v>1.0</v>
      </c>
      <c r="D42" s="3">
        <v>0.0</v>
      </c>
      <c r="E42" s="3">
        <v>1.0</v>
      </c>
      <c r="F42" s="3">
        <v>10.0</v>
      </c>
      <c r="G42" s="3" t="b">
        <f t="shared" si="1"/>
        <v>0</v>
      </c>
      <c r="H42" s="3">
        <v>0.0</v>
      </c>
      <c r="I42" s="3">
        <v>2.0</v>
      </c>
      <c r="J42" s="3">
        <v>0.18</v>
      </c>
      <c r="K42" s="3">
        <v>0.2424</v>
      </c>
      <c r="L42" s="3">
        <v>0.8</v>
      </c>
      <c r="M42" s="3">
        <v>0.0</v>
      </c>
      <c r="N42" s="3">
        <v>7.0</v>
      </c>
      <c r="O42" s="3">
        <v>57.0</v>
      </c>
      <c r="P42" s="3">
        <v>64.0</v>
      </c>
      <c r="Q42" s="8"/>
      <c r="R42" s="8">
        <f t="shared" si="2"/>
        <v>1</v>
      </c>
      <c r="S42" s="8">
        <f t="shared" si="3"/>
        <v>0</v>
      </c>
      <c r="T42" s="8" t="str">
        <f t="shared" si="4"/>
        <v>OK</v>
      </c>
      <c r="U42" s="8">
        <f t="shared" si="5"/>
        <v>0</v>
      </c>
      <c r="V42" s="8"/>
      <c r="W42" s="8"/>
      <c r="X42" s="8"/>
      <c r="Y42" s="8"/>
      <c r="Z42" s="8"/>
    </row>
    <row r="43" ht="15.75" customHeight="1">
      <c r="A43" s="3">
        <v>652.0</v>
      </c>
      <c r="B43" s="4">
        <v>40573.0</v>
      </c>
      <c r="C43" s="3">
        <v>1.0</v>
      </c>
      <c r="D43" s="3">
        <v>0.0</v>
      </c>
      <c r="E43" s="3">
        <v>1.0</v>
      </c>
      <c r="F43" s="3">
        <v>11.0</v>
      </c>
      <c r="G43" s="3" t="b">
        <f t="shared" si="1"/>
        <v>0</v>
      </c>
      <c r="H43" s="3">
        <v>0.0</v>
      </c>
      <c r="I43" s="3">
        <v>1.0</v>
      </c>
      <c r="J43" s="3">
        <v>0.22</v>
      </c>
      <c r="K43" s="3">
        <v>0.2727</v>
      </c>
      <c r="L43" s="3">
        <v>0.75</v>
      </c>
      <c r="M43" s="3">
        <v>0.0</v>
      </c>
      <c r="N43" s="3">
        <v>9.0</v>
      </c>
      <c r="O43" s="3">
        <v>50.0</v>
      </c>
      <c r="P43" s="3">
        <v>59.0</v>
      </c>
      <c r="Q43" s="8"/>
      <c r="R43" s="8">
        <f t="shared" si="2"/>
        <v>1</v>
      </c>
      <c r="S43" s="8">
        <f t="shared" si="3"/>
        <v>0</v>
      </c>
      <c r="T43" s="8" t="str">
        <f t="shared" si="4"/>
        <v>OK</v>
      </c>
      <c r="U43" s="8">
        <f t="shared" si="5"/>
        <v>0</v>
      </c>
      <c r="V43" s="8"/>
      <c r="W43" s="8"/>
      <c r="X43" s="8"/>
      <c r="Y43" s="8"/>
      <c r="Z43" s="8"/>
    </row>
    <row r="44" ht="15.75" customHeight="1">
      <c r="A44" s="3">
        <v>653.0</v>
      </c>
      <c r="B44" s="4">
        <v>40573.0</v>
      </c>
      <c r="C44" s="3">
        <v>1.0</v>
      </c>
      <c r="D44" s="3">
        <v>0.0</v>
      </c>
      <c r="E44" s="3">
        <v>1.0</v>
      </c>
      <c r="F44" s="3">
        <v>12.0</v>
      </c>
      <c r="G44" s="3" t="b">
        <f t="shared" si="1"/>
        <v>0</v>
      </c>
      <c r="H44" s="3">
        <v>0.0</v>
      </c>
      <c r="I44" s="3">
        <v>1.0</v>
      </c>
      <c r="J44" s="3">
        <v>0.3</v>
      </c>
      <c r="K44" s="3">
        <v>0.3182</v>
      </c>
      <c r="L44" s="3">
        <v>0.52</v>
      </c>
      <c r="M44" s="3">
        <v>0.1045</v>
      </c>
      <c r="N44" s="3">
        <v>10.0</v>
      </c>
      <c r="O44" s="3">
        <v>87.0</v>
      </c>
      <c r="P44" s="3">
        <v>97.0</v>
      </c>
      <c r="Q44" s="8"/>
      <c r="R44" s="8">
        <f t="shared" si="2"/>
        <v>1</v>
      </c>
      <c r="S44" s="8">
        <f t="shared" si="3"/>
        <v>0</v>
      </c>
      <c r="T44" s="8" t="str">
        <f t="shared" si="4"/>
        <v>OK</v>
      </c>
      <c r="U44" s="8">
        <f t="shared" si="5"/>
        <v>0</v>
      </c>
      <c r="V44" s="8"/>
      <c r="W44" s="8"/>
      <c r="X44" s="8"/>
      <c r="Y44" s="8"/>
      <c r="Z44" s="8"/>
    </row>
    <row r="45" ht="15.75" customHeight="1">
      <c r="A45" s="3">
        <v>654.0</v>
      </c>
      <c r="B45" s="4">
        <v>40573.0</v>
      </c>
      <c r="C45" s="3">
        <v>1.0</v>
      </c>
      <c r="D45" s="3">
        <v>0.0</v>
      </c>
      <c r="E45" s="3">
        <v>1.0</v>
      </c>
      <c r="F45" s="3">
        <v>13.0</v>
      </c>
      <c r="G45" s="3" t="b">
        <f t="shared" si="1"/>
        <v>0</v>
      </c>
      <c r="H45" s="3">
        <v>0.0</v>
      </c>
      <c r="I45" s="3">
        <v>1.0</v>
      </c>
      <c r="J45" s="3">
        <v>0.28</v>
      </c>
      <c r="K45" s="3">
        <v>0.2879</v>
      </c>
      <c r="L45" s="3">
        <v>0.61</v>
      </c>
      <c r="M45" s="3">
        <v>0.1045</v>
      </c>
      <c r="N45" s="3">
        <v>13.0</v>
      </c>
      <c r="O45" s="3">
        <v>71.0</v>
      </c>
      <c r="P45" s="3">
        <v>84.0</v>
      </c>
      <c r="Q45" s="8"/>
      <c r="R45" s="8">
        <f t="shared" si="2"/>
        <v>1</v>
      </c>
      <c r="S45" s="8">
        <f t="shared" si="3"/>
        <v>0</v>
      </c>
      <c r="T45" s="8" t="str">
        <f t="shared" si="4"/>
        <v>OK</v>
      </c>
      <c r="U45" s="8">
        <f t="shared" si="5"/>
        <v>0</v>
      </c>
      <c r="V45" s="8"/>
      <c r="W45" s="8"/>
      <c r="X45" s="8"/>
      <c r="Y45" s="8"/>
      <c r="Z45" s="8"/>
    </row>
    <row r="46" ht="15.75" customHeight="1">
      <c r="A46" s="3">
        <v>655.0</v>
      </c>
      <c r="B46" s="4">
        <v>40573.0</v>
      </c>
      <c r="C46" s="3">
        <v>1.0</v>
      </c>
      <c r="D46" s="3">
        <v>0.0</v>
      </c>
      <c r="E46" s="3">
        <v>1.0</v>
      </c>
      <c r="F46" s="3">
        <v>14.0</v>
      </c>
      <c r="G46" s="3" t="b">
        <f t="shared" si="1"/>
        <v>0</v>
      </c>
      <c r="H46" s="3">
        <v>0.0</v>
      </c>
      <c r="I46" s="3">
        <v>1.0</v>
      </c>
      <c r="J46" s="3">
        <v>0.28</v>
      </c>
      <c r="K46" s="3">
        <v>0.303</v>
      </c>
      <c r="L46" s="3">
        <v>0.61</v>
      </c>
      <c r="M46" s="3">
        <v>0.0896</v>
      </c>
      <c r="N46" s="3">
        <v>18.0</v>
      </c>
      <c r="O46" s="3">
        <v>104.0</v>
      </c>
      <c r="P46" s="3">
        <v>122.0</v>
      </c>
      <c r="Q46" s="8"/>
      <c r="R46" s="8">
        <f t="shared" si="2"/>
        <v>1</v>
      </c>
      <c r="S46" s="8">
        <f t="shared" si="3"/>
        <v>0</v>
      </c>
      <c r="T46" s="8" t="str">
        <f t="shared" si="4"/>
        <v>OK</v>
      </c>
      <c r="U46" s="8">
        <f t="shared" si="5"/>
        <v>0</v>
      </c>
      <c r="V46" s="8"/>
      <c r="W46" s="8"/>
      <c r="X46" s="8"/>
      <c r="Y46" s="8"/>
      <c r="Z46" s="8"/>
    </row>
    <row r="47" ht="15.75" customHeight="1">
      <c r="A47" s="3">
        <v>656.0</v>
      </c>
      <c r="B47" s="4">
        <v>40573.0</v>
      </c>
      <c r="C47" s="3">
        <v>1.0</v>
      </c>
      <c r="D47" s="3">
        <v>0.0</v>
      </c>
      <c r="E47" s="3">
        <v>1.0</v>
      </c>
      <c r="F47" s="3">
        <v>15.0</v>
      </c>
      <c r="G47" s="3" t="b">
        <f t="shared" si="1"/>
        <v>0</v>
      </c>
      <c r="H47" s="3">
        <v>0.0</v>
      </c>
      <c r="I47" s="3">
        <v>1.0</v>
      </c>
      <c r="J47" s="3">
        <v>0.3</v>
      </c>
      <c r="K47" s="3">
        <v>0.3333</v>
      </c>
      <c r="L47" s="3">
        <v>0.56</v>
      </c>
      <c r="M47" s="3">
        <v>0.0</v>
      </c>
      <c r="N47" s="3">
        <v>14.0</v>
      </c>
      <c r="O47" s="3">
        <v>95.0</v>
      </c>
      <c r="P47" s="3">
        <v>109.0</v>
      </c>
      <c r="Q47" s="8"/>
      <c r="R47" s="8">
        <f t="shared" si="2"/>
        <v>1</v>
      </c>
      <c r="S47" s="8">
        <f t="shared" si="3"/>
        <v>0</v>
      </c>
      <c r="T47" s="8" t="str">
        <f t="shared" si="4"/>
        <v>OK</v>
      </c>
      <c r="U47" s="8">
        <f t="shared" si="5"/>
        <v>0</v>
      </c>
      <c r="V47" s="8"/>
      <c r="W47" s="8"/>
      <c r="X47" s="8"/>
      <c r="Y47" s="8"/>
      <c r="Z47" s="8"/>
    </row>
    <row r="48" ht="15.75" customHeight="1">
      <c r="A48" s="3">
        <v>657.0</v>
      </c>
      <c r="B48" s="4">
        <v>40573.0</v>
      </c>
      <c r="C48" s="3">
        <v>1.0</v>
      </c>
      <c r="D48" s="3">
        <v>0.0</v>
      </c>
      <c r="E48" s="3">
        <v>1.0</v>
      </c>
      <c r="F48" s="3">
        <v>16.0</v>
      </c>
      <c r="G48" s="3" t="b">
        <f t="shared" si="1"/>
        <v>0</v>
      </c>
      <c r="H48" s="3">
        <v>0.0</v>
      </c>
      <c r="I48" s="3">
        <v>1.0</v>
      </c>
      <c r="J48" s="3">
        <v>0.3</v>
      </c>
      <c r="K48" s="3">
        <v>0.3333</v>
      </c>
      <c r="L48" s="3">
        <v>0.56</v>
      </c>
      <c r="M48" s="3">
        <v>0.0</v>
      </c>
      <c r="N48" s="3">
        <v>19.0</v>
      </c>
      <c r="O48" s="3">
        <v>104.0</v>
      </c>
      <c r="P48" s="3">
        <v>123.0</v>
      </c>
      <c r="Q48" s="8"/>
      <c r="R48" s="8">
        <f t="shared" si="2"/>
        <v>1</v>
      </c>
      <c r="S48" s="8">
        <f t="shared" si="3"/>
        <v>0</v>
      </c>
      <c r="T48" s="8" t="str">
        <f t="shared" si="4"/>
        <v>OK</v>
      </c>
      <c r="U48" s="8">
        <f t="shared" si="5"/>
        <v>0</v>
      </c>
      <c r="V48" s="8"/>
      <c r="W48" s="8"/>
      <c r="X48" s="8"/>
      <c r="Y48" s="8"/>
      <c r="Z48" s="8"/>
    </row>
    <row r="49" ht="15.75" customHeight="1">
      <c r="A49" s="3">
        <v>658.0</v>
      </c>
      <c r="B49" s="4">
        <v>40573.0</v>
      </c>
      <c r="C49" s="3">
        <v>1.0</v>
      </c>
      <c r="D49" s="3">
        <v>0.0</v>
      </c>
      <c r="E49" s="3">
        <v>1.0</v>
      </c>
      <c r="F49" s="3">
        <v>17.0</v>
      </c>
      <c r="G49" s="3" t="b">
        <f t="shared" si="1"/>
        <v>0</v>
      </c>
      <c r="H49" s="3">
        <v>0.0</v>
      </c>
      <c r="I49" s="3">
        <v>1.0</v>
      </c>
      <c r="J49" s="3">
        <v>0.3</v>
      </c>
      <c r="K49" s="3">
        <v>0.2879</v>
      </c>
      <c r="L49" s="3">
        <v>0.56</v>
      </c>
      <c r="M49" s="3">
        <v>0.194</v>
      </c>
      <c r="N49" s="3">
        <v>6.0</v>
      </c>
      <c r="O49" s="3">
        <v>71.0</v>
      </c>
      <c r="P49" s="3">
        <v>77.0</v>
      </c>
      <c r="Q49" s="8"/>
      <c r="R49" s="8">
        <f t="shared" si="2"/>
        <v>1</v>
      </c>
      <c r="S49" s="8">
        <f t="shared" si="3"/>
        <v>0</v>
      </c>
      <c r="T49" s="8" t="str">
        <f t="shared" si="4"/>
        <v>OK</v>
      </c>
      <c r="U49" s="8">
        <f t="shared" si="5"/>
        <v>0</v>
      </c>
      <c r="V49" s="8"/>
      <c r="W49" s="8"/>
      <c r="X49" s="8"/>
      <c r="Y49" s="8"/>
      <c r="Z49" s="8"/>
    </row>
    <row r="50" ht="15.75" customHeight="1">
      <c r="A50" s="3">
        <v>659.0</v>
      </c>
      <c r="B50" s="4">
        <v>40573.0</v>
      </c>
      <c r="C50" s="3">
        <v>1.0</v>
      </c>
      <c r="D50" s="3">
        <v>0.0</v>
      </c>
      <c r="E50" s="3">
        <v>1.0</v>
      </c>
      <c r="F50" s="3">
        <v>18.0</v>
      </c>
      <c r="G50" s="3" t="b">
        <f t="shared" si="1"/>
        <v>0</v>
      </c>
      <c r="H50" s="3">
        <v>0.0</v>
      </c>
      <c r="I50" s="3">
        <v>1.0</v>
      </c>
      <c r="J50" s="3">
        <v>0.26</v>
      </c>
      <c r="K50" s="3">
        <v>0.2576</v>
      </c>
      <c r="L50" s="3">
        <v>0.65</v>
      </c>
      <c r="M50" s="3">
        <v>0.1642</v>
      </c>
      <c r="N50" s="3">
        <v>8.0</v>
      </c>
      <c r="O50" s="3">
        <v>57.0</v>
      </c>
      <c r="P50" s="3">
        <v>65.0</v>
      </c>
      <c r="Q50" s="8"/>
      <c r="R50" s="8">
        <f t="shared" si="2"/>
        <v>1</v>
      </c>
      <c r="S50" s="8">
        <f t="shared" si="3"/>
        <v>0</v>
      </c>
      <c r="T50" s="8" t="str">
        <f t="shared" si="4"/>
        <v>OK</v>
      </c>
      <c r="U50" s="8">
        <f t="shared" si="5"/>
        <v>0</v>
      </c>
      <c r="V50" s="8"/>
      <c r="W50" s="8"/>
      <c r="X50" s="8"/>
      <c r="Y50" s="8"/>
      <c r="Z50" s="8"/>
    </row>
    <row r="51" ht="15.75" customHeight="1">
      <c r="A51" s="3">
        <v>660.0</v>
      </c>
      <c r="B51" s="4">
        <v>40573.0</v>
      </c>
      <c r="C51" s="3">
        <v>1.0</v>
      </c>
      <c r="D51" s="3">
        <v>0.0</v>
      </c>
      <c r="E51" s="3">
        <v>1.0</v>
      </c>
      <c r="F51" s="3">
        <v>19.0</v>
      </c>
      <c r="G51" s="3" t="b">
        <f t="shared" si="1"/>
        <v>0</v>
      </c>
      <c r="H51" s="3">
        <v>0.0</v>
      </c>
      <c r="I51" s="3">
        <v>1.0</v>
      </c>
      <c r="J51" s="3">
        <v>0.26</v>
      </c>
      <c r="K51" s="3">
        <v>0.2576</v>
      </c>
      <c r="L51" s="3">
        <v>0.65</v>
      </c>
      <c r="M51" s="3">
        <v>0.194</v>
      </c>
      <c r="N51" s="3">
        <v>9.0</v>
      </c>
      <c r="O51" s="3">
        <v>46.0</v>
      </c>
      <c r="P51" s="3">
        <v>55.0</v>
      </c>
      <c r="Q51" s="8"/>
      <c r="R51" s="8">
        <f t="shared" si="2"/>
        <v>1</v>
      </c>
      <c r="S51" s="8">
        <f t="shared" si="3"/>
        <v>0</v>
      </c>
      <c r="T51" s="8" t="str">
        <f t="shared" si="4"/>
        <v>OK</v>
      </c>
      <c r="U51" s="8">
        <f t="shared" si="5"/>
        <v>0</v>
      </c>
      <c r="V51" s="8"/>
      <c r="W51" s="8"/>
      <c r="X51" s="8"/>
      <c r="Y51" s="8"/>
      <c r="Z51" s="8"/>
    </row>
    <row r="52" ht="15.75" customHeight="1">
      <c r="A52" s="3">
        <v>661.0</v>
      </c>
      <c r="B52" s="4">
        <v>40573.0</v>
      </c>
      <c r="C52" s="3">
        <v>1.0</v>
      </c>
      <c r="D52" s="3">
        <v>0.0</v>
      </c>
      <c r="E52" s="3">
        <v>1.0</v>
      </c>
      <c r="F52" s="3">
        <v>20.0</v>
      </c>
      <c r="G52" s="3" t="b">
        <f t="shared" si="1"/>
        <v>0</v>
      </c>
      <c r="H52" s="3">
        <v>0.0</v>
      </c>
      <c r="I52" s="3">
        <v>2.0</v>
      </c>
      <c r="J52" s="3">
        <v>0.26</v>
      </c>
      <c r="K52" s="3">
        <v>0.2727</v>
      </c>
      <c r="L52" s="3">
        <v>0.65</v>
      </c>
      <c r="M52" s="3">
        <v>0.1045</v>
      </c>
      <c r="N52" s="3">
        <v>3.0</v>
      </c>
      <c r="O52" s="3">
        <v>30.0</v>
      </c>
      <c r="P52" s="3">
        <v>33.0</v>
      </c>
      <c r="Q52" s="8"/>
      <c r="R52" s="8">
        <f t="shared" si="2"/>
        <v>1</v>
      </c>
      <c r="S52" s="8">
        <f t="shared" si="3"/>
        <v>0</v>
      </c>
      <c r="T52" s="8" t="str">
        <f t="shared" si="4"/>
        <v>OK</v>
      </c>
      <c r="U52" s="8">
        <f t="shared" si="5"/>
        <v>0</v>
      </c>
      <c r="V52" s="8"/>
      <c r="W52" s="8"/>
      <c r="X52" s="8"/>
      <c r="Y52" s="8"/>
      <c r="Z52" s="8"/>
    </row>
    <row r="53" ht="15.75" customHeight="1">
      <c r="A53" s="3">
        <v>662.0</v>
      </c>
      <c r="B53" s="4">
        <v>40573.0</v>
      </c>
      <c r="C53" s="3">
        <v>1.0</v>
      </c>
      <c r="D53" s="3">
        <v>0.0</v>
      </c>
      <c r="E53" s="3">
        <v>1.0</v>
      </c>
      <c r="F53" s="3">
        <v>21.0</v>
      </c>
      <c r="G53" s="3" t="b">
        <f t="shared" si="1"/>
        <v>0</v>
      </c>
      <c r="H53" s="3">
        <v>0.0</v>
      </c>
      <c r="I53" s="3">
        <v>2.0</v>
      </c>
      <c r="J53" s="3">
        <v>0.24</v>
      </c>
      <c r="K53" s="3">
        <v>0.2424</v>
      </c>
      <c r="L53" s="3">
        <v>0.7</v>
      </c>
      <c r="M53" s="3">
        <v>0.1642</v>
      </c>
      <c r="N53" s="3">
        <v>3.0</v>
      </c>
      <c r="O53" s="3">
        <v>25.0</v>
      </c>
      <c r="P53" s="3">
        <v>28.0</v>
      </c>
      <c r="Q53" s="8"/>
      <c r="R53" s="8">
        <f t="shared" si="2"/>
        <v>1</v>
      </c>
      <c r="S53" s="8">
        <f t="shared" si="3"/>
        <v>0</v>
      </c>
      <c r="T53" s="8" t="str">
        <f t="shared" si="4"/>
        <v>OK</v>
      </c>
      <c r="U53" s="8">
        <f t="shared" si="5"/>
        <v>0</v>
      </c>
      <c r="V53" s="8"/>
      <c r="W53" s="8"/>
      <c r="X53" s="8"/>
      <c r="Y53" s="8"/>
      <c r="Z53" s="8"/>
    </row>
    <row r="54" ht="15.75" customHeight="1">
      <c r="A54" s="3">
        <v>663.0</v>
      </c>
      <c r="B54" s="4">
        <v>40573.0</v>
      </c>
      <c r="C54" s="3">
        <v>1.0</v>
      </c>
      <c r="D54" s="3">
        <v>0.0</v>
      </c>
      <c r="E54" s="3">
        <v>1.0</v>
      </c>
      <c r="F54" s="3">
        <v>22.0</v>
      </c>
      <c r="G54" s="3" t="b">
        <f t="shared" si="1"/>
        <v>0</v>
      </c>
      <c r="H54" s="3">
        <v>0.0</v>
      </c>
      <c r="I54" s="3">
        <v>2.0</v>
      </c>
      <c r="J54" s="3">
        <v>0.24</v>
      </c>
      <c r="K54" s="3">
        <v>0.2273</v>
      </c>
      <c r="L54" s="3">
        <v>0.7</v>
      </c>
      <c r="M54" s="3">
        <v>0.194</v>
      </c>
      <c r="N54" s="3">
        <v>2.0</v>
      </c>
      <c r="O54" s="3">
        <v>19.0</v>
      </c>
      <c r="P54" s="3">
        <v>21.0</v>
      </c>
      <c r="Q54" s="8"/>
      <c r="R54" s="8">
        <f t="shared" si="2"/>
        <v>1</v>
      </c>
      <c r="S54" s="8">
        <f t="shared" si="3"/>
        <v>0</v>
      </c>
      <c r="T54" s="8" t="str">
        <f t="shared" si="4"/>
        <v>OK</v>
      </c>
      <c r="U54" s="8">
        <f t="shared" si="5"/>
        <v>0</v>
      </c>
      <c r="V54" s="8"/>
      <c r="W54" s="8"/>
      <c r="X54" s="8"/>
      <c r="Y54" s="8"/>
      <c r="Z54" s="8"/>
    </row>
    <row r="55" ht="15.75" customHeight="1">
      <c r="A55" s="3">
        <v>664.0</v>
      </c>
      <c r="B55" s="4">
        <v>40573.0</v>
      </c>
      <c r="C55" s="3">
        <v>1.0</v>
      </c>
      <c r="D55" s="3">
        <v>0.0</v>
      </c>
      <c r="E55" s="3">
        <v>1.0</v>
      </c>
      <c r="F55" s="3">
        <v>23.0</v>
      </c>
      <c r="G55" s="3" t="b">
        <f t="shared" si="1"/>
        <v>0</v>
      </c>
      <c r="H55" s="3">
        <v>0.0</v>
      </c>
      <c r="I55" s="3">
        <v>2.0</v>
      </c>
      <c r="J55" s="3">
        <v>0.24</v>
      </c>
      <c r="K55" s="3">
        <v>0.2121</v>
      </c>
      <c r="L55" s="3">
        <v>0.65</v>
      </c>
      <c r="M55" s="3">
        <v>0.2836</v>
      </c>
      <c r="N55" s="3">
        <v>5.0</v>
      </c>
      <c r="O55" s="3">
        <v>16.0</v>
      </c>
      <c r="P55" s="3">
        <v>21.0</v>
      </c>
      <c r="Q55" s="8"/>
      <c r="R55" s="8">
        <f t="shared" si="2"/>
        <v>1</v>
      </c>
      <c r="S55" s="8">
        <f t="shared" si="3"/>
        <v>0</v>
      </c>
      <c r="T55" s="8" t="str">
        <f t="shared" si="4"/>
        <v>OK</v>
      </c>
      <c r="U55" s="8">
        <f t="shared" si="5"/>
        <v>0</v>
      </c>
      <c r="V55" s="8"/>
      <c r="W55" s="8"/>
      <c r="X55" s="8"/>
      <c r="Y55" s="8"/>
      <c r="Z55" s="8"/>
    </row>
    <row r="56" ht="15.75" customHeight="1">
      <c r="A56" s="3">
        <v>665.0</v>
      </c>
      <c r="B56" s="4">
        <v>40574.0</v>
      </c>
      <c r="C56" s="3">
        <v>1.0</v>
      </c>
      <c r="D56" s="3">
        <v>0.0</v>
      </c>
      <c r="E56" s="3">
        <v>1.0</v>
      </c>
      <c r="F56" s="3">
        <v>0.0</v>
      </c>
      <c r="G56" s="3" t="b">
        <f t="shared" si="1"/>
        <v>0</v>
      </c>
      <c r="H56" s="3">
        <v>1.0</v>
      </c>
      <c r="I56" s="3">
        <v>2.0</v>
      </c>
      <c r="J56" s="3">
        <v>0.24</v>
      </c>
      <c r="K56" s="3">
        <v>0.2273</v>
      </c>
      <c r="L56" s="3">
        <v>0.65</v>
      </c>
      <c r="M56" s="3">
        <v>0.2239</v>
      </c>
      <c r="N56" s="3">
        <v>1.0</v>
      </c>
      <c r="O56" s="3">
        <v>6.0</v>
      </c>
      <c r="P56" s="3">
        <v>7.0</v>
      </c>
      <c r="Q56" s="8"/>
      <c r="R56" s="8">
        <f t="shared" si="2"/>
        <v>1</v>
      </c>
      <c r="S56" s="8">
        <f t="shared" si="3"/>
        <v>0</v>
      </c>
      <c r="T56" s="8" t="str">
        <f t="shared" si="4"/>
        <v>OK</v>
      </c>
      <c r="U56" s="8">
        <f t="shared" si="5"/>
        <v>0</v>
      </c>
      <c r="V56" s="8"/>
      <c r="W56" s="8"/>
      <c r="X56" s="8"/>
      <c r="Y56" s="8"/>
      <c r="Z56" s="8"/>
    </row>
    <row r="57" ht="15.75" customHeight="1">
      <c r="A57" s="3">
        <v>666.0</v>
      </c>
      <c r="B57" s="4">
        <v>40574.0</v>
      </c>
      <c r="C57" s="3">
        <v>1.0</v>
      </c>
      <c r="D57" s="3">
        <v>0.0</v>
      </c>
      <c r="E57" s="3">
        <v>1.0</v>
      </c>
      <c r="F57" s="3">
        <v>1.0</v>
      </c>
      <c r="G57" s="3" t="b">
        <f t="shared" si="1"/>
        <v>0</v>
      </c>
      <c r="H57" s="3">
        <v>1.0</v>
      </c>
      <c r="I57" s="3">
        <v>1.0</v>
      </c>
      <c r="J57" s="3">
        <v>0.22</v>
      </c>
      <c r="K57" s="3">
        <v>0.2121</v>
      </c>
      <c r="L57" s="3">
        <v>0.64</v>
      </c>
      <c r="M57" s="3">
        <v>0.2537</v>
      </c>
      <c r="N57" s="3">
        <v>2.0</v>
      </c>
      <c r="O57" s="3">
        <v>5.0</v>
      </c>
      <c r="P57" s="3">
        <v>7.0</v>
      </c>
      <c r="Q57" s="8"/>
      <c r="R57" s="8">
        <f t="shared" si="2"/>
        <v>1</v>
      </c>
      <c r="S57" s="8">
        <f t="shared" si="3"/>
        <v>0</v>
      </c>
      <c r="T57" s="8" t="str">
        <f t="shared" si="4"/>
        <v>OK</v>
      </c>
      <c r="U57" s="8">
        <f t="shared" si="5"/>
        <v>0</v>
      </c>
      <c r="V57" s="8"/>
      <c r="W57" s="8"/>
      <c r="X57" s="8"/>
      <c r="Y57" s="8"/>
      <c r="Z57" s="8"/>
    </row>
    <row r="58" ht="15.75" customHeight="1">
      <c r="A58" s="3">
        <v>667.0</v>
      </c>
      <c r="B58" s="4">
        <v>40574.0</v>
      </c>
      <c r="C58" s="3">
        <v>1.0</v>
      </c>
      <c r="D58" s="3">
        <v>0.0</v>
      </c>
      <c r="E58" s="3">
        <v>1.0</v>
      </c>
      <c r="F58" s="3">
        <v>2.0</v>
      </c>
      <c r="G58" s="3" t="b">
        <f t="shared" si="1"/>
        <v>0</v>
      </c>
      <c r="H58" s="3">
        <v>1.0</v>
      </c>
      <c r="I58" s="3">
        <v>1.0</v>
      </c>
      <c r="J58" s="3">
        <v>0.22</v>
      </c>
      <c r="K58" s="3">
        <v>0.2273</v>
      </c>
      <c r="L58" s="3">
        <v>0.64</v>
      </c>
      <c r="M58" s="3">
        <v>0.194</v>
      </c>
      <c r="N58" s="3">
        <v>0.0</v>
      </c>
      <c r="O58" s="3">
        <v>1.0</v>
      </c>
      <c r="P58" s="3">
        <v>1.0</v>
      </c>
      <c r="Q58" s="8"/>
      <c r="R58" s="8">
        <f t="shared" si="2"/>
        <v>1</v>
      </c>
      <c r="S58" s="8">
        <f t="shared" si="3"/>
        <v>0</v>
      </c>
      <c r="T58" s="8" t="str">
        <f t="shared" si="4"/>
        <v>OK</v>
      </c>
      <c r="U58" s="8">
        <f t="shared" si="5"/>
        <v>0</v>
      </c>
      <c r="V58" s="8"/>
      <c r="W58" s="8"/>
      <c r="X58" s="8"/>
      <c r="Y58" s="8"/>
      <c r="Z58" s="8"/>
    </row>
    <row r="59" ht="15.75" customHeight="1">
      <c r="A59" s="3">
        <v>668.0</v>
      </c>
      <c r="B59" s="4">
        <v>40574.0</v>
      </c>
      <c r="C59" s="3">
        <v>1.0</v>
      </c>
      <c r="D59" s="3">
        <v>0.0</v>
      </c>
      <c r="E59" s="3">
        <v>1.0</v>
      </c>
      <c r="F59" s="3">
        <v>3.0</v>
      </c>
      <c r="G59" s="3" t="b">
        <f t="shared" si="1"/>
        <v>0</v>
      </c>
      <c r="H59" s="3">
        <v>1.0</v>
      </c>
      <c r="I59" s="3">
        <v>1.0</v>
      </c>
      <c r="J59" s="3">
        <v>0.22</v>
      </c>
      <c r="K59" s="3">
        <v>0.2273</v>
      </c>
      <c r="L59" s="3">
        <v>0.64</v>
      </c>
      <c r="M59" s="3">
        <v>0.194</v>
      </c>
      <c r="N59" s="3">
        <v>0.0</v>
      </c>
      <c r="O59" s="3">
        <v>2.0</v>
      </c>
      <c r="P59" s="3">
        <v>2.0</v>
      </c>
      <c r="Q59" s="8"/>
      <c r="R59" s="8">
        <f t="shared" si="2"/>
        <v>1</v>
      </c>
      <c r="S59" s="8">
        <f t="shared" si="3"/>
        <v>0</v>
      </c>
      <c r="T59" s="8" t="str">
        <f t="shared" si="4"/>
        <v>OK</v>
      </c>
      <c r="U59" s="8">
        <f t="shared" si="5"/>
        <v>0</v>
      </c>
      <c r="V59" s="8"/>
      <c r="W59" s="8"/>
      <c r="X59" s="8"/>
      <c r="Y59" s="8"/>
      <c r="Z59" s="8"/>
    </row>
    <row r="60" ht="15.75" customHeight="1">
      <c r="A60" s="3">
        <v>669.0</v>
      </c>
      <c r="B60" s="4">
        <v>40574.0</v>
      </c>
      <c r="C60" s="3">
        <v>1.0</v>
      </c>
      <c r="D60" s="3">
        <v>0.0</v>
      </c>
      <c r="E60" s="3">
        <v>1.0</v>
      </c>
      <c r="F60" s="3">
        <v>4.0</v>
      </c>
      <c r="G60" s="3" t="b">
        <f t="shared" si="1"/>
        <v>0</v>
      </c>
      <c r="H60" s="3">
        <v>1.0</v>
      </c>
      <c r="I60" s="3">
        <v>1.0</v>
      </c>
      <c r="J60" s="3">
        <v>0.2</v>
      </c>
      <c r="K60" s="3">
        <v>0.197</v>
      </c>
      <c r="L60" s="3">
        <v>0.59</v>
      </c>
      <c r="M60" s="3">
        <v>0.2239</v>
      </c>
      <c r="N60" s="3">
        <v>0.0</v>
      </c>
      <c r="O60" s="3">
        <v>2.0</v>
      </c>
      <c r="P60" s="3">
        <v>2.0</v>
      </c>
      <c r="Q60" s="8"/>
      <c r="R60" s="8">
        <f t="shared" si="2"/>
        <v>1</v>
      </c>
      <c r="S60" s="8">
        <f t="shared" si="3"/>
        <v>0</v>
      </c>
      <c r="T60" s="8" t="str">
        <f t="shared" si="4"/>
        <v>OK</v>
      </c>
      <c r="U60" s="8">
        <f t="shared" si="5"/>
        <v>0</v>
      </c>
      <c r="V60" s="8"/>
      <c r="W60" s="8"/>
      <c r="X60" s="8"/>
      <c r="Y60" s="8"/>
      <c r="Z60" s="8"/>
    </row>
    <row r="61" ht="15.75" customHeight="1">
      <c r="A61" s="3">
        <v>670.0</v>
      </c>
      <c r="B61" s="4">
        <v>40574.0</v>
      </c>
      <c r="C61" s="3">
        <v>1.0</v>
      </c>
      <c r="D61" s="3">
        <v>0.0</v>
      </c>
      <c r="E61" s="3">
        <v>1.0</v>
      </c>
      <c r="F61" s="3">
        <v>5.0</v>
      </c>
      <c r="G61" s="3" t="b">
        <f t="shared" si="1"/>
        <v>0</v>
      </c>
      <c r="H61" s="3">
        <v>1.0</v>
      </c>
      <c r="I61" s="3">
        <v>1.0</v>
      </c>
      <c r="J61" s="3">
        <v>0.18</v>
      </c>
      <c r="K61" s="3">
        <v>0.1667</v>
      </c>
      <c r="L61" s="3">
        <v>0.64</v>
      </c>
      <c r="M61" s="3">
        <v>0.2836</v>
      </c>
      <c r="N61" s="3">
        <v>0.0</v>
      </c>
      <c r="O61" s="3">
        <v>8.0</v>
      </c>
      <c r="P61" s="3">
        <v>8.0</v>
      </c>
      <c r="Q61" s="8"/>
      <c r="R61" s="8">
        <f t="shared" si="2"/>
        <v>1</v>
      </c>
      <c r="S61" s="8">
        <f t="shared" si="3"/>
        <v>0</v>
      </c>
      <c r="T61" s="8" t="str">
        <f t="shared" si="4"/>
        <v>OK</v>
      </c>
      <c r="U61" s="8">
        <f t="shared" si="5"/>
        <v>0</v>
      </c>
      <c r="V61" s="8"/>
      <c r="W61" s="8"/>
      <c r="X61" s="8"/>
      <c r="Y61" s="8"/>
      <c r="Z61" s="8"/>
    </row>
    <row r="62" ht="15.75" customHeight="1">
      <c r="A62" s="3">
        <v>671.0</v>
      </c>
      <c r="B62" s="4">
        <v>40574.0</v>
      </c>
      <c r="C62" s="3">
        <v>1.0</v>
      </c>
      <c r="D62" s="3">
        <v>0.0</v>
      </c>
      <c r="E62" s="3">
        <v>1.0</v>
      </c>
      <c r="F62" s="3">
        <v>6.0</v>
      </c>
      <c r="G62" s="3" t="b">
        <f t="shared" si="1"/>
        <v>0</v>
      </c>
      <c r="H62" s="3">
        <v>1.0</v>
      </c>
      <c r="I62" s="3">
        <v>1.0</v>
      </c>
      <c r="J62" s="3">
        <v>0.16</v>
      </c>
      <c r="K62" s="3">
        <v>0.1364</v>
      </c>
      <c r="L62" s="3">
        <v>0.69</v>
      </c>
      <c r="M62" s="3">
        <v>0.3284</v>
      </c>
      <c r="N62" s="3">
        <v>0.0</v>
      </c>
      <c r="O62" s="3">
        <v>37.0</v>
      </c>
      <c r="P62" s="3">
        <v>37.0</v>
      </c>
      <c r="Q62" s="8"/>
      <c r="R62" s="8">
        <f t="shared" si="2"/>
        <v>1</v>
      </c>
      <c r="S62" s="8">
        <f t="shared" si="3"/>
        <v>0</v>
      </c>
      <c r="T62" s="8" t="str">
        <f t="shared" si="4"/>
        <v>OK</v>
      </c>
      <c r="U62" s="8">
        <f t="shared" si="5"/>
        <v>0</v>
      </c>
      <c r="V62" s="8"/>
      <c r="W62" s="8"/>
      <c r="X62" s="8"/>
      <c r="Y62" s="8"/>
      <c r="Z62" s="8"/>
    </row>
    <row r="63" ht="15.75" customHeight="1">
      <c r="A63" s="3">
        <v>672.0</v>
      </c>
      <c r="B63" s="4">
        <v>40574.0</v>
      </c>
      <c r="C63" s="3">
        <v>1.0</v>
      </c>
      <c r="D63" s="3">
        <v>0.0</v>
      </c>
      <c r="E63" s="3">
        <v>1.0</v>
      </c>
      <c r="F63" s="3">
        <v>7.0</v>
      </c>
      <c r="G63" s="3" t="b">
        <f t="shared" si="1"/>
        <v>0</v>
      </c>
      <c r="H63" s="3">
        <v>1.0</v>
      </c>
      <c r="I63" s="3">
        <v>2.0</v>
      </c>
      <c r="J63" s="3">
        <v>0.16</v>
      </c>
      <c r="K63" s="3">
        <v>0.1364</v>
      </c>
      <c r="L63" s="3">
        <v>0.64</v>
      </c>
      <c r="M63" s="3">
        <v>0.2836</v>
      </c>
      <c r="N63" s="3">
        <v>1.0</v>
      </c>
      <c r="O63" s="3">
        <v>71.0</v>
      </c>
      <c r="P63" s="3">
        <v>72.0</v>
      </c>
      <c r="Q63" s="8"/>
      <c r="R63" s="8">
        <f t="shared" si="2"/>
        <v>1</v>
      </c>
      <c r="S63" s="8">
        <f t="shared" si="3"/>
        <v>0</v>
      </c>
      <c r="T63" s="8" t="str">
        <f t="shared" si="4"/>
        <v>OK</v>
      </c>
      <c r="U63" s="8">
        <f t="shared" si="5"/>
        <v>0</v>
      </c>
      <c r="V63" s="8"/>
      <c r="W63" s="8"/>
      <c r="X63" s="8"/>
      <c r="Y63" s="8"/>
      <c r="Z63" s="8"/>
    </row>
    <row r="64" ht="15.75" customHeight="1">
      <c r="A64" s="3">
        <v>673.0</v>
      </c>
      <c r="B64" s="4">
        <v>40574.0</v>
      </c>
      <c r="C64" s="3">
        <v>1.0</v>
      </c>
      <c r="D64" s="3">
        <v>0.0</v>
      </c>
      <c r="E64" s="3">
        <v>1.0</v>
      </c>
      <c r="F64" s="3">
        <v>8.0</v>
      </c>
      <c r="G64" s="3" t="b">
        <f t="shared" si="1"/>
        <v>0</v>
      </c>
      <c r="H64" s="3">
        <v>1.0</v>
      </c>
      <c r="I64" s="3">
        <v>2.0</v>
      </c>
      <c r="J64" s="3">
        <v>0.16</v>
      </c>
      <c r="K64" s="3">
        <v>0.1364</v>
      </c>
      <c r="L64" s="3">
        <v>0.59</v>
      </c>
      <c r="M64" s="3">
        <v>0.2836</v>
      </c>
      <c r="N64" s="3">
        <v>3.0</v>
      </c>
      <c r="O64" s="3">
        <v>182.0</v>
      </c>
      <c r="P64" s="3">
        <v>185.0</v>
      </c>
      <c r="Q64" s="8"/>
      <c r="R64" s="8">
        <f t="shared" si="2"/>
        <v>1</v>
      </c>
      <c r="S64" s="8">
        <f t="shared" si="3"/>
        <v>0</v>
      </c>
      <c r="T64" s="8" t="str">
        <f t="shared" si="4"/>
        <v>OK</v>
      </c>
      <c r="U64" s="8">
        <f t="shared" si="5"/>
        <v>0</v>
      </c>
      <c r="V64" s="8"/>
      <c r="W64" s="8"/>
      <c r="X64" s="8"/>
      <c r="Y64" s="8"/>
      <c r="Z64" s="8"/>
    </row>
    <row r="65" ht="15.75" customHeight="1">
      <c r="A65" s="3">
        <v>674.0</v>
      </c>
      <c r="B65" s="4">
        <v>40574.0</v>
      </c>
      <c r="C65" s="3">
        <v>1.0</v>
      </c>
      <c r="D65" s="3">
        <v>0.0</v>
      </c>
      <c r="E65" s="3">
        <v>1.0</v>
      </c>
      <c r="F65" s="3">
        <v>9.0</v>
      </c>
      <c r="G65" s="3" t="b">
        <f t="shared" si="1"/>
        <v>0</v>
      </c>
      <c r="H65" s="3">
        <v>1.0</v>
      </c>
      <c r="I65" s="3">
        <v>2.0</v>
      </c>
      <c r="J65" s="3">
        <v>0.16</v>
      </c>
      <c r="K65" s="3">
        <v>0.1364</v>
      </c>
      <c r="L65" s="3">
        <v>0.59</v>
      </c>
      <c r="M65" s="3">
        <v>0.2985</v>
      </c>
      <c r="N65" s="3">
        <v>0.0</v>
      </c>
      <c r="O65" s="3">
        <v>112.0</v>
      </c>
      <c r="P65" s="3">
        <v>112.0</v>
      </c>
      <c r="Q65" s="8"/>
      <c r="R65" s="8">
        <f t="shared" si="2"/>
        <v>1</v>
      </c>
      <c r="S65" s="8">
        <f t="shared" si="3"/>
        <v>0</v>
      </c>
      <c r="T65" s="8" t="str">
        <f t="shared" si="4"/>
        <v>OK</v>
      </c>
      <c r="U65" s="8">
        <f t="shared" si="5"/>
        <v>0</v>
      </c>
      <c r="V65" s="8"/>
      <c r="W65" s="8"/>
      <c r="X65" s="8"/>
      <c r="Y65" s="8"/>
      <c r="Z65" s="8"/>
    </row>
    <row r="66" ht="15.75" customHeight="1">
      <c r="A66" s="3">
        <v>675.0</v>
      </c>
      <c r="B66" s="4">
        <v>40574.0</v>
      </c>
      <c r="C66" s="3">
        <v>1.0</v>
      </c>
      <c r="D66" s="3">
        <v>0.0</v>
      </c>
      <c r="E66" s="3">
        <v>1.0</v>
      </c>
      <c r="F66" s="3">
        <v>10.0</v>
      </c>
      <c r="G66" s="3" t="b">
        <f t="shared" si="1"/>
        <v>0</v>
      </c>
      <c r="H66" s="3">
        <v>1.0</v>
      </c>
      <c r="I66" s="3">
        <v>2.0</v>
      </c>
      <c r="J66" s="3">
        <v>0.16</v>
      </c>
      <c r="K66" s="3">
        <v>0.1515</v>
      </c>
      <c r="L66" s="3">
        <v>0.59</v>
      </c>
      <c r="M66" s="3">
        <v>0.194</v>
      </c>
      <c r="N66" s="3">
        <v>1.0</v>
      </c>
      <c r="O66" s="3">
        <v>68.0</v>
      </c>
      <c r="P66" s="3">
        <v>69.0</v>
      </c>
      <c r="Q66" s="8"/>
      <c r="R66" s="8">
        <f t="shared" si="2"/>
        <v>1</v>
      </c>
      <c r="S66" s="8">
        <f t="shared" si="3"/>
        <v>0</v>
      </c>
      <c r="T66" s="8" t="str">
        <f t="shared" si="4"/>
        <v>OK</v>
      </c>
      <c r="U66" s="8">
        <f t="shared" si="5"/>
        <v>0</v>
      </c>
      <c r="V66" s="8"/>
      <c r="W66" s="8"/>
      <c r="X66" s="8"/>
      <c r="Y66" s="8"/>
      <c r="Z66" s="8"/>
    </row>
    <row r="67" ht="15.75" customHeight="1">
      <c r="A67" s="3">
        <v>676.0</v>
      </c>
      <c r="B67" s="4">
        <v>40574.0</v>
      </c>
      <c r="C67" s="3">
        <v>1.0</v>
      </c>
      <c r="D67" s="3">
        <v>0.0</v>
      </c>
      <c r="E67" s="3">
        <v>1.0</v>
      </c>
      <c r="F67" s="3">
        <v>11.0</v>
      </c>
      <c r="G67" s="3" t="b">
        <f t="shared" si="1"/>
        <v>0</v>
      </c>
      <c r="H67" s="3">
        <v>1.0</v>
      </c>
      <c r="I67" s="3">
        <v>2.0</v>
      </c>
      <c r="J67" s="3">
        <v>0.16</v>
      </c>
      <c r="K67" s="3">
        <v>0.1515</v>
      </c>
      <c r="L67" s="3">
        <v>0.59</v>
      </c>
      <c r="M67" s="3">
        <v>0.194</v>
      </c>
      <c r="N67" s="3">
        <v>2.0</v>
      </c>
      <c r="O67" s="3">
        <v>46.0</v>
      </c>
      <c r="P67" s="3">
        <v>48.0</v>
      </c>
      <c r="Q67" s="8"/>
      <c r="R67" s="8">
        <f t="shared" si="2"/>
        <v>1</v>
      </c>
      <c r="S67" s="8">
        <f t="shared" si="3"/>
        <v>0</v>
      </c>
      <c r="T67" s="8" t="str">
        <f t="shared" si="4"/>
        <v>OK</v>
      </c>
      <c r="U67" s="8">
        <f t="shared" si="5"/>
        <v>0</v>
      </c>
      <c r="V67" s="8"/>
      <c r="W67" s="8"/>
      <c r="X67" s="8"/>
      <c r="Y67" s="8"/>
      <c r="Z67" s="8"/>
    </row>
    <row r="68" ht="15.75" customHeight="1">
      <c r="A68" s="3">
        <v>677.0</v>
      </c>
      <c r="B68" s="4">
        <v>40574.0</v>
      </c>
      <c r="C68" s="3">
        <v>1.0</v>
      </c>
      <c r="D68" s="3">
        <v>0.0</v>
      </c>
      <c r="E68" s="3">
        <v>1.0</v>
      </c>
      <c r="F68" s="3">
        <v>12.0</v>
      </c>
      <c r="G68" s="3" t="b">
        <f t="shared" si="1"/>
        <v>0</v>
      </c>
      <c r="H68" s="3">
        <v>1.0</v>
      </c>
      <c r="I68" s="3">
        <v>2.0</v>
      </c>
      <c r="J68" s="3">
        <v>0.18</v>
      </c>
      <c r="K68" s="3">
        <v>0.2121</v>
      </c>
      <c r="L68" s="3">
        <v>0.55</v>
      </c>
      <c r="M68" s="3">
        <v>0.1045</v>
      </c>
      <c r="N68" s="3">
        <v>6.0</v>
      </c>
      <c r="O68" s="3">
        <v>62.0</v>
      </c>
      <c r="P68" s="3">
        <v>68.0</v>
      </c>
      <c r="Q68" s="8"/>
      <c r="R68" s="8">
        <f t="shared" si="2"/>
        <v>1</v>
      </c>
      <c r="S68" s="8">
        <f t="shared" si="3"/>
        <v>0</v>
      </c>
      <c r="T68" s="8" t="str">
        <f t="shared" si="4"/>
        <v>OK</v>
      </c>
      <c r="U68" s="8">
        <f t="shared" si="5"/>
        <v>0</v>
      </c>
      <c r="V68" s="8"/>
      <c r="W68" s="8"/>
      <c r="X68" s="8"/>
      <c r="Y68" s="8"/>
      <c r="Z68" s="8"/>
    </row>
    <row r="69" ht="15.75" customHeight="1">
      <c r="A69" s="3">
        <v>678.0</v>
      </c>
      <c r="B69" s="4">
        <v>40574.0</v>
      </c>
      <c r="C69" s="3">
        <v>1.0</v>
      </c>
      <c r="D69" s="3">
        <v>0.0</v>
      </c>
      <c r="E69" s="3">
        <v>1.0</v>
      </c>
      <c r="F69" s="3">
        <v>13.0</v>
      </c>
      <c r="G69" s="3" t="b">
        <f t="shared" si="1"/>
        <v>0</v>
      </c>
      <c r="H69" s="3">
        <v>1.0</v>
      </c>
      <c r="I69" s="3">
        <v>2.0</v>
      </c>
      <c r="J69" s="3">
        <v>0.16</v>
      </c>
      <c r="K69" s="3">
        <v>0.2273</v>
      </c>
      <c r="L69" s="3">
        <v>0.59</v>
      </c>
      <c r="M69" s="3">
        <v>0.0</v>
      </c>
      <c r="N69" s="3">
        <v>2.0</v>
      </c>
      <c r="O69" s="3">
        <v>52.0</v>
      </c>
      <c r="P69" s="3">
        <v>54.0</v>
      </c>
      <c r="Q69" s="8"/>
      <c r="R69" s="8">
        <f t="shared" si="2"/>
        <v>1</v>
      </c>
      <c r="S69" s="8">
        <f t="shared" si="3"/>
        <v>0</v>
      </c>
      <c r="T69" s="8" t="str">
        <f t="shared" si="4"/>
        <v>OK</v>
      </c>
      <c r="U69" s="8">
        <f t="shared" si="5"/>
        <v>0</v>
      </c>
      <c r="V69" s="8"/>
      <c r="W69" s="8"/>
      <c r="X69" s="8"/>
      <c r="Y69" s="8"/>
      <c r="Z69" s="8"/>
    </row>
    <row r="70" ht="15.75" customHeight="1">
      <c r="A70" s="3">
        <v>679.0</v>
      </c>
      <c r="B70" s="4">
        <v>40574.0</v>
      </c>
      <c r="C70" s="3">
        <v>1.0</v>
      </c>
      <c r="D70" s="3">
        <v>0.0</v>
      </c>
      <c r="E70" s="3">
        <v>1.0</v>
      </c>
      <c r="F70" s="3">
        <v>14.0</v>
      </c>
      <c r="G70" s="3" t="b">
        <f t="shared" si="1"/>
        <v>0</v>
      </c>
      <c r="H70" s="3">
        <v>1.0</v>
      </c>
      <c r="I70" s="3">
        <v>2.0</v>
      </c>
      <c r="J70" s="3">
        <v>0.18</v>
      </c>
      <c r="K70" s="3">
        <v>0.197</v>
      </c>
      <c r="L70" s="3">
        <v>0.55</v>
      </c>
      <c r="M70" s="3">
        <v>0.1343</v>
      </c>
      <c r="N70" s="3">
        <v>1.0</v>
      </c>
      <c r="O70" s="3">
        <v>85.0</v>
      </c>
      <c r="P70" s="3">
        <v>86.0</v>
      </c>
      <c r="Q70" s="8"/>
      <c r="R70" s="8">
        <f t="shared" si="2"/>
        <v>1</v>
      </c>
      <c r="S70" s="8">
        <f t="shared" si="3"/>
        <v>0</v>
      </c>
      <c r="T70" s="8" t="str">
        <f t="shared" si="4"/>
        <v>OK</v>
      </c>
      <c r="U70" s="8">
        <f t="shared" si="5"/>
        <v>0</v>
      </c>
      <c r="V70" s="8"/>
      <c r="W70" s="8"/>
      <c r="X70" s="8"/>
      <c r="Y70" s="8"/>
      <c r="Z70" s="8"/>
    </row>
    <row r="71" ht="15.75" customHeight="1">
      <c r="A71" s="3">
        <v>680.0</v>
      </c>
      <c r="B71" s="4">
        <v>40574.0</v>
      </c>
      <c r="C71" s="3">
        <v>1.0</v>
      </c>
      <c r="D71" s="3">
        <v>0.0</v>
      </c>
      <c r="E71" s="3">
        <v>1.0</v>
      </c>
      <c r="F71" s="3">
        <v>15.0</v>
      </c>
      <c r="G71" s="3" t="b">
        <f t="shared" si="1"/>
        <v>0</v>
      </c>
      <c r="H71" s="3">
        <v>1.0</v>
      </c>
      <c r="I71" s="3">
        <v>2.0</v>
      </c>
      <c r="J71" s="3">
        <v>0.16</v>
      </c>
      <c r="K71" s="3">
        <v>0.1818</v>
      </c>
      <c r="L71" s="3">
        <v>0.59</v>
      </c>
      <c r="M71" s="3">
        <v>0.1343</v>
      </c>
      <c r="N71" s="3">
        <v>3.0</v>
      </c>
      <c r="O71" s="3">
        <v>41.0</v>
      </c>
      <c r="P71" s="3">
        <v>44.0</v>
      </c>
      <c r="Q71" s="8"/>
      <c r="R71" s="8">
        <f t="shared" si="2"/>
        <v>1</v>
      </c>
      <c r="S71" s="8">
        <f t="shared" si="3"/>
        <v>0</v>
      </c>
      <c r="T71" s="8" t="str">
        <f t="shared" si="4"/>
        <v>OK</v>
      </c>
      <c r="U71" s="8">
        <f t="shared" si="5"/>
        <v>0</v>
      </c>
      <c r="V71" s="8"/>
      <c r="W71" s="8"/>
      <c r="X71" s="8"/>
      <c r="Y71" s="8"/>
      <c r="Z71" s="8"/>
    </row>
    <row r="72" ht="15.75" customHeight="1">
      <c r="A72" s="3">
        <v>681.0</v>
      </c>
      <c r="B72" s="4">
        <v>40574.0</v>
      </c>
      <c r="C72" s="3">
        <v>1.0</v>
      </c>
      <c r="D72" s="3">
        <v>0.0</v>
      </c>
      <c r="E72" s="3">
        <v>1.0</v>
      </c>
      <c r="F72" s="3">
        <v>16.0</v>
      </c>
      <c r="G72" s="3" t="b">
        <f t="shared" si="1"/>
        <v>0</v>
      </c>
      <c r="H72" s="3">
        <v>1.0</v>
      </c>
      <c r="I72" s="3">
        <v>2.0</v>
      </c>
      <c r="J72" s="3">
        <v>0.16</v>
      </c>
      <c r="K72" s="3">
        <v>0.1818</v>
      </c>
      <c r="L72" s="3">
        <v>0.56</v>
      </c>
      <c r="M72" s="3">
        <v>0.194</v>
      </c>
      <c r="N72" s="3">
        <v>3.0</v>
      </c>
      <c r="O72" s="3">
        <v>83.0</v>
      </c>
      <c r="P72" s="3">
        <v>86.0</v>
      </c>
      <c r="Q72" s="8"/>
      <c r="R72" s="8">
        <f t="shared" si="2"/>
        <v>1</v>
      </c>
      <c r="S72" s="8">
        <f t="shared" si="3"/>
        <v>0</v>
      </c>
      <c r="T72" s="8" t="str">
        <f t="shared" si="4"/>
        <v>OK</v>
      </c>
      <c r="U72" s="8">
        <f t="shared" si="5"/>
        <v>0</v>
      </c>
      <c r="V72" s="8"/>
      <c r="W72" s="8"/>
      <c r="X72" s="8"/>
      <c r="Y72" s="8"/>
      <c r="Z72" s="8"/>
    </row>
    <row r="73" ht="15.75" customHeight="1">
      <c r="A73" s="3">
        <v>682.0</v>
      </c>
      <c r="B73" s="4">
        <v>40574.0</v>
      </c>
      <c r="C73" s="3">
        <v>1.0</v>
      </c>
      <c r="D73" s="3">
        <v>0.0</v>
      </c>
      <c r="E73" s="3">
        <v>1.0</v>
      </c>
      <c r="F73" s="3">
        <v>17.0</v>
      </c>
      <c r="G73" s="3" t="b">
        <f t="shared" si="1"/>
        <v>0</v>
      </c>
      <c r="H73" s="3">
        <v>1.0</v>
      </c>
      <c r="I73" s="3">
        <v>2.0</v>
      </c>
      <c r="J73" s="3">
        <v>0.16</v>
      </c>
      <c r="K73" s="3">
        <v>0.1515</v>
      </c>
      <c r="L73" s="3">
        <v>0.59</v>
      </c>
      <c r="M73" s="3">
        <v>0.194</v>
      </c>
      <c r="N73" s="3">
        <v>6.0</v>
      </c>
      <c r="O73" s="3">
        <v>155.0</v>
      </c>
      <c r="P73" s="3">
        <v>161.0</v>
      </c>
      <c r="Q73" s="8"/>
      <c r="R73" s="8">
        <f t="shared" si="2"/>
        <v>1</v>
      </c>
      <c r="S73" s="8">
        <f t="shared" si="3"/>
        <v>0</v>
      </c>
      <c r="T73" s="8" t="str">
        <f t="shared" si="4"/>
        <v>OK</v>
      </c>
      <c r="U73" s="8">
        <f t="shared" si="5"/>
        <v>0</v>
      </c>
      <c r="V73" s="8"/>
      <c r="W73" s="8"/>
      <c r="X73" s="8"/>
      <c r="Y73" s="8"/>
      <c r="Z73" s="8"/>
    </row>
    <row r="74" ht="15.75" customHeight="1">
      <c r="A74" s="3">
        <v>683.0</v>
      </c>
      <c r="B74" s="4">
        <v>40574.0</v>
      </c>
      <c r="C74" s="3">
        <v>1.0</v>
      </c>
      <c r="D74" s="3">
        <v>0.0</v>
      </c>
      <c r="E74" s="3">
        <v>1.0</v>
      </c>
      <c r="F74" s="3">
        <v>18.0</v>
      </c>
      <c r="G74" s="3" t="b">
        <f t="shared" si="1"/>
        <v>0</v>
      </c>
      <c r="H74" s="3">
        <v>1.0</v>
      </c>
      <c r="I74" s="3">
        <v>2.0</v>
      </c>
      <c r="J74" s="3">
        <v>0.16</v>
      </c>
      <c r="K74" s="3">
        <v>0.1515</v>
      </c>
      <c r="L74" s="3">
        <v>0.55</v>
      </c>
      <c r="M74" s="3">
        <v>0.2239</v>
      </c>
      <c r="N74" s="3">
        <v>3.0</v>
      </c>
      <c r="O74" s="3">
        <v>153.0</v>
      </c>
      <c r="P74" s="3">
        <v>156.0</v>
      </c>
      <c r="Q74" s="8"/>
      <c r="R74" s="8">
        <f t="shared" si="2"/>
        <v>1</v>
      </c>
      <c r="S74" s="8">
        <f t="shared" si="3"/>
        <v>0</v>
      </c>
      <c r="T74" s="8" t="str">
        <f t="shared" si="4"/>
        <v>OK</v>
      </c>
      <c r="U74" s="8">
        <f t="shared" si="5"/>
        <v>0</v>
      </c>
      <c r="V74" s="8"/>
      <c r="W74" s="8"/>
      <c r="X74" s="8"/>
      <c r="Y74" s="8"/>
      <c r="Z74" s="8"/>
    </row>
    <row r="75" ht="15.75" customHeight="1">
      <c r="A75" s="3">
        <v>684.0</v>
      </c>
      <c r="B75" s="4">
        <v>40574.0</v>
      </c>
      <c r="C75" s="3">
        <v>1.0</v>
      </c>
      <c r="D75" s="3">
        <v>0.0</v>
      </c>
      <c r="E75" s="3">
        <v>1.0</v>
      </c>
      <c r="F75" s="3">
        <v>19.0</v>
      </c>
      <c r="G75" s="3" t="b">
        <f t="shared" si="1"/>
        <v>0</v>
      </c>
      <c r="H75" s="3">
        <v>1.0</v>
      </c>
      <c r="I75" s="3">
        <v>1.0</v>
      </c>
      <c r="J75" s="3">
        <v>0.3</v>
      </c>
      <c r="K75" s="3">
        <v>0.3182</v>
      </c>
      <c r="L75" s="3">
        <v>0.61</v>
      </c>
      <c r="M75" s="3">
        <v>0.1045</v>
      </c>
      <c r="N75" s="3">
        <v>3.0</v>
      </c>
      <c r="O75" s="3">
        <v>108.0</v>
      </c>
      <c r="P75" s="3">
        <v>111.0</v>
      </c>
      <c r="Q75" s="8"/>
      <c r="R75" s="8">
        <f t="shared" si="2"/>
        <v>1</v>
      </c>
      <c r="S75" s="8">
        <f t="shared" si="3"/>
        <v>0</v>
      </c>
      <c r="T75" s="8" t="str">
        <f t="shared" si="4"/>
        <v>OK</v>
      </c>
      <c r="U75" s="8">
        <f t="shared" si="5"/>
        <v>0</v>
      </c>
      <c r="V75" s="8"/>
      <c r="W75" s="8"/>
      <c r="X75" s="8"/>
      <c r="Y75" s="8"/>
      <c r="Z75" s="8"/>
    </row>
    <row r="76" ht="15.75" customHeight="1">
      <c r="A76" s="3">
        <v>685.0</v>
      </c>
      <c r="B76" s="4">
        <v>40574.0</v>
      </c>
      <c r="C76" s="3">
        <v>1.0</v>
      </c>
      <c r="D76" s="3">
        <v>0.0</v>
      </c>
      <c r="E76" s="3">
        <v>1.0</v>
      </c>
      <c r="F76" s="3">
        <v>20.0</v>
      </c>
      <c r="G76" s="3" t="b">
        <f t="shared" si="1"/>
        <v>0</v>
      </c>
      <c r="H76" s="3">
        <v>1.0</v>
      </c>
      <c r="I76" s="3">
        <v>3.0</v>
      </c>
      <c r="J76" s="3">
        <v>0.16</v>
      </c>
      <c r="K76" s="3">
        <v>0.1667</v>
      </c>
      <c r="L76" s="3">
        <v>0.59</v>
      </c>
      <c r="M76" s="3">
        <v>0.1642</v>
      </c>
      <c r="N76" s="3">
        <v>0.0</v>
      </c>
      <c r="O76" s="3">
        <v>78.0</v>
      </c>
      <c r="P76" s="3">
        <v>78.0</v>
      </c>
      <c r="Q76" s="8"/>
      <c r="R76" s="8">
        <f t="shared" si="2"/>
        <v>1</v>
      </c>
      <c r="S76" s="8">
        <f t="shared" si="3"/>
        <v>0</v>
      </c>
      <c r="T76" s="8" t="str">
        <f t="shared" si="4"/>
        <v>OK</v>
      </c>
      <c r="U76" s="8">
        <f t="shared" si="5"/>
        <v>0</v>
      </c>
      <c r="V76" s="8"/>
      <c r="W76" s="8"/>
      <c r="X76" s="8"/>
      <c r="Y76" s="8"/>
      <c r="Z76" s="8"/>
    </row>
    <row r="77" ht="15.75" customHeight="1">
      <c r="A77" s="3">
        <v>686.0</v>
      </c>
      <c r="B77" s="4">
        <v>40574.0</v>
      </c>
      <c r="C77" s="3">
        <v>1.0</v>
      </c>
      <c r="D77" s="3">
        <v>0.0</v>
      </c>
      <c r="E77" s="3">
        <v>1.0</v>
      </c>
      <c r="F77" s="3">
        <v>21.0</v>
      </c>
      <c r="G77" s="3" t="b">
        <f t="shared" si="1"/>
        <v>0</v>
      </c>
      <c r="H77" s="3">
        <v>1.0</v>
      </c>
      <c r="I77" s="3">
        <v>3.0</v>
      </c>
      <c r="J77" s="3">
        <v>0.16</v>
      </c>
      <c r="K77" s="3">
        <v>0.197</v>
      </c>
      <c r="L77" s="3">
        <v>0.59</v>
      </c>
      <c r="M77" s="3">
        <v>0.0896</v>
      </c>
      <c r="N77" s="3">
        <v>3.0</v>
      </c>
      <c r="O77" s="3">
        <v>53.0</v>
      </c>
      <c r="P77" s="3">
        <v>56.0</v>
      </c>
      <c r="Q77" s="8"/>
      <c r="R77" s="8">
        <f t="shared" si="2"/>
        <v>1</v>
      </c>
      <c r="S77" s="8">
        <f t="shared" si="3"/>
        <v>0</v>
      </c>
      <c r="T77" s="8" t="str">
        <f t="shared" si="4"/>
        <v>OK</v>
      </c>
      <c r="U77" s="8">
        <f t="shared" si="5"/>
        <v>0</v>
      </c>
      <c r="V77" s="8"/>
      <c r="W77" s="8"/>
      <c r="X77" s="8"/>
      <c r="Y77" s="8"/>
      <c r="Z77" s="8"/>
    </row>
    <row r="78" ht="15.75" customHeight="1">
      <c r="A78" s="3">
        <v>687.0</v>
      </c>
      <c r="B78" s="4">
        <v>40574.0</v>
      </c>
      <c r="C78" s="3">
        <v>1.0</v>
      </c>
      <c r="D78" s="3">
        <v>0.0</v>
      </c>
      <c r="E78" s="3">
        <v>1.0</v>
      </c>
      <c r="F78" s="3">
        <v>22.0</v>
      </c>
      <c r="G78" s="3" t="b">
        <f t="shared" si="1"/>
        <v>0</v>
      </c>
      <c r="H78" s="3">
        <v>1.0</v>
      </c>
      <c r="I78" s="3">
        <v>2.0</v>
      </c>
      <c r="J78" s="3">
        <v>0.16</v>
      </c>
      <c r="K78" s="3">
        <v>0.1818</v>
      </c>
      <c r="L78" s="3">
        <v>0.59</v>
      </c>
      <c r="M78" s="3">
        <v>0.1045</v>
      </c>
      <c r="N78" s="3">
        <v>0.0</v>
      </c>
      <c r="O78" s="3">
        <v>34.0</v>
      </c>
      <c r="P78" s="3">
        <v>34.0</v>
      </c>
      <c r="Q78" s="8"/>
      <c r="R78" s="8">
        <f t="shared" si="2"/>
        <v>1</v>
      </c>
      <c r="S78" s="8">
        <f t="shared" si="3"/>
        <v>0</v>
      </c>
      <c r="T78" s="8" t="str">
        <f t="shared" si="4"/>
        <v>OK</v>
      </c>
      <c r="U78" s="8">
        <f t="shared" si="5"/>
        <v>0</v>
      </c>
      <c r="V78" s="8"/>
      <c r="W78" s="8"/>
      <c r="X78" s="8"/>
      <c r="Y78" s="8"/>
      <c r="Z78" s="8"/>
    </row>
    <row r="79" ht="15.75" customHeight="1">
      <c r="A79" s="3">
        <v>688.0</v>
      </c>
      <c r="B79" s="4">
        <v>40574.0</v>
      </c>
      <c r="C79" s="3">
        <v>1.0</v>
      </c>
      <c r="D79" s="3">
        <v>0.0</v>
      </c>
      <c r="E79" s="3">
        <v>1.0</v>
      </c>
      <c r="F79" s="3">
        <v>23.0</v>
      </c>
      <c r="G79" s="3" t="b">
        <f t="shared" si="1"/>
        <v>0</v>
      </c>
      <c r="H79" s="3">
        <v>1.0</v>
      </c>
      <c r="I79" s="3">
        <v>2.0</v>
      </c>
      <c r="J79" s="3">
        <v>0.16</v>
      </c>
      <c r="K79" s="3">
        <v>0.197</v>
      </c>
      <c r="L79" s="3">
        <v>0.64</v>
      </c>
      <c r="M79" s="3">
        <v>0.0896</v>
      </c>
      <c r="N79" s="3">
        <v>2.0</v>
      </c>
      <c r="O79" s="3">
        <v>15.0</v>
      </c>
      <c r="P79" s="3">
        <v>17.0</v>
      </c>
      <c r="Q79" s="8"/>
      <c r="R79" s="8">
        <f t="shared" si="2"/>
        <v>1</v>
      </c>
      <c r="S79" s="8">
        <f t="shared" si="3"/>
        <v>0</v>
      </c>
      <c r="T79" s="8" t="str">
        <f t="shared" si="4"/>
        <v>OK</v>
      </c>
      <c r="U79" s="8">
        <f t="shared" si="5"/>
        <v>0</v>
      </c>
      <c r="V79" s="8"/>
      <c r="W79" s="8"/>
      <c r="X79" s="8"/>
      <c r="Y79" s="8"/>
      <c r="Z79" s="8"/>
    </row>
    <row r="80" ht="15.75" customHeight="1">
      <c r="A80" s="3">
        <v>689.0</v>
      </c>
      <c r="B80" s="4">
        <v>40575.0</v>
      </c>
      <c r="C80" s="3">
        <v>1.0</v>
      </c>
      <c r="D80" s="3">
        <v>0.0</v>
      </c>
      <c r="E80" s="3">
        <v>2.0</v>
      </c>
      <c r="F80" s="3">
        <v>0.0</v>
      </c>
      <c r="G80" s="3" t="b">
        <f t="shared" si="1"/>
        <v>0</v>
      </c>
      <c r="H80" s="3">
        <v>2.0</v>
      </c>
      <c r="I80" s="3">
        <v>2.0</v>
      </c>
      <c r="J80" s="3">
        <v>0.16</v>
      </c>
      <c r="K80" s="3">
        <v>0.1818</v>
      </c>
      <c r="L80" s="3">
        <v>0.64</v>
      </c>
      <c r="M80" s="3">
        <v>0.1045</v>
      </c>
      <c r="N80" s="3">
        <v>2.0</v>
      </c>
      <c r="O80" s="3">
        <v>6.0</v>
      </c>
      <c r="P80" s="3">
        <v>8.0</v>
      </c>
      <c r="Q80" s="8"/>
      <c r="R80" s="8">
        <f t="shared" si="2"/>
        <v>1</v>
      </c>
      <c r="S80" s="8">
        <f t="shared" si="3"/>
        <v>0</v>
      </c>
      <c r="T80" s="8" t="str">
        <f t="shared" si="4"/>
        <v>OK</v>
      </c>
      <c r="U80" s="8">
        <f t="shared" si="5"/>
        <v>0</v>
      </c>
      <c r="V80" s="8"/>
      <c r="W80" s="8"/>
      <c r="X80" s="8"/>
      <c r="Y80" s="8"/>
      <c r="Z80" s="8"/>
    </row>
    <row r="81" ht="15.75" customHeight="1">
      <c r="A81" s="3">
        <v>690.0</v>
      </c>
      <c r="B81" s="4">
        <v>40575.0</v>
      </c>
      <c r="C81" s="3">
        <v>1.0</v>
      </c>
      <c r="D81" s="3">
        <v>0.0</v>
      </c>
      <c r="E81" s="3">
        <v>2.0</v>
      </c>
      <c r="F81" s="3">
        <v>1.0</v>
      </c>
      <c r="G81" s="3" t="b">
        <f t="shared" si="1"/>
        <v>0</v>
      </c>
      <c r="H81" s="3">
        <v>2.0</v>
      </c>
      <c r="I81" s="3">
        <v>2.0</v>
      </c>
      <c r="J81" s="3">
        <v>0.16</v>
      </c>
      <c r="K81" s="3">
        <v>0.1818</v>
      </c>
      <c r="L81" s="3">
        <v>0.69</v>
      </c>
      <c r="M81" s="3">
        <v>0.1045</v>
      </c>
      <c r="N81" s="3">
        <v>0.0</v>
      </c>
      <c r="O81" s="3">
        <v>3.0</v>
      </c>
      <c r="P81" s="3">
        <v>3.0</v>
      </c>
      <c r="Q81" s="8"/>
      <c r="R81" s="8">
        <f t="shared" si="2"/>
        <v>1</v>
      </c>
      <c r="S81" s="8">
        <f t="shared" si="3"/>
        <v>0</v>
      </c>
      <c r="T81" s="8" t="str">
        <f t="shared" si="4"/>
        <v>OK</v>
      </c>
      <c r="U81" s="8">
        <f t="shared" si="5"/>
        <v>0</v>
      </c>
      <c r="V81" s="8"/>
      <c r="W81" s="8"/>
      <c r="X81" s="8"/>
      <c r="Y81" s="8"/>
      <c r="Z81" s="8"/>
    </row>
    <row r="82" ht="15.75" customHeight="1">
      <c r="A82" s="3">
        <v>691.0</v>
      </c>
      <c r="B82" s="4">
        <v>40575.0</v>
      </c>
      <c r="C82" s="3">
        <v>1.0</v>
      </c>
      <c r="D82" s="3">
        <v>0.0</v>
      </c>
      <c r="E82" s="3">
        <v>2.0</v>
      </c>
      <c r="F82" s="3">
        <v>2.0</v>
      </c>
      <c r="G82" s="3" t="b">
        <f t="shared" si="1"/>
        <v>0</v>
      </c>
      <c r="H82" s="3">
        <v>2.0</v>
      </c>
      <c r="I82" s="3">
        <v>2.0</v>
      </c>
      <c r="J82" s="3">
        <v>0.16</v>
      </c>
      <c r="K82" s="3">
        <v>0.2273</v>
      </c>
      <c r="L82" s="3">
        <v>0.69</v>
      </c>
      <c r="M82" s="3">
        <v>0.0</v>
      </c>
      <c r="N82" s="3">
        <v>0.0</v>
      </c>
      <c r="O82" s="3">
        <v>2.0</v>
      </c>
      <c r="P82" s="3">
        <v>2.0</v>
      </c>
      <c r="Q82" s="8"/>
      <c r="R82" s="8">
        <f t="shared" si="2"/>
        <v>1</v>
      </c>
      <c r="S82" s="8">
        <f t="shared" si="3"/>
        <v>0</v>
      </c>
      <c r="T82" s="8" t="str">
        <f t="shared" si="4"/>
        <v>OK</v>
      </c>
      <c r="U82" s="8">
        <f t="shared" si="5"/>
        <v>0</v>
      </c>
      <c r="V82" s="8"/>
      <c r="W82" s="8"/>
      <c r="X82" s="8"/>
      <c r="Y82" s="8"/>
      <c r="Z82" s="8"/>
    </row>
    <row r="83" ht="15.75" customHeight="1">
      <c r="A83" s="3">
        <v>692.0</v>
      </c>
      <c r="B83" s="4">
        <v>40575.0</v>
      </c>
      <c r="C83" s="3">
        <v>1.0</v>
      </c>
      <c r="D83" s="3">
        <v>0.0</v>
      </c>
      <c r="E83" s="3">
        <v>2.0</v>
      </c>
      <c r="F83" s="3">
        <v>3.0</v>
      </c>
      <c r="G83" s="3" t="b">
        <f t="shared" si="1"/>
        <v>0</v>
      </c>
      <c r="H83" s="3">
        <v>2.0</v>
      </c>
      <c r="I83" s="3">
        <v>2.0</v>
      </c>
      <c r="J83" s="3">
        <v>0.16</v>
      </c>
      <c r="K83" s="3">
        <v>0.2273</v>
      </c>
      <c r="L83" s="3">
        <v>0.69</v>
      </c>
      <c r="M83" s="3">
        <v>0.0</v>
      </c>
      <c r="N83" s="3">
        <v>0.0</v>
      </c>
      <c r="O83" s="3">
        <v>2.0</v>
      </c>
      <c r="P83" s="3">
        <v>2.0</v>
      </c>
      <c r="Q83" s="8"/>
      <c r="R83" s="8">
        <f t="shared" si="2"/>
        <v>1</v>
      </c>
      <c r="S83" s="8">
        <f t="shared" si="3"/>
        <v>0</v>
      </c>
      <c r="T83" s="8" t="str">
        <f t="shared" si="4"/>
        <v>OK</v>
      </c>
      <c r="U83" s="8">
        <f t="shared" si="5"/>
        <v>0</v>
      </c>
      <c r="V83" s="8"/>
      <c r="W83" s="8"/>
      <c r="X83" s="8"/>
      <c r="Y83" s="8"/>
      <c r="Z83" s="8"/>
    </row>
    <row r="84" ht="15.75" customHeight="1">
      <c r="A84" s="3">
        <v>693.0</v>
      </c>
      <c r="B84" s="4">
        <v>40575.0</v>
      </c>
      <c r="C84" s="3">
        <v>1.0</v>
      </c>
      <c r="D84" s="3">
        <v>0.0</v>
      </c>
      <c r="E84" s="3">
        <v>2.0</v>
      </c>
      <c r="F84" s="3">
        <v>5.0</v>
      </c>
      <c r="G84" s="3" t="b">
        <f t="shared" si="1"/>
        <v>0</v>
      </c>
      <c r="H84" s="3">
        <v>2.0</v>
      </c>
      <c r="I84" s="3">
        <v>3.0</v>
      </c>
      <c r="J84" s="3">
        <v>0.14</v>
      </c>
      <c r="K84" s="3">
        <v>0.2121</v>
      </c>
      <c r="L84" s="3">
        <v>0.93</v>
      </c>
      <c r="M84" s="3">
        <v>0.0</v>
      </c>
      <c r="N84" s="3">
        <v>0.0</v>
      </c>
      <c r="O84" s="3">
        <v>3.0</v>
      </c>
      <c r="P84" s="3">
        <v>3.0</v>
      </c>
      <c r="Q84" s="8"/>
      <c r="R84" s="8">
        <f t="shared" si="2"/>
        <v>1</v>
      </c>
      <c r="S84" s="8">
        <f t="shared" si="3"/>
        <v>0</v>
      </c>
      <c r="T84" s="8" t="str">
        <f t="shared" si="4"/>
        <v>OK</v>
      </c>
      <c r="U84" s="8">
        <f t="shared" si="5"/>
        <v>0</v>
      </c>
      <c r="V84" s="8"/>
      <c r="W84" s="8"/>
      <c r="X84" s="8"/>
      <c r="Y84" s="8"/>
      <c r="Z84" s="8"/>
    </row>
    <row r="85" ht="15.75" customHeight="1">
      <c r="A85" s="3">
        <v>694.0</v>
      </c>
      <c r="B85" s="4">
        <v>40575.0</v>
      </c>
      <c r="C85" s="3">
        <v>1.0</v>
      </c>
      <c r="D85" s="3">
        <v>0.0</v>
      </c>
      <c r="E85" s="3">
        <v>2.0</v>
      </c>
      <c r="F85" s="3">
        <v>6.0</v>
      </c>
      <c r="G85" s="3" t="b">
        <f t="shared" si="1"/>
        <v>0</v>
      </c>
      <c r="H85" s="3">
        <v>2.0</v>
      </c>
      <c r="I85" s="3">
        <v>3.0</v>
      </c>
      <c r="J85" s="3">
        <v>0.14</v>
      </c>
      <c r="K85" s="3">
        <v>0.2121</v>
      </c>
      <c r="L85" s="3">
        <v>0.93</v>
      </c>
      <c r="M85" s="3">
        <v>0.0</v>
      </c>
      <c r="N85" s="3">
        <v>0.0</v>
      </c>
      <c r="O85" s="3">
        <v>22.0</v>
      </c>
      <c r="P85" s="3">
        <v>22.0</v>
      </c>
      <c r="Q85" s="8"/>
      <c r="R85" s="8">
        <f t="shared" si="2"/>
        <v>1</v>
      </c>
      <c r="S85" s="8">
        <f t="shared" si="3"/>
        <v>0</v>
      </c>
      <c r="T85" s="8" t="str">
        <f t="shared" si="4"/>
        <v>OK</v>
      </c>
      <c r="U85" s="8">
        <f t="shared" si="5"/>
        <v>0</v>
      </c>
      <c r="V85" s="8"/>
      <c r="W85" s="8"/>
      <c r="X85" s="8"/>
      <c r="Y85" s="8"/>
      <c r="Z85" s="8"/>
    </row>
    <row r="86" ht="15.75" customHeight="1">
      <c r="A86" s="3">
        <v>695.0</v>
      </c>
      <c r="B86" s="4">
        <v>40575.0</v>
      </c>
      <c r="C86" s="3">
        <v>1.0</v>
      </c>
      <c r="D86" s="3">
        <v>0.0</v>
      </c>
      <c r="E86" s="3">
        <v>2.0</v>
      </c>
      <c r="F86" s="3">
        <v>7.0</v>
      </c>
      <c r="G86" s="3" t="b">
        <f t="shared" si="1"/>
        <v>0</v>
      </c>
      <c r="H86" s="3">
        <v>2.0</v>
      </c>
      <c r="I86" s="3">
        <v>3.0</v>
      </c>
      <c r="J86" s="3">
        <v>0.16</v>
      </c>
      <c r="K86" s="3">
        <v>0.2273</v>
      </c>
      <c r="L86" s="3">
        <v>0.93</v>
      </c>
      <c r="M86" s="3">
        <v>0.0</v>
      </c>
      <c r="N86" s="3">
        <v>0.0</v>
      </c>
      <c r="O86" s="3">
        <v>52.0</v>
      </c>
      <c r="P86" s="3">
        <v>52.0</v>
      </c>
      <c r="Q86" s="8"/>
      <c r="R86" s="8">
        <f t="shared" si="2"/>
        <v>1</v>
      </c>
      <c r="S86" s="8">
        <f t="shared" si="3"/>
        <v>0</v>
      </c>
      <c r="T86" s="8" t="str">
        <f t="shared" si="4"/>
        <v>OK</v>
      </c>
      <c r="U86" s="8">
        <f t="shared" si="5"/>
        <v>0</v>
      </c>
      <c r="V86" s="8"/>
      <c r="W86" s="8"/>
      <c r="X86" s="8"/>
      <c r="Y86" s="8"/>
      <c r="Z86" s="8"/>
    </row>
    <row r="87" ht="15.75" customHeight="1">
      <c r="A87" s="3">
        <v>696.0</v>
      </c>
      <c r="B87" s="4">
        <v>40575.0</v>
      </c>
      <c r="C87" s="3">
        <v>1.0</v>
      </c>
      <c r="D87" s="3">
        <v>0.0</v>
      </c>
      <c r="E87" s="3">
        <v>2.0</v>
      </c>
      <c r="F87" s="3">
        <v>8.0</v>
      </c>
      <c r="G87" s="3" t="b">
        <f t="shared" si="1"/>
        <v>0</v>
      </c>
      <c r="H87" s="3">
        <v>2.0</v>
      </c>
      <c r="I87" s="3">
        <v>3.0</v>
      </c>
      <c r="J87" s="3">
        <v>0.16</v>
      </c>
      <c r="K87" s="3">
        <v>0.2273</v>
      </c>
      <c r="L87" s="3">
        <v>0.93</v>
      </c>
      <c r="M87" s="3">
        <v>0.0</v>
      </c>
      <c r="N87" s="3">
        <v>3.0</v>
      </c>
      <c r="O87" s="3">
        <v>132.0</v>
      </c>
      <c r="P87" s="3">
        <v>135.0</v>
      </c>
      <c r="Q87" s="8"/>
      <c r="R87" s="8">
        <f t="shared" si="2"/>
        <v>1</v>
      </c>
      <c r="S87" s="8">
        <f t="shared" si="3"/>
        <v>0</v>
      </c>
      <c r="T87" s="8" t="str">
        <f t="shared" si="4"/>
        <v>OK</v>
      </c>
      <c r="U87" s="8">
        <f t="shared" si="5"/>
        <v>0</v>
      </c>
      <c r="V87" s="8"/>
      <c r="W87" s="8"/>
      <c r="X87" s="8"/>
      <c r="Y87" s="8"/>
      <c r="Z87" s="8"/>
    </row>
    <row r="88" ht="15.75" customHeight="1">
      <c r="A88" s="3">
        <v>697.0</v>
      </c>
      <c r="B88" s="4">
        <v>40575.0</v>
      </c>
      <c r="C88" s="3">
        <v>1.0</v>
      </c>
      <c r="D88" s="3">
        <v>0.0</v>
      </c>
      <c r="E88" s="3">
        <v>2.0</v>
      </c>
      <c r="F88" s="3">
        <v>9.0</v>
      </c>
      <c r="G88" s="3" t="b">
        <f t="shared" si="1"/>
        <v>0</v>
      </c>
      <c r="H88" s="3">
        <v>2.0</v>
      </c>
      <c r="I88" s="3">
        <v>2.0</v>
      </c>
      <c r="J88" s="3">
        <v>0.16</v>
      </c>
      <c r="K88" s="3">
        <v>0.2273</v>
      </c>
      <c r="L88" s="3">
        <v>0.93</v>
      </c>
      <c r="M88" s="3">
        <v>0.0</v>
      </c>
      <c r="N88" s="3">
        <v>2.0</v>
      </c>
      <c r="O88" s="3">
        <v>114.0</v>
      </c>
      <c r="P88" s="3">
        <v>116.0</v>
      </c>
      <c r="Q88" s="8"/>
      <c r="R88" s="8">
        <f t="shared" si="2"/>
        <v>1</v>
      </c>
      <c r="S88" s="8">
        <f t="shared" si="3"/>
        <v>0</v>
      </c>
      <c r="T88" s="8" t="str">
        <f t="shared" si="4"/>
        <v>OK</v>
      </c>
      <c r="U88" s="8">
        <f t="shared" si="5"/>
        <v>0</v>
      </c>
      <c r="V88" s="8"/>
      <c r="W88" s="8"/>
      <c r="X88" s="8"/>
      <c r="Y88" s="8"/>
      <c r="Z88" s="8"/>
    </row>
    <row r="89" ht="15.75" customHeight="1">
      <c r="A89" s="3">
        <v>698.0</v>
      </c>
      <c r="B89" s="4">
        <v>40575.0</v>
      </c>
      <c r="C89" s="3">
        <v>1.0</v>
      </c>
      <c r="D89" s="3">
        <v>0.0</v>
      </c>
      <c r="E89" s="3">
        <v>2.0</v>
      </c>
      <c r="F89" s="3">
        <v>10.0</v>
      </c>
      <c r="G89" s="3" t="b">
        <f t="shared" si="1"/>
        <v>0</v>
      </c>
      <c r="H89" s="3">
        <v>2.0</v>
      </c>
      <c r="I89" s="3">
        <v>2.0</v>
      </c>
      <c r="J89" s="3">
        <v>0.16</v>
      </c>
      <c r="K89" s="3">
        <v>0.2273</v>
      </c>
      <c r="L89" s="3">
        <v>0.93</v>
      </c>
      <c r="M89" s="3">
        <v>0.0</v>
      </c>
      <c r="N89" s="3">
        <v>0.0</v>
      </c>
      <c r="O89" s="3">
        <v>47.0</v>
      </c>
      <c r="P89" s="3">
        <v>47.0</v>
      </c>
      <c r="Q89" s="8"/>
      <c r="R89" s="8">
        <f t="shared" si="2"/>
        <v>1</v>
      </c>
      <c r="S89" s="8">
        <f t="shared" si="3"/>
        <v>0</v>
      </c>
      <c r="T89" s="8" t="str">
        <f t="shared" si="4"/>
        <v>OK</v>
      </c>
      <c r="U89" s="8">
        <f t="shared" si="5"/>
        <v>0</v>
      </c>
      <c r="V89" s="8"/>
      <c r="W89" s="8"/>
      <c r="X89" s="8"/>
      <c r="Y89" s="8"/>
      <c r="Z89" s="8"/>
    </row>
    <row r="90" ht="15.75" customHeight="1">
      <c r="A90" s="3">
        <v>699.0</v>
      </c>
      <c r="B90" s="4">
        <v>40575.0</v>
      </c>
      <c r="C90" s="3">
        <v>1.0</v>
      </c>
      <c r="D90" s="3">
        <v>0.0</v>
      </c>
      <c r="E90" s="3">
        <v>2.0</v>
      </c>
      <c r="F90" s="3">
        <v>11.0</v>
      </c>
      <c r="G90" s="3" t="b">
        <f t="shared" si="1"/>
        <v>0</v>
      </c>
      <c r="H90" s="3">
        <v>2.0</v>
      </c>
      <c r="I90" s="3">
        <v>2.0</v>
      </c>
      <c r="J90" s="3">
        <v>0.18</v>
      </c>
      <c r="K90" s="3">
        <v>0.2424</v>
      </c>
      <c r="L90" s="3">
        <v>0.86</v>
      </c>
      <c r="M90" s="3">
        <v>0.0</v>
      </c>
      <c r="N90" s="3">
        <v>2.0</v>
      </c>
      <c r="O90" s="3">
        <v>49.0</v>
      </c>
      <c r="P90" s="3">
        <v>51.0</v>
      </c>
      <c r="Q90" s="8"/>
      <c r="R90" s="8">
        <f t="shared" si="2"/>
        <v>1</v>
      </c>
      <c r="S90" s="8">
        <f t="shared" si="3"/>
        <v>0</v>
      </c>
      <c r="T90" s="8" t="str">
        <f t="shared" si="4"/>
        <v>OK</v>
      </c>
      <c r="U90" s="8">
        <f t="shared" si="5"/>
        <v>0</v>
      </c>
      <c r="V90" s="8"/>
      <c r="W90" s="8"/>
      <c r="X90" s="8"/>
      <c r="Y90" s="8"/>
      <c r="Z90" s="8"/>
    </row>
    <row r="91" ht="15.75" customHeight="1">
      <c r="A91" s="3">
        <v>700.0</v>
      </c>
      <c r="B91" s="4">
        <v>40575.0</v>
      </c>
      <c r="C91" s="3">
        <v>1.0</v>
      </c>
      <c r="D91" s="3">
        <v>0.0</v>
      </c>
      <c r="E91" s="3">
        <v>2.0</v>
      </c>
      <c r="F91" s="3">
        <v>12.0</v>
      </c>
      <c r="G91" s="3" t="b">
        <f t="shared" si="1"/>
        <v>0</v>
      </c>
      <c r="H91" s="3">
        <v>2.0</v>
      </c>
      <c r="I91" s="3">
        <v>2.0</v>
      </c>
      <c r="J91" s="3">
        <v>0.2</v>
      </c>
      <c r="K91" s="3">
        <v>0.2576</v>
      </c>
      <c r="L91" s="3">
        <v>0.86</v>
      </c>
      <c r="M91" s="3">
        <v>0.0</v>
      </c>
      <c r="N91" s="3">
        <v>2.0</v>
      </c>
      <c r="O91" s="3">
        <v>53.0</v>
      </c>
      <c r="P91" s="3">
        <v>55.0</v>
      </c>
      <c r="Q91" s="8"/>
      <c r="R91" s="8">
        <f t="shared" si="2"/>
        <v>1</v>
      </c>
      <c r="S91" s="8">
        <f t="shared" si="3"/>
        <v>0</v>
      </c>
      <c r="T91" s="8" t="str">
        <f t="shared" si="4"/>
        <v>OK</v>
      </c>
      <c r="U91" s="8">
        <f t="shared" si="5"/>
        <v>0</v>
      </c>
      <c r="V91" s="8"/>
      <c r="W91" s="8"/>
      <c r="X91" s="8"/>
      <c r="Y91" s="8"/>
      <c r="Z91" s="8"/>
    </row>
    <row r="92" ht="15.75" customHeight="1">
      <c r="A92" s="3">
        <v>701.0</v>
      </c>
      <c r="B92" s="4">
        <v>40575.0</v>
      </c>
      <c r="C92" s="3">
        <v>1.0</v>
      </c>
      <c r="D92" s="3">
        <v>0.0</v>
      </c>
      <c r="E92" s="3">
        <v>2.0</v>
      </c>
      <c r="F92" s="3">
        <v>13.0</v>
      </c>
      <c r="G92" s="3" t="b">
        <f t="shared" si="1"/>
        <v>0</v>
      </c>
      <c r="H92" s="3">
        <v>2.0</v>
      </c>
      <c r="I92" s="3">
        <v>2.0</v>
      </c>
      <c r="J92" s="3">
        <v>0.2</v>
      </c>
      <c r="K92" s="3">
        <v>0.2576</v>
      </c>
      <c r="L92" s="3">
        <v>0.86</v>
      </c>
      <c r="M92" s="3">
        <v>0.0</v>
      </c>
      <c r="N92" s="3">
        <v>3.0</v>
      </c>
      <c r="O92" s="3">
        <v>49.0</v>
      </c>
      <c r="P92" s="3">
        <v>52.0</v>
      </c>
      <c r="Q92" s="8"/>
      <c r="R92" s="8">
        <f t="shared" si="2"/>
        <v>1</v>
      </c>
      <c r="S92" s="8">
        <f t="shared" si="3"/>
        <v>0</v>
      </c>
      <c r="T92" s="8" t="str">
        <f t="shared" si="4"/>
        <v>OK</v>
      </c>
      <c r="U92" s="8">
        <f t="shared" si="5"/>
        <v>0</v>
      </c>
      <c r="V92" s="8"/>
      <c r="W92" s="8"/>
      <c r="X92" s="8"/>
      <c r="Y92" s="8"/>
      <c r="Z92" s="8"/>
    </row>
    <row r="93" ht="15.75" customHeight="1">
      <c r="A93" s="3">
        <v>702.0</v>
      </c>
      <c r="B93" s="4">
        <v>40575.0</v>
      </c>
      <c r="C93" s="3">
        <v>1.0</v>
      </c>
      <c r="D93" s="3">
        <v>0.0</v>
      </c>
      <c r="E93" s="3">
        <v>2.0</v>
      </c>
      <c r="F93" s="3">
        <v>14.0</v>
      </c>
      <c r="G93" s="3" t="b">
        <f t="shared" si="1"/>
        <v>0</v>
      </c>
      <c r="H93" s="3">
        <v>2.0</v>
      </c>
      <c r="I93" s="3">
        <v>2.0</v>
      </c>
      <c r="J93" s="3">
        <v>0.22</v>
      </c>
      <c r="K93" s="3">
        <v>0.2576</v>
      </c>
      <c r="L93" s="3">
        <v>0.8</v>
      </c>
      <c r="M93" s="3">
        <v>0.0896</v>
      </c>
      <c r="N93" s="3">
        <v>5.0</v>
      </c>
      <c r="O93" s="3">
        <v>49.0</v>
      </c>
      <c r="P93" s="3">
        <v>54.0</v>
      </c>
      <c r="Q93" s="8"/>
      <c r="R93" s="8">
        <f t="shared" si="2"/>
        <v>1</v>
      </c>
      <c r="S93" s="8">
        <f t="shared" si="3"/>
        <v>0</v>
      </c>
      <c r="T93" s="8" t="str">
        <f t="shared" si="4"/>
        <v>OK</v>
      </c>
      <c r="U93" s="8">
        <f t="shared" si="5"/>
        <v>0</v>
      </c>
      <c r="V93" s="8"/>
      <c r="W93" s="8"/>
      <c r="X93" s="8"/>
      <c r="Y93" s="8"/>
      <c r="Z93" s="8"/>
    </row>
    <row r="94" ht="15.75" customHeight="1">
      <c r="A94" s="3">
        <v>703.0</v>
      </c>
      <c r="B94" s="4">
        <v>40575.0</v>
      </c>
      <c r="C94" s="3">
        <v>1.0</v>
      </c>
      <c r="D94" s="3">
        <v>0.0</v>
      </c>
      <c r="E94" s="3">
        <v>2.0</v>
      </c>
      <c r="F94" s="3">
        <v>15.0</v>
      </c>
      <c r="G94" s="3" t="b">
        <f t="shared" si="1"/>
        <v>0</v>
      </c>
      <c r="H94" s="3">
        <v>2.0</v>
      </c>
      <c r="I94" s="3">
        <v>2.0</v>
      </c>
      <c r="J94" s="3">
        <v>0.24</v>
      </c>
      <c r="K94" s="3">
        <v>0.2879</v>
      </c>
      <c r="L94" s="3">
        <v>0.75</v>
      </c>
      <c r="M94" s="3">
        <v>0.0</v>
      </c>
      <c r="N94" s="3">
        <v>7.0</v>
      </c>
      <c r="O94" s="3">
        <v>45.0</v>
      </c>
      <c r="P94" s="3">
        <v>52.0</v>
      </c>
      <c r="Q94" s="8"/>
      <c r="R94" s="8">
        <f t="shared" si="2"/>
        <v>1</v>
      </c>
      <c r="S94" s="8">
        <f t="shared" si="3"/>
        <v>0</v>
      </c>
      <c r="T94" s="8" t="str">
        <f t="shared" si="4"/>
        <v>OK</v>
      </c>
      <c r="U94" s="8">
        <f t="shared" si="5"/>
        <v>0</v>
      </c>
      <c r="V94" s="8"/>
      <c r="W94" s="8"/>
      <c r="X94" s="8"/>
      <c r="Y94" s="8"/>
      <c r="Z94" s="8"/>
    </row>
    <row r="95" ht="15.75" customHeight="1">
      <c r="A95" s="3">
        <v>704.0</v>
      </c>
      <c r="B95" s="4">
        <v>40575.0</v>
      </c>
      <c r="C95" s="3">
        <v>1.0</v>
      </c>
      <c r="D95" s="3">
        <v>0.0</v>
      </c>
      <c r="E95" s="3">
        <v>2.0</v>
      </c>
      <c r="F95" s="3">
        <v>16.0</v>
      </c>
      <c r="G95" s="3" t="b">
        <f t="shared" si="1"/>
        <v>0</v>
      </c>
      <c r="H95" s="3">
        <v>2.0</v>
      </c>
      <c r="I95" s="3">
        <v>2.0</v>
      </c>
      <c r="J95" s="3">
        <v>0.24</v>
      </c>
      <c r="K95" s="3">
        <v>0.2424</v>
      </c>
      <c r="L95" s="3">
        <v>0.75</v>
      </c>
      <c r="M95" s="3">
        <v>0.1343</v>
      </c>
      <c r="N95" s="3">
        <v>3.0</v>
      </c>
      <c r="O95" s="3">
        <v>61.0</v>
      </c>
      <c r="P95" s="3">
        <v>64.0</v>
      </c>
      <c r="Q95" s="8"/>
      <c r="R95" s="8">
        <f t="shared" si="2"/>
        <v>1</v>
      </c>
      <c r="S95" s="8">
        <f t="shared" si="3"/>
        <v>0</v>
      </c>
      <c r="T95" s="8" t="str">
        <f t="shared" si="4"/>
        <v>OK</v>
      </c>
      <c r="U95" s="8">
        <f t="shared" si="5"/>
        <v>0</v>
      </c>
      <c r="V95" s="8"/>
      <c r="W95" s="8"/>
      <c r="X95" s="8"/>
      <c r="Y95" s="8"/>
      <c r="Z95" s="8"/>
    </row>
    <row r="96" ht="15.75" customHeight="1">
      <c r="A96" s="3">
        <v>705.0</v>
      </c>
      <c r="B96" s="4">
        <v>40575.0</v>
      </c>
      <c r="C96" s="3">
        <v>1.0</v>
      </c>
      <c r="D96" s="3">
        <v>0.0</v>
      </c>
      <c r="E96" s="3">
        <v>2.0</v>
      </c>
      <c r="F96" s="3">
        <v>17.0</v>
      </c>
      <c r="G96" s="3" t="b">
        <f t="shared" si="1"/>
        <v>0</v>
      </c>
      <c r="H96" s="3">
        <v>2.0</v>
      </c>
      <c r="I96" s="3">
        <v>2.0</v>
      </c>
      <c r="J96" s="3">
        <v>0.24</v>
      </c>
      <c r="K96" s="3">
        <v>0.2879</v>
      </c>
      <c r="L96" s="3">
        <v>0.75</v>
      </c>
      <c r="M96" s="3">
        <v>0.0</v>
      </c>
      <c r="N96" s="3">
        <v>4.0</v>
      </c>
      <c r="O96" s="3">
        <v>172.0</v>
      </c>
      <c r="P96" s="3">
        <v>176.0</v>
      </c>
      <c r="Q96" s="8"/>
      <c r="R96" s="8">
        <f t="shared" si="2"/>
        <v>1</v>
      </c>
      <c r="S96" s="8">
        <f t="shared" si="3"/>
        <v>0</v>
      </c>
      <c r="T96" s="8" t="str">
        <f t="shared" si="4"/>
        <v>OK</v>
      </c>
      <c r="U96" s="8">
        <f t="shared" si="5"/>
        <v>0</v>
      </c>
      <c r="V96" s="8"/>
      <c r="W96" s="8"/>
      <c r="X96" s="8"/>
      <c r="Y96" s="8"/>
      <c r="Z96" s="8"/>
    </row>
    <row r="97" ht="15.75" customHeight="1">
      <c r="A97" s="3">
        <v>706.0</v>
      </c>
      <c r="B97" s="4">
        <v>40575.0</v>
      </c>
      <c r="C97" s="3">
        <v>1.0</v>
      </c>
      <c r="D97" s="3">
        <v>0.0</v>
      </c>
      <c r="E97" s="3">
        <v>2.0</v>
      </c>
      <c r="F97" s="3">
        <v>18.0</v>
      </c>
      <c r="G97" s="3" t="b">
        <f t="shared" si="1"/>
        <v>0</v>
      </c>
      <c r="H97" s="3">
        <v>2.0</v>
      </c>
      <c r="I97" s="3">
        <v>2.0</v>
      </c>
      <c r="J97" s="3">
        <v>0.24</v>
      </c>
      <c r="K97" s="3">
        <v>0.2576</v>
      </c>
      <c r="L97" s="3">
        <v>0.81</v>
      </c>
      <c r="M97" s="3">
        <v>0.1045</v>
      </c>
      <c r="N97" s="3">
        <v>3.0</v>
      </c>
      <c r="O97" s="3">
        <v>165.0</v>
      </c>
      <c r="P97" s="3">
        <v>168.0</v>
      </c>
      <c r="Q97" s="8"/>
      <c r="R97" s="8">
        <f t="shared" si="2"/>
        <v>1</v>
      </c>
      <c r="S97" s="8">
        <f t="shared" si="3"/>
        <v>0</v>
      </c>
      <c r="T97" s="8" t="str">
        <f t="shared" si="4"/>
        <v>OK</v>
      </c>
      <c r="U97" s="8">
        <f t="shared" si="5"/>
        <v>0</v>
      </c>
      <c r="V97" s="8"/>
      <c r="W97" s="8"/>
      <c r="X97" s="8"/>
      <c r="Y97" s="8"/>
      <c r="Z97" s="8"/>
    </row>
    <row r="98" ht="15.75" customHeight="1">
      <c r="A98" s="3">
        <v>707.0</v>
      </c>
      <c r="B98" s="4">
        <v>40575.0</v>
      </c>
      <c r="C98" s="3">
        <v>1.0</v>
      </c>
      <c r="D98" s="3">
        <v>0.0</v>
      </c>
      <c r="E98" s="3">
        <v>2.0</v>
      </c>
      <c r="F98" s="3">
        <v>19.0</v>
      </c>
      <c r="G98" s="3" t="b">
        <f t="shared" si="1"/>
        <v>0</v>
      </c>
      <c r="H98" s="3">
        <v>2.0</v>
      </c>
      <c r="I98" s="3">
        <v>2.0</v>
      </c>
      <c r="J98" s="3">
        <v>0.24</v>
      </c>
      <c r="K98" s="3">
        <v>0.2424</v>
      </c>
      <c r="L98" s="3">
        <v>0.81</v>
      </c>
      <c r="M98" s="3">
        <v>0.1343</v>
      </c>
      <c r="N98" s="3">
        <v>3.0</v>
      </c>
      <c r="O98" s="3">
        <v>105.0</v>
      </c>
      <c r="P98" s="3">
        <v>108.0</v>
      </c>
      <c r="Q98" s="8"/>
      <c r="R98" s="8">
        <f t="shared" si="2"/>
        <v>1</v>
      </c>
      <c r="S98" s="8">
        <f t="shared" si="3"/>
        <v>0</v>
      </c>
      <c r="T98" s="8" t="str">
        <f t="shared" si="4"/>
        <v>OK</v>
      </c>
      <c r="U98" s="8">
        <f t="shared" si="5"/>
        <v>0</v>
      </c>
      <c r="V98" s="8"/>
      <c r="W98" s="8"/>
      <c r="X98" s="8"/>
      <c r="Y98" s="8"/>
      <c r="Z98" s="8"/>
    </row>
    <row r="99" ht="15.75" customHeight="1">
      <c r="A99" s="3">
        <v>708.0</v>
      </c>
      <c r="B99" s="4">
        <v>40575.0</v>
      </c>
      <c r="C99" s="3">
        <v>1.0</v>
      </c>
      <c r="D99" s="3">
        <v>0.0</v>
      </c>
      <c r="E99" s="3">
        <v>2.0</v>
      </c>
      <c r="F99" s="3">
        <v>20.0</v>
      </c>
      <c r="G99" s="3" t="b">
        <f t="shared" si="1"/>
        <v>0</v>
      </c>
      <c r="H99" s="3">
        <v>2.0</v>
      </c>
      <c r="I99" s="3">
        <v>2.0</v>
      </c>
      <c r="J99" s="3">
        <v>0.22</v>
      </c>
      <c r="K99" s="3">
        <v>0.2273</v>
      </c>
      <c r="L99" s="3">
        <v>0.87</v>
      </c>
      <c r="M99" s="3">
        <v>0.1343</v>
      </c>
      <c r="N99" s="3">
        <v>5.0</v>
      </c>
      <c r="O99" s="3">
        <v>69.0</v>
      </c>
      <c r="P99" s="3">
        <v>74.0</v>
      </c>
      <c r="Q99" s="8"/>
      <c r="R99" s="8">
        <f t="shared" si="2"/>
        <v>1</v>
      </c>
      <c r="S99" s="8">
        <f t="shared" si="3"/>
        <v>0</v>
      </c>
      <c r="T99" s="8" t="str">
        <f t="shared" si="4"/>
        <v>OK</v>
      </c>
      <c r="U99" s="8">
        <f t="shared" si="5"/>
        <v>0</v>
      </c>
      <c r="V99" s="8"/>
      <c r="W99" s="8"/>
      <c r="X99" s="8"/>
      <c r="Y99" s="8"/>
      <c r="Z99" s="8"/>
    </row>
    <row r="100" ht="15.75" customHeight="1">
      <c r="A100" s="3">
        <v>709.0</v>
      </c>
      <c r="B100" s="4">
        <v>40575.0</v>
      </c>
      <c r="C100" s="3">
        <v>1.0</v>
      </c>
      <c r="D100" s="3">
        <v>0.0</v>
      </c>
      <c r="E100" s="3">
        <v>2.0</v>
      </c>
      <c r="F100" s="3">
        <v>21.0</v>
      </c>
      <c r="G100" s="3" t="b">
        <f t="shared" si="1"/>
        <v>0</v>
      </c>
      <c r="H100" s="3">
        <v>2.0</v>
      </c>
      <c r="I100" s="3">
        <v>2.0</v>
      </c>
      <c r="J100" s="3">
        <v>0.22</v>
      </c>
      <c r="K100" s="3">
        <v>0.2273</v>
      </c>
      <c r="L100" s="3">
        <v>0.87</v>
      </c>
      <c r="M100" s="3">
        <v>0.1343</v>
      </c>
      <c r="N100" s="3">
        <v>0.0</v>
      </c>
      <c r="O100" s="3">
        <v>64.0</v>
      </c>
      <c r="P100" s="3">
        <v>64.0</v>
      </c>
      <c r="Q100" s="8"/>
      <c r="R100" s="8">
        <f t="shared" si="2"/>
        <v>1</v>
      </c>
      <c r="S100" s="8">
        <f t="shared" si="3"/>
        <v>0</v>
      </c>
      <c r="T100" s="8" t="str">
        <f t="shared" si="4"/>
        <v>OK</v>
      </c>
      <c r="U100" s="8">
        <f t="shared" si="5"/>
        <v>0</v>
      </c>
      <c r="V100" s="8"/>
      <c r="W100" s="8"/>
      <c r="X100" s="8"/>
      <c r="Y100" s="8"/>
      <c r="Z100" s="8"/>
    </row>
    <row r="101" ht="15.75" customHeight="1">
      <c r="A101" s="3">
        <v>710.0</v>
      </c>
      <c r="B101" s="4">
        <v>40575.0</v>
      </c>
      <c r="C101" s="3">
        <v>1.0</v>
      </c>
      <c r="D101" s="3">
        <v>0.0</v>
      </c>
      <c r="E101" s="3">
        <v>2.0</v>
      </c>
      <c r="F101" s="3">
        <v>22.0</v>
      </c>
      <c r="G101" s="3" t="b">
        <f t="shared" si="1"/>
        <v>0</v>
      </c>
      <c r="H101" s="3">
        <v>2.0</v>
      </c>
      <c r="I101" s="3">
        <v>2.0</v>
      </c>
      <c r="J101" s="3">
        <v>0.22</v>
      </c>
      <c r="K101" s="3">
        <v>0.2576</v>
      </c>
      <c r="L101" s="3">
        <v>0.87</v>
      </c>
      <c r="M101" s="3">
        <v>0.0896</v>
      </c>
      <c r="N101" s="3">
        <v>2.0</v>
      </c>
      <c r="O101" s="3">
        <v>34.0</v>
      </c>
      <c r="P101" s="3">
        <v>36.0</v>
      </c>
      <c r="Q101" s="8"/>
      <c r="R101" s="8">
        <f t="shared" si="2"/>
        <v>1</v>
      </c>
      <c r="S101" s="8">
        <f t="shared" si="3"/>
        <v>0</v>
      </c>
      <c r="T101" s="8" t="str">
        <f t="shared" si="4"/>
        <v>OK</v>
      </c>
      <c r="U101" s="8">
        <f t="shared" si="5"/>
        <v>0</v>
      </c>
      <c r="V101" s="8"/>
      <c r="W101" s="8"/>
      <c r="X101" s="8"/>
      <c r="Y101" s="8"/>
      <c r="Z101" s="8"/>
    </row>
    <row r="102" ht="15.75" customHeight="1">
      <c r="A102" s="3">
        <v>711.0</v>
      </c>
      <c r="B102" s="4">
        <v>40575.0</v>
      </c>
      <c r="C102" s="3">
        <v>1.0</v>
      </c>
      <c r="D102" s="3">
        <v>0.0</v>
      </c>
      <c r="E102" s="3">
        <v>2.0</v>
      </c>
      <c r="F102" s="3">
        <v>23.0</v>
      </c>
      <c r="G102" s="3" t="b">
        <f t="shared" si="1"/>
        <v>0</v>
      </c>
      <c r="H102" s="3">
        <v>2.0</v>
      </c>
      <c r="I102" s="3">
        <v>3.0</v>
      </c>
      <c r="J102" s="3">
        <v>0.2</v>
      </c>
      <c r="K102" s="3">
        <v>0.197</v>
      </c>
      <c r="L102" s="3">
        <v>0.93</v>
      </c>
      <c r="M102" s="3">
        <v>0.194</v>
      </c>
      <c r="N102" s="3">
        <v>1.0</v>
      </c>
      <c r="O102" s="3">
        <v>15.0</v>
      </c>
      <c r="P102" s="3">
        <v>16.0</v>
      </c>
      <c r="Q102" s="8"/>
      <c r="R102" s="8">
        <f t="shared" si="2"/>
        <v>1</v>
      </c>
      <c r="S102" s="8">
        <f t="shared" si="3"/>
        <v>0</v>
      </c>
      <c r="T102" s="8" t="str">
        <f t="shared" si="4"/>
        <v>OK</v>
      </c>
      <c r="U102" s="8">
        <f t="shared" si="5"/>
        <v>0</v>
      </c>
      <c r="V102" s="8"/>
      <c r="W102" s="8"/>
      <c r="X102" s="8"/>
      <c r="Y102" s="8"/>
      <c r="Z102" s="8"/>
    </row>
    <row r="103" ht="15.75" customHeight="1">
      <c r="A103" s="3">
        <v>712.0</v>
      </c>
      <c r="B103" s="4">
        <v>40576.0</v>
      </c>
      <c r="C103" s="3">
        <v>1.0</v>
      </c>
      <c r="D103" s="3">
        <v>0.0</v>
      </c>
      <c r="E103" s="3">
        <v>2.0</v>
      </c>
      <c r="F103" s="3">
        <v>0.0</v>
      </c>
      <c r="G103" s="3" t="b">
        <f t="shared" si="1"/>
        <v>0</v>
      </c>
      <c r="H103" s="3">
        <v>3.0</v>
      </c>
      <c r="I103" s="3">
        <v>3.0</v>
      </c>
      <c r="J103" s="3">
        <v>0.22</v>
      </c>
      <c r="K103" s="3">
        <v>0.2424</v>
      </c>
      <c r="L103" s="3">
        <v>0.93</v>
      </c>
      <c r="M103" s="3">
        <v>0.1045</v>
      </c>
      <c r="N103" s="3">
        <v>0.0</v>
      </c>
      <c r="O103" s="3">
        <v>2.0</v>
      </c>
      <c r="P103" s="3">
        <v>2.0</v>
      </c>
      <c r="Q103" s="8"/>
      <c r="R103" s="8">
        <f t="shared" si="2"/>
        <v>1</v>
      </c>
      <c r="S103" s="8">
        <f t="shared" si="3"/>
        <v>0</v>
      </c>
      <c r="T103" s="8" t="str">
        <f t="shared" si="4"/>
        <v>OK</v>
      </c>
      <c r="U103" s="8">
        <f t="shared" si="5"/>
        <v>0</v>
      </c>
      <c r="V103" s="8"/>
      <c r="W103" s="8"/>
      <c r="X103" s="8"/>
      <c r="Y103" s="8"/>
      <c r="Z103" s="8"/>
    </row>
    <row r="104" ht="15.75" customHeight="1">
      <c r="A104" s="3">
        <v>713.0</v>
      </c>
      <c r="B104" s="4">
        <v>40576.0</v>
      </c>
      <c r="C104" s="3">
        <v>1.0</v>
      </c>
      <c r="D104" s="3">
        <v>0.0</v>
      </c>
      <c r="E104" s="3">
        <v>2.0</v>
      </c>
      <c r="F104" s="3">
        <v>1.0</v>
      </c>
      <c r="G104" s="3" t="b">
        <f t="shared" si="1"/>
        <v>0</v>
      </c>
      <c r="H104" s="3">
        <v>3.0</v>
      </c>
      <c r="I104" s="3">
        <v>3.0</v>
      </c>
      <c r="J104" s="3">
        <v>0.22</v>
      </c>
      <c r="K104" s="3">
        <v>0.2273</v>
      </c>
      <c r="L104" s="3">
        <v>0.93</v>
      </c>
      <c r="M104" s="3">
        <v>0.194</v>
      </c>
      <c r="N104" s="3">
        <v>0.0</v>
      </c>
      <c r="O104" s="3">
        <v>3.0</v>
      </c>
      <c r="P104" s="3">
        <v>3.0</v>
      </c>
      <c r="Q104" s="8"/>
      <c r="R104" s="8">
        <f t="shared" si="2"/>
        <v>1</v>
      </c>
      <c r="S104" s="8">
        <f t="shared" si="3"/>
        <v>0</v>
      </c>
      <c r="T104" s="8" t="str">
        <f t="shared" si="4"/>
        <v>OK</v>
      </c>
      <c r="U104" s="8">
        <f t="shared" si="5"/>
        <v>0</v>
      </c>
      <c r="V104" s="8"/>
      <c r="W104" s="8"/>
      <c r="X104" s="8"/>
      <c r="Y104" s="8"/>
      <c r="Z104" s="8"/>
    </row>
    <row r="105" ht="15.75" customHeight="1">
      <c r="A105" s="3">
        <v>714.0</v>
      </c>
      <c r="B105" s="4">
        <v>40576.0</v>
      </c>
      <c r="C105" s="3">
        <v>1.0</v>
      </c>
      <c r="D105" s="3">
        <v>0.0</v>
      </c>
      <c r="E105" s="3">
        <v>2.0</v>
      </c>
      <c r="F105" s="3">
        <v>2.0</v>
      </c>
      <c r="G105" s="3" t="b">
        <f t="shared" si="1"/>
        <v>0</v>
      </c>
      <c r="H105" s="3">
        <v>3.0</v>
      </c>
      <c r="I105" s="3">
        <v>3.0</v>
      </c>
      <c r="J105" s="3">
        <v>0.22</v>
      </c>
      <c r="K105" s="3">
        <v>0.2273</v>
      </c>
      <c r="L105" s="3">
        <v>0.93</v>
      </c>
      <c r="M105" s="3">
        <v>0.1343</v>
      </c>
      <c r="N105" s="3">
        <v>4.0</v>
      </c>
      <c r="O105" s="3">
        <v>0.0</v>
      </c>
      <c r="P105" s="3">
        <v>4.0</v>
      </c>
      <c r="Q105" s="8"/>
      <c r="R105" s="8">
        <f t="shared" si="2"/>
        <v>1</v>
      </c>
      <c r="S105" s="8">
        <f t="shared" si="3"/>
        <v>0</v>
      </c>
      <c r="T105" s="8" t="str">
        <f t="shared" si="4"/>
        <v>OK</v>
      </c>
      <c r="U105" s="8">
        <f t="shared" si="5"/>
        <v>0</v>
      </c>
      <c r="V105" s="8"/>
      <c r="W105" s="8"/>
      <c r="X105" s="8"/>
      <c r="Y105" s="8"/>
      <c r="Z105" s="8"/>
    </row>
    <row r="106" ht="15.75" customHeight="1">
      <c r="A106" s="3">
        <v>715.0</v>
      </c>
      <c r="B106" s="4">
        <v>40576.0</v>
      </c>
      <c r="C106" s="3">
        <v>1.0</v>
      </c>
      <c r="D106" s="3">
        <v>0.0</v>
      </c>
      <c r="E106" s="3">
        <v>2.0</v>
      </c>
      <c r="F106" s="3">
        <v>3.0</v>
      </c>
      <c r="G106" s="3" t="b">
        <f t="shared" si="1"/>
        <v>0</v>
      </c>
      <c r="H106" s="3">
        <v>3.0</v>
      </c>
      <c r="I106" s="3">
        <v>3.0</v>
      </c>
      <c r="J106" s="3">
        <v>0.22</v>
      </c>
      <c r="K106" s="3">
        <v>0.2273</v>
      </c>
      <c r="L106" s="3">
        <v>0.93</v>
      </c>
      <c r="M106" s="3">
        <v>0.1343</v>
      </c>
      <c r="N106" s="3">
        <v>0.0</v>
      </c>
      <c r="O106" s="3">
        <v>1.0</v>
      </c>
      <c r="P106" s="3">
        <v>1.0</v>
      </c>
      <c r="Q106" s="8"/>
      <c r="R106" s="8">
        <f t="shared" si="2"/>
        <v>1</v>
      </c>
      <c r="S106" s="8">
        <f t="shared" si="3"/>
        <v>0</v>
      </c>
      <c r="T106" s="8" t="str">
        <f t="shared" si="4"/>
        <v>OK</v>
      </c>
      <c r="U106" s="8">
        <f t="shared" si="5"/>
        <v>0</v>
      </c>
      <c r="V106" s="8"/>
      <c r="W106" s="8"/>
      <c r="X106" s="8"/>
      <c r="Y106" s="8"/>
      <c r="Z106" s="8"/>
    </row>
    <row r="107" ht="15.75" customHeight="1">
      <c r="A107" s="3">
        <v>716.0</v>
      </c>
      <c r="B107" s="4">
        <v>40576.0</v>
      </c>
      <c r="C107" s="3">
        <v>1.0</v>
      </c>
      <c r="D107" s="3">
        <v>0.0</v>
      </c>
      <c r="E107" s="3">
        <v>2.0</v>
      </c>
      <c r="F107" s="3">
        <v>4.0</v>
      </c>
      <c r="G107" s="3" t="b">
        <f t="shared" si="1"/>
        <v>0</v>
      </c>
      <c r="H107" s="3">
        <v>3.0</v>
      </c>
      <c r="I107" s="3">
        <v>3.0</v>
      </c>
      <c r="J107" s="3">
        <v>0.22</v>
      </c>
      <c r="K107" s="3">
        <v>0.2121</v>
      </c>
      <c r="L107" s="3">
        <v>0.93</v>
      </c>
      <c r="M107" s="3">
        <v>0.2836</v>
      </c>
      <c r="N107" s="3">
        <v>0.0</v>
      </c>
      <c r="O107" s="3">
        <v>1.0</v>
      </c>
      <c r="P107" s="3">
        <v>1.0</v>
      </c>
      <c r="Q107" s="8"/>
      <c r="R107" s="8">
        <f t="shared" si="2"/>
        <v>1</v>
      </c>
      <c r="S107" s="8">
        <f t="shared" si="3"/>
        <v>0</v>
      </c>
      <c r="T107" s="8" t="str">
        <f t="shared" si="4"/>
        <v>OK</v>
      </c>
      <c r="U107" s="8">
        <f t="shared" si="5"/>
        <v>0</v>
      </c>
      <c r="V107" s="8"/>
      <c r="W107" s="8"/>
      <c r="X107" s="8"/>
      <c r="Y107" s="8"/>
      <c r="Z107" s="8"/>
    </row>
    <row r="108" ht="15.75" customHeight="1">
      <c r="A108" s="3">
        <v>717.0</v>
      </c>
      <c r="B108" s="4">
        <v>40576.0</v>
      </c>
      <c r="C108" s="3">
        <v>1.0</v>
      </c>
      <c r="D108" s="3">
        <v>0.0</v>
      </c>
      <c r="E108" s="3">
        <v>2.0</v>
      </c>
      <c r="F108" s="3">
        <v>5.0</v>
      </c>
      <c r="G108" s="3" t="b">
        <f t="shared" si="1"/>
        <v>0</v>
      </c>
      <c r="H108" s="3">
        <v>3.0</v>
      </c>
      <c r="I108" s="3">
        <v>3.0</v>
      </c>
      <c r="J108" s="3">
        <v>0.22</v>
      </c>
      <c r="K108" s="3">
        <v>0.2424</v>
      </c>
      <c r="L108" s="3">
        <v>0.93</v>
      </c>
      <c r="M108" s="3">
        <v>0.1045</v>
      </c>
      <c r="N108" s="3">
        <v>0.0</v>
      </c>
      <c r="O108" s="3">
        <v>3.0</v>
      </c>
      <c r="P108" s="3">
        <v>3.0</v>
      </c>
      <c r="Q108" s="8"/>
      <c r="R108" s="8">
        <f t="shared" si="2"/>
        <v>1</v>
      </c>
      <c r="S108" s="8">
        <f t="shared" si="3"/>
        <v>0</v>
      </c>
      <c r="T108" s="8" t="str">
        <f t="shared" si="4"/>
        <v>OK</v>
      </c>
      <c r="U108" s="8">
        <f t="shared" si="5"/>
        <v>0</v>
      </c>
      <c r="V108" s="8"/>
      <c r="W108" s="8"/>
      <c r="X108" s="8"/>
      <c r="Y108" s="8"/>
      <c r="Z108" s="8"/>
    </row>
    <row r="109" ht="15.75" customHeight="1">
      <c r="A109" s="3">
        <v>718.0</v>
      </c>
      <c r="B109" s="4">
        <v>40576.0</v>
      </c>
      <c r="C109" s="3">
        <v>1.0</v>
      </c>
      <c r="D109" s="3">
        <v>0.0</v>
      </c>
      <c r="E109" s="3">
        <v>2.0</v>
      </c>
      <c r="F109" s="3">
        <v>6.0</v>
      </c>
      <c r="G109" s="3" t="b">
        <f t="shared" si="1"/>
        <v>0</v>
      </c>
      <c r="H109" s="3">
        <v>3.0</v>
      </c>
      <c r="I109" s="3">
        <v>3.0</v>
      </c>
      <c r="J109" s="3">
        <v>0.22</v>
      </c>
      <c r="K109" s="3">
        <v>0.2424</v>
      </c>
      <c r="L109" s="3">
        <v>0.93</v>
      </c>
      <c r="M109" s="3">
        <v>0.1045</v>
      </c>
      <c r="N109" s="3">
        <v>1.0</v>
      </c>
      <c r="O109" s="3">
        <v>17.0</v>
      </c>
      <c r="P109" s="3">
        <v>18.0</v>
      </c>
      <c r="Q109" s="8"/>
      <c r="R109" s="8">
        <f t="shared" si="2"/>
        <v>1</v>
      </c>
      <c r="S109" s="8">
        <f t="shared" si="3"/>
        <v>0</v>
      </c>
      <c r="T109" s="8" t="str">
        <f t="shared" si="4"/>
        <v>OK</v>
      </c>
      <c r="U109" s="8">
        <f t="shared" si="5"/>
        <v>0</v>
      </c>
      <c r="V109" s="8"/>
      <c r="W109" s="8"/>
      <c r="X109" s="8"/>
      <c r="Y109" s="8"/>
      <c r="Z109" s="8"/>
    </row>
    <row r="110" ht="15.75" customHeight="1">
      <c r="A110" s="3">
        <v>719.0</v>
      </c>
      <c r="B110" s="4">
        <v>40576.0</v>
      </c>
      <c r="C110" s="3">
        <v>1.0</v>
      </c>
      <c r="D110" s="3">
        <v>0.0</v>
      </c>
      <c r="E110" s="3">
        <v>2.0</v>
      </c>
      <c r="F110" s="3">
        <v>7.0</v>
      </c>
      <c r="G110" s="3" t="b">
        <f t="shared" si="1"/>
        <v>0</v>
      </c>
      <c r="H110" s="3">
        <v>3.0</v>
      </c>
      <c r="I110" s="3">
        <v>3.0</v>
      </c>
      <c r="J110" s="3">
        <v>0.22</v>
      </c>
      <c r="K110" s="3">
        <v>0.2121</v>
      </c>
      <c r="L110" s="3">
        <v>0.93</v>
      </c>
      <c r="M110" s="3">
        <v>0.2239</v>
      </c>
      <c r="N110" s="3">
        <v>1.0</v>
      </c>
      <c r="O110" s="3">
        <v>48.0</v>
      </c>
      <c r="P110" s="3">
        <v>49.0</v>
      </c>
      <c r="Q110" s="8"/>
      <c r="R110" s="8">
        <f t="shared" si="2"/>
        <v>1</v>
      </c>
      <c r="S110" s="8">
        <f t="shared" si="3"/>
        <v>0</v>
      </c>
      <c r="T110" s="8" t="str">
        <f t="shared" si="4"/>
        <v>OK</v>
      </c>
      <c r="U110" s="8">
        <f t="shared" si="5"/>
        <v>0</v>
      </c>
      <c r="V110" s="8"/>
      <c r="W110" s="8"/>
      <c r="X110" s="8"/>
      <c r="Y110" s="8"/>
      <c r="Z110" s="8"/>
    </row>
    <row r="111" ht="15.75" customHeight="1">
      <c r="A111" s="3">
        <v>720.0</v>
      </c>
      <c r="B111" s="4">
        <v>40576.0</v>
      </c>
      <c r="C111" s="3">
        <v>1.0</v>
      </c>
      <c r="D111" s="3">
        <v>0.0</v>
      </c>
      <c r="E111" s="3">
        <v>2.0</v>
      </c>
      <c r="F111" s="3">
        <v>8.0</v>
      </c>
      <c r="G111" s="3" t="b">
        <f t="shared" si="1"/>
        <v>0</v>
      </c>
      <c r="H111" s="3">
        <v>3.0</v>
      </c>
      <c r="I111" s="3">
        <v>3.0</v>
      </c>
      <c r="J111" s="3">
        <v>0.22</v>
      </c>
      <c r="K111" s="3">
        <v>0.2121</v>
      </c>
      <c r="L111" s="3">
        <v>0.93</v>
      </c>
      <c r="M111" s="3">
        <v>0.2239</v>
      </c>
      <c r="N111" s="3">
        <v>1.0</v>
      </c>
      <c r="O111" s="3">
        <v>154.0</v>
      </c>
      <c r="P111" s="3">
        <v>155.0</v>
      </c>
      <c r="Q111" s="8"/>
      <c r="R111" s="8">
        <f t="shared" si="2"/>
        <v>1</v>
      </c>
      <c r="S111" s="8">
        <f t="shared" si="3"/>
        <v>0</v>
      </c>
      <c r="T111" s="8" t="str">
        <f t="shared" si="4"/>
        <v>OK</v>
      </c>
      <c r="U111" s="8">
        <f t="shared" si="5"/>
        <v>0</v>
      </c>
      <c r="V111" s="8"/>
      <c r="W111" s="8"/>
      <c r="X111" s="8"/>
      <c r="Y111" s="8"/>
      <c r="Z111" s="8"/>
    </row>
    <row r="112" ht="15.75" customHeight="1">
      <c r="A112" s="3">
        <v>721.0</v>
      </c>
      <c r="B112" s="4">
        <v>40576.0</v>
      </c>
      <c r="C112" s="3">
        <v>1.0</v>
      </c>
      <c r="D112" s="3">
        <v>0.0</v>
      </c>
      <c r="E112" s="3">
        <v>2.0</v>
      </c>
      <c r="F112" s="3">
        <v>9.0</v>
      </c>
      <c r="G112" s="3" t="b">
        <f t="shared" si="1"/>
        <v>0</v>
      </c>
      <c r="H112" s="3">
        <v>3.0</v>
      </c>
      <c r="I112" s="3">
        <v>2.0</v>
      </c>
      <c r="J112" s="3">
        <v>0.24</v>
      </c>
      <c r="K112" s="3">
        <v>0.2576</v>
      </c>
      <c r="L112" s="3">
        <v>0.93</v>
      </c>
      <c r="M112" s="3">
        <v>0.0896</v>
      </c>
      <c r="N112" s="3">
        <v>4.0</v>
      </c>
      <c r="O112" s="3">
        <v>119.0</v>
      </c>
      <c r="P112" s="3">
        <v>123.0</v>
      </c>
      <c r="Q112" s="8"/>
      <c r="R112" s="8">
        <f t="shared" si="2"/>
        <v>1</v>
      </c>
      <c r="S112" s="8">
        <f t="shared" si="3"/>
        <v>0</v>
      </c>
      <c r="T112" s="8" t="str">
        <f t="shared" si="4"/>
        <v>OK</v>
      </c>
      <c r="U112" s="8">
        <f t="shared" si="5"/>
        <v>0</v>
      </c>
      <c r="V112" s="8"/>
      <c r="W112" s="8"/>
      <c r="X112" s="8"/>
      <c r="Y112" s="8"/>
      <c r="Z112" s="8"/>
    </row>
    <row r="113" ht="15.75" customHeight="1">
      <c r="A113" s="3">
        <v>722.0</v>
      </c>
      <c r="B113" s="4">
        <v>40576.0</v>
      </c>
      <c r="C113" s="3">
        <v>1.0</v>
      </c>
      <c r="D113" s="3">
        <v>0.0</v>
      </c>
      <c r="E113" s="3">
        <v>2.0</v>
      </c>
      <c r="F113" s="3">
        <v>10.0</v>
      </c>
      <c r="G113" s="3" t="b">
        <f t="shared" si="1"/>
        <v>0</v>
      </c>
      <c r="H113" s="3">
        <v>3.0</v>
      </c>
      <c r="I113" s="3">
        <v>2.0</v>
      </c>
      <c r="J113" s="3">
        <v>0.22</v>
      </c>
      <c r="K113" s="3">
        <v>0.2727</v>
      </c>
      <c r="L113" s="3">
        <v>1.0</v>
      </c>
      <c r="M113" s="3">
        <v>0.0</v>
      </c>
      <c r="N113" s="3">
        <v>2.0</v>
      </c>
      <c r="O113" s="3">
        <v>59.0</v>
      </c>
      <c r="P113" s="3">
        <v>61.0</v>
      </c>
      <c r="Q113" s="8"/>
      <c r="R113" s="8">
        <f t="shared" si="2"/>
        <v>1</v>
      </c>
      <c r="S113" s="8">
        <f t="shared" si="3"/>
        <v>0</v>
      </c>
      <c r="T113" s="8" t="str">
        <f t="shared" si="4"/>
        <v>OK</v>
      </c>
      <c r="U113" s="8">
        <f t="shared" si="5"/>
        <v>0</v>
      </c>
      <c r="V113" s="8"/>
      <c r="W113" s="8"/>
      <c r="X113" s="8"/>
      <c r="Y113" s="8"/>
      <c r="Z113" s="8"/>
    </row>
    <row r="114" ht="15.75" customHeight="1">
      <c r="A114" s="3">
        <v>723.0</v>
      </c>
      <c r="B114" s="4">
        <v>40576.0</v>
      </c>
      <c r="C114" s="3">
        <v>1.0</v>
      </c>
      <c r="D114" s="3">
        <v>0.0</v>
      </c>
      <c r="E114" s="3">
        <v>2.0</v>
      </c>
      <c r="F114" s="3">
        <v>11.0</v>
      </c>
      <c r="G114" s="3" t="b">
        <f t="shared" si="1"/>
        <v>0</v>
      </c>
      <c r="H114" s="3">
        <v>3.0</v>
      </c>
      <c r="I114" s="3">
        <v>2.0</v>
      </c>
      <c r="J114" s="3">
        <v>0.24</v>
      </c>
      <c r="K114" s="3">
        <v>0.2273</v>
      </c>
      <c r="L114" s="3">
        <v>0.93</v>
      </c>
      <c r="M114" s="3">
        <v>0.194</v>
      </c>
      <c r="N114" s="3">
        <v>5.0</v>
      </c>
      <c r="O114" s="3">
        <v>47.0</v>
      </c>
      <c r="P114" s="3">
        <v>52.0</v>
      </c>
      <c r="Q114" s="8"/>
      <c r="R114" s="8">
        <f t="shared" si="2"/>
        <v>1</v>
      </c>
      <c r="S114" s="8">
        <f t="shared" si="3"/>
        <v>0</v>
      </c>
      <c r="T114" s="8" t="str">
        <f t="shared" si="4"/>
        <v>OK</v>
      </c>
      <c r="U114" s="8">
        <f t="shared" si="5"/>
        <v>0</v>
      </c>
      <c r="V114" s="8"/>
      <c r="W114" s="8"/>
      <c r="X114" s="8"/>
      <c r="Y114" s="8"/>
      <c r="Z114" s="8"/>
    </row>
    <row r="115" ht="15.75" customHeight="1">
      <c r="A115" s="3">
        <v>724.0</v>
      </c>
      <c r="B115" s="4">
        <v>40576.0</v>
      </c>
      <c r="C115" s="3">
        <v>1.0</v>
      </c>
      <c r="D115" s="3">
        <v>0.0</v>
      </c>
      <c r="E115" s="3">
        <v>2.0</v>
      </c>
      <c r="F115" s="3">
        <v>12.0</v>
      </c>
      <c r="G115" s="3" t="b">
        <f t="shared" si="1"/>
        <v>0</v>
      </c>
      <c r="H115" s="3">
        <v>3.0</v>
      </c>
      <c r="I115" s="3">
        <v>2.0</v>
      </c>
      <c r="J115" s="3">
        <v>0.24</v>
      </c>
      <c r="K115" s="3">
        <v>0.2273</v>
      </c>
      <c r="L115" s="3">
        <v>0.93</v>
      </c>
      <c r="M115" s="3">
        <v>0.2239</v>
      </c>
      <c r="N115" s="3">
        <v>3.0</v>
      </c>
      <c r="O115" s="3">
        <v>61.0</v>
      </c>
      <c r="P115" s="3">
        <v>64.0</v>
      </c>
      <c r="Q115" s="8"/>
      <c r="R115" s="8">
        <f t="shared" si="2"/>
        <v>1</v>
      </c>
      <c r="S115" s="8">
        <f t="shared" si="3"/>
        <v>0</v>
      </c>
      <c r="T115" s="8" t="str">
        <f t="shared" si="4"/>
        <v>OK</v>
      </c>
      <c r="U115" s="8">
        <f t="shared" si="5"/>
        <v>0</v>
      </c>
      <c r="V115" s="8"/>
      <c r="W115" s="8"/>
      <c r="X115" s="8"/>
      <c r="Y115" s="8"/>
      <c r="Z115" s="8"/>
    </row>
    <row r="116" ht="15.75" customHeight="1">
      <c r="A116" s="3">
        <v>725.0</v>
      </c>
      <c r="B116" s="4">
        <v>40576.0</v>
      </c>
      <c r="C116" s="3">
        <v>1.0</v>
      </c>
      <c r="D116" s="3">
        <v>0.0</v>
      </c>
      <c r="E116" s="3">
        <v>2.0</v>
      </c>
      <c r="F116" s="3">
        <v>13.0</v>
      </c>
      <c r="G116" s="3" t="b">
        <f t="shared" si="1"/>
        <v>0</v>
      </c>
      <c r="H116" s="3">
        <v>3.0</v>
      </c>
      <c r="I116" s="3">
        <v>1.0</v>
      </c>
      <c r="J116" s="3">
        <v>0.34</v>
      </c>
      <c r="K116" s="3">
        <v>0.3333</v>
      </c>
      <c r="L116" s="3">
        <v>0.93</v>
      </c>
      <c r="M116" s="3">
        <v>0.1642</v>
      </c>
      <c r="N116" s="3">
        <v>1.0</v>
      </c>
      <c r="O116" s="3">
        <v>74.0</v>
      </c>
      <c r="P116" s="3">
        <v>75.0</v>
      </c>
      <c r="Q116" s="8"/>
      <c r="R116" s="8">
        <f t="shared" si="2"/>
        <v>1</v>
      </c>
      <c r="S116" s="8">
        <f t="shared" si="3"/>
        <v>0</v>
      </c>
      <c r="T116" s="8" t="str">
        <f t="shared" si="4"/>
        <v>OK</v>
      </c>
      <c r="U116" s="8">
        <f t="shared" si="5"/>
        <v>0</v>
      </c>
      <c r="V116" s="8"/>
      <c r="W116" s="8"/>
      <c r="X116" s="8"/>
      <c r="Y116" s="8"/>
      <c r="Z116" s="8"/>
    </row>
    <row r="117" ht="15.75" customHeight="1">
      <c r="A117" s="3">
        <v>726.0</v>
      </c>
      <c r="B117" s="4">
        <v>40576.0</v>
      </c>
      <c r="C117" s="3">
        <v>1.0</v>
      </c>
      <c r="D117" s="3">
        <v>0.0</v>
      </c>
      <c r="E117" s="3">
        <v>2.0</v>
      </c>
      <c r="F117" s="3">
        <v>14.0</v>
      </c>
      <c r="G117" s="3" t="b">
        <f t="shared" si="1"/>
        <v>0</v>
      </c>
      <c r="H117" s="3">
        <v>3.0</v>
      </c>
      <c r="I117" s="3">
        <v>1.0</v>
      </c>
      <c r="J117" s="3">
        <v>0.38</v>
      </c>
      <c r="K117" s="3">
        <v>0.3939</v>
      </c>
      <c r="L117" s="3">
        <v>0.82</v>
      </c>
      <c r="M117" s="3">
        <v>0.3881</v>
      </c>
      <c r="N117" s="3">
        <v>2.0</v>
      </c>
      <c r="O117" s="3">
        <v>61.0</v>
      </c>
      <c r="P117" s="3">
        <v>63.0</v>
      </c>
      <c r="Q117" s="8"/>
      <c r="R117" s="8">
        <f t="shared" si="2"/>
        <v>1</v>
      </c>
      <c r="S117" s="8">
        <f t="shared" si="3"/>
        <v>0</v>
      </c>
      <c r="T117" s="8" t="str">
        <f t="shared" si="4"/>
        <v>OK</v>
      </c>
      <c r="U117" s="8">
        <f t="shared" si="5"/>
        <v>0</v>
      </c>
      <c r="V117" s="8"/>
      <c r="W117" s="8"/>
      <c r="X117" s="8"/>
      <c r="Y117" s="8"/>
      <c r="Z117" s="8"/>
    </row>
    <row r="118" ht="15.75" customHeight="1">
      <c r="A118" s="3">
        <v>727.0</v>
      </c>
      <c r="B118" s="4">
        <v>40576.0</v>
      </c>
      <c r="C118" s="3">
        <v>1.0</v>
      </c>
      <c r="D118" s="3">
        <v>0.0</v>
      </c>
      <c r="E118" s="3">
        <v>2.0</v>
      </c>
      <c r="F118" s="3">
        <v>15.0</v>
      </c>
      <c r="G118" s="3" t="b">
        <f t="shared" si="1"/>
        <v>0</v>
      </c>
      <c r="H118" s="3">
        <v>3.0</v>
      </c>
      <c r="I118" s="3">
        <v>1.0</v>
      </c>
      <c r="J118" s="3">
        <v>0.38</v>
      </c>
      <c r="K118" s="3">
        <v>0.3939</v>
      </c>
      <c r="L118" s="3">
        <v>0.76</v>
      </c>
      <c r="M118" s="3">
        <v>0.3284</v>
      </c>
      <c r="N118" s="3">
        <v>10.0</v>
      </c>
      <c r="O118" s="3">
        <v>66.0</v>
      </c>
      <c r="P118" s="3">
        <v>76.0</v>
      </c>
      <c r="Q118" s="8"/>
      <c r="R118" s="8">
        <f t="shared" si="2"/>
        <v>1</v>
      </c>
      <c r="S118" s="8">
        <f t="shared" si="3"/>
        <v>0</v>
      </c>
      <c r="T118" s="8" t="str">
        <f t="shared" si="4"/>
        <v>OK</v>
      </c>
      <c r="U118" s="8">
        <f t="shared" si="5"/>
        <v>0</v>
      </c>
      <c r="V118" s="8"/>
      <c r="W118" s="8"/>
      <c r="X118" s="8"/>
      <c r="Y118" s="8"/>
      <c r="Z118" s="8"/>
    </row>
    <row r="119" ht="15.75" customHeight="1">
      <c r="A119" s="3">
        <v>728.0</v>
      </c>
      <c r="B119" s="4">
        <v>40576.0</v>
      </c>
      <c r="C119" s="3">
        <v>1.0</v>
      </c>
      <c r="D119" s="3">
        <v>0.0</v>
      </c>
      <c r="E119" s="3">
        <v>2.0</v>
      </c>
      <c r="F119" s="3">
        <v>16.0</v>
      </c>
      <c r="G119" s="3" t="b">
        <f t="shared" si="1"/>
        <v>0</v>
      </c>
      <c r="H119" s="3">
        <v>3.0</v>
      </c>
      <c r="I119" s="3">
        <v>1.0</v>
      </c>
      <c r="J119" s="3">
        <v>0.36</v>
      </c>
      <c r="K119" s="3">
        <v>0.3333</v>
      </c>
      <c r="L119" s="3">
        <v>0.71</v>
      </c>
      <c r="M119" s="3">
        <v>0.2985</v>
      </c>
      <c r="N119" s="3">
        <v>8.0</v>
      </c>
      <c r="O119" s="3">
        <v>95.0</v>
      </c>
      <c r="P119" s="3">
        <v>103.0</v>
      </c>
      <c r="Q119" s="8"/>
      <c r="R119" s="8">
        <f t="shared" si="2"/>
        <v>1</v>
      </c>
      <c r="S119" s="8">
        <f t="shared" si="3"/>
        <v>0</v>
      </c>
      <c r="T119" s="8" t="str">
        <f t="shared" si="4"/>
        <v>OK</v>
      </c>
      <c r="U119" s="8">
        <f t="shared" si="5"/>
        <v>0</v>
      </c>
      <c r="V119" s="8"/>
      <c r="W119" s="8"/>
      <c r="X119" s="8"/>
      <c r="Y119" s="8"/>
      <c r="Z119" s="8"/>
    </row>
    <row r="120" ht="15.75" customHeight="1">
      <c r="A120" s="3">
        <v>729.0</v>
      </c>
      <c r="B120" s="4">
        <v>40576.0</v>
      </c>
      <c r="C120" s="3">
        <v>1.0</v>
      </c>
      <c r="D120" s="3">
        <v>0.0</v>
      </c>
      <c r="E120" s="3">
        <v>2.0</v>
      </c>
      <c r="F120" s="3">
        <v>17.0</v>
      </c>
      <c r="G120" s="3" t="b">
        <f t="shared" si="1"/>
        <v>0</v>
      </c>
      <c r="H120" s="3">
        <v>3.0</v>
      </c>
      <c r="I120" s="3">
        <v>1.0</v>
      </c>
      <c r="J120" s="3">
        <v>0.36</v>
      </c>
      <c r="K120" s="3">
        <v>0.3182</v>
      </c>
      <c r="L120" s="3">
        <v>0.53</v>
      </c>
      <c r="M120" s="3">
        <v>0.5224</v>
      </c>
      <c r="N120" s="3">
        <v>7.0</v>
      </c>
      <c r="O120" s="3">
        <v>183.0</v>
      </c>
      <c r="P120" s="3">
        <v>190.0</v>
      </c>
      <c r="Q120" s="8"/>
      <c r="R120" s="8">
        <f t="shared" si="2"/>
        <v>1</v>
      </c>
      <c r="S120" s="8">
        <f t="shared" si="3"/>
        <v>0</v>
      </c>
      <c r="T120" s="8" t="str">
        <f t="shared" si="4"/>
        <v>OK</v>
      </c>
      <c r="U120" s="8">
        <f t="shared" si="5"/>
        <v>0</v>
      </c>
      <c r="V120" s="8"/>
      <c r="W120" s="8"/>
      <c r="X120" s="8"/>
      <c r="Y120" s="8"/>
      <c r="Z120" s="8"/>
    </row>
    <row r="121" ht="15.75" customHeight="1">
      <c r="A121" s="3">
        <v>730.0</v>
      </c>
      <c r="B121" s="4">
        <v>40576.0</v>
      </c>
      <c r="C121" s="3">
        <v>1.0</v>
      </c>
      <c r="D121" s="3">
        <v>0.0</v>
      </c>
      <c r="E121" s="3">
        <v>2.0</v>
      </c>
      <c r="F121" s="3">
        <v>18.0</v>
      </c>
      <c r="G121" s="3" t="b">
        <f t="shared" si="1"/>
        <v>0</v>
      </c>
      <c r="H121" s="3">
        <v>3.0</v>
      </c>
      <c r="I121" s="3">
        <v>1.0</v>
      </c>
      <c r="J121" s="3">
        <v>0.34</v>
      </c>
      <c r="K121" s="3">
        <v>0.2879</v>
      </c>
      <c r="L121" s="3">
        <v>0.42</v>
      </c>
      <c r="M121" s="3">
        <v>0.5522</v>
      </c>
      <c r="N121" s="3">
        <v>7.0</v>
      </c>
      <c r="O121" s="3">
        <v>175.0</v>
      </c>
      <c r="P121" s="3">
        <v>182.0</v>
      </c>
      <c r="Q121" s="8"/>
      <c r="R121" s="8">
        <f t="shared" si="2"/>
        <v>1</v>
      </c>
      <c r="S121" s="8">
        <f t="shared" si="3"/>
        <v>0</v>
      </c>
      <c r="T121" s="8" t="str">
        <f t="shared" si="4"/>
        <v>OK</v>
      </c>
      <c r="U121" s="8">
        <f t="shared" si="5"/>
        <v>0</v>
      </c>
      <c r="V121" s="8"/>
      <c r="W121" s="8"/>
      <c r="X121" s="8"/>
      <c r="Y121" s="8"/>
      <c r="Z121" s="8"/>
    </row>
    <row r="122" ht="15.75" customHeight="1">
      <c r="A122" s="3">
        <v>731.0</v>
      </c>
      <c r="B122" s="4">
        <v>40576.0</v>
      </c>
      <c r="C122" s="3">
        <v>1.0</v>
      </c>
      <c r="D122" s="3">
        <v>0.0</v>
      </c>
      <c r="E122" s="3">
        <v>2.0</v>
      </c>
      <c r="F122" s="3">
        <v>19.0</v>
      </c>
      <c r="G122" s="3" t="b">
        <f t="shared" si="1"/>
        <v>0</v>
      </c>
      <c r="H122" s="3">
        <v>3.0</v>
      </c>
      <c r="I122" s="3">
        <v>1.0</v>
      </c>
      <c r="J122" s="3">
        <v>0.28</v>
      </c>
      <c r="K122" s="3">
        <v>0.2424</v>
      </c>
      <c r="L122" s="3">
        <v>0.45</v>
      </c>
      <c r="M122" s="3">
        <v>0.4925</v>
      </c>
      <c r="N122" s="3">
        <v>3.0</v>
      </c>
      <c r="O122" s="3">
        <v>88.0</v>
      </c>
      <c r="P122" s="3">
        <v>91.0</v>
      </c>
      <c r="Q122" s="8"/>
      <c r="R122" s="8">
        <f t="shared" si="2"/>
        <v>1</v>
      </c>
      <c r="S122" s="8">
        <f t="shared" si="3"/>
        <v>0</v>
      </c>
      <c r="T122" s="8" t="str">
        <f t="shared" si="4"/>
        <v>OK</v>
      </c>
      <c r="U122" s="8">
        <f t="shared" si="5"/>
        <v>0</v>
      </c>
      <c r="V122" s="8"/>
      <c r="W122" s="8"/>
      <c r="X122" s="8"/>
      <c r="Y122" s="8"/>
      <c r="Z122" s="8"/>
    </row>
    <row r="123" ht="15.75" customHeight="1">
      <c r="A123" s="3">
        <v>732.0</v>
      </c>
      <c r="B123" s="4">
        <v>40576.0</v>
      </c>
      <c r="C123" s="3">
        <v>1.0</v>
      </c>
      <c r="D123" s="3">
        <v>0.0</v>
      </c>
      <c r="E123" s="3">
        <v>2.0</v>
      </c>
      <c r="F123" s="3">
        <v>20.0</v>
      </c>
      <c r="G123" s="3" t="b">
        <f t="shared" si="1"/>
        <v>0</v>
      </c>
      <c r="H123" s="3">
        <v>3.0</v>
      </c>
      <c r="I123" s="3">
        <v>1.0</v>
      </c>
      <c r="J123" s="3">
        <v>0.24</v>
      </c>
      <c r="K123" s="3">
        <v>0.197</v>
      </c>
      <c r="L123" s="3">
        <v>0.48</v>
      </c>
      <c r="M123" s="3">
        <v>0.5522</v>
      </c>
      <c r="N123" s="3">
        <v>4.0</v>
      </c>
      <c r="O123" s="3">
        <v>71.0</v>
      </c>
      <c r="P123" s="3">
        <v>75.0</v>
      </c>
      <c r="Q123" s="8"/>
      <c r="R123" s="8">
        <f t="shared" si="2"/>
        <v>1</v>
      </c>
      <c r="S123" s="8">
        <f t="shared" si="3"/>
        <v>0</v>
      </c>
      <c r="T123" s="8" t="str">
        <f t="shared" si="4"/>
        <v>OK</v>
      </c>
      <c r="U123" s="8">
        <f t="shared" si="5"/>
        <v>0</v>
      </c>
      <c r="V123" s="8"/>
      <c r="W123" s="8"/>
      <c r="X123" s="8"/>
      <c r="Y123" s="8"/>
      <c r="Z123" s="8"/>
    </row>
    <row r="124" ht="15.75" customHeight="1">
      <c r="A124" s="3">
        <v>733.0</v>
      </c>
      <c r="B124" s="4">
        <v>40576.0</v>
      </c>
      <c r="C124" s="3">
        <v>1.0</v>
      </c>
      <c r="D124" s="3">
        <v>0.0</v>
      </c>
      <c r="E124" s="3">
        <v>2.0</v>
      </c>
      <c r="F124" s="3">
        <v>21.0</v>
      </c>
      <c r="G124" s="3" t="b">
        <f t="shared" si="1"/>
        <v>0</v>
      </c>
      <c r="H124" s="3">
        <v>3.0</v>
      </c>
      <c r="I124" s="3">
        <v>1.0</v>
      </c>
      <c r="J124" s="3">
        <v>0.22</v>
      </c>
      <c r="K124" s="3">
        <v>0.197</v>
      </c>
      <c r="L124" s="3">
        <v>0.47</v>
      </c>
      <c r="M124" s="3">
        <v>0.3284</v>
      </c>
      <c r="N124" s="3">
        <v>1.0</v>
      </c>
      <c r="O124" s="3">
        <v>62.0</v>
      </c>
      <c r="P124" s="3">
        <v>63.0</v>
      </c>
      <c r="Q124" s="8"/>
      <c r="R124" s="8">
        <f t="shared" si="2"/>
        <v>1</v>
      </c>
      <c r="S124" s="8">
        <f t="shared" si="3"/>
        <v>0</v>
      </c>
      <c r="T124" s="8" t="str">
        <f t="shared" si="4"/>
        <v>OK</v>
      </c>
      <c r="U124" s="8">
        <f t="shared" si="5"/>
        <v>0</v>
      </c>
      <c r="V124" s="8"/>
      <c r="W124" s="8"/>
      <c r="X124" s="8"/>
      <c r="Y124" s="8"/>
      <c r="Z124" s="8"/>
    </row>
    <row r="125" ht="15.75" customHeight="1">
      <c r="A125" s="3">
        <v>734.0</v>
      </c>
      <c r="B125" s="4">
        <v>40576.0</v>
      </c>
      <c r="C125" s="3">
        <v>1.0</v>
      </c>
      <c r="D125" s="3">
        <v>0.0</v>
      </c>
      <c r="E125" s="3">
        <v>2.0</v>
      </c>
      <c r="F125" s="3">
        <v>22.0</v>
      </c>
      <c r="G125" s="3" t="b">
        <f t="shared" si="1"/>
        <v>0</v>
      </c>
      <c r="H125" s="3">
        <v>3.0</v>
      </c>
      <c r="I125" s="3">
        <v>1.0</v>
      </c>
      <c r="J125" s="3">
        <v>0.22</v>
      </c>
      <c r="K125" s="3">
        <v>0.2121</v>
      </c>
      <c r="L125" s="3">
        <v>0.44</v>
      </c>
      <c r="M125" s="3">
        <v>0.2537</v>
      </c>
      <c r="N125" s="3">
        <v>5.0</v>
      </c>
      <c r="O125" s="3">
        <v>35.0</v>
      </c>
      <c r="P125" s="3">
        <v>40.0</v>
      </c>
      <c r="Q125" s="8"/>
      <c r="R125" s="8">
        <f t="shared" si="2"/>
        <v>1</v>
      </c>
      <c r="S125" s="8">
        <f t="shared" si="3"/>
        <v>0</v>
      </c>
      <c r="T125" s="8" t="str">
        <f t="shared" si="4"/>
        <v>OK</v>
      </c>
      <c r="U125" s="8">
        <f t="shared" si="5"/>
        <v>0</v>
      </c>
      <c r="V125" s="8"/>
      <c r="W125" s="8"/>
      <c r="X125" s="8"/>
      <c r="Y125" s="8"/>
      <c r="Z125" s="8"/>
    </row>
    <row r="126" ht="15.75" customHeight="1">
      <c r="A126" s="3">
        <v>735.0</v>
      </c>
      <c r="B126" s="4">
        <v>40576.0</v>
      </c>
      <c r="C126" s="3">
        <v>1.0</v>
      </c>
      <c r="D126" s="3">
        <v>0.0</v>
      </c>
      <c r="E126" s="3">
        <v>2.0</v>
      </c>
      <c r="F126" s="3">
        <v>23.0</v>
      </c>
      <c r="G126" s="3" t="b">
        <f t="shared" si="1"/>
        <v>0</v>
      </c>
      <c r="H126" s="3">
        <v>3.0</v>
      </c>
      <c r="I126" s="3">
        <v>1.0</v>
      </c>
      <c r="J126" s="3">
        <v>0.2</v>
      </c>
      <c r="K126" s="3">
        <v>0.1667</v>
      </c>
      <c r="L126" s="3">
        <v>0.44</v>
      </c>
      <c r="M126" s="3">
        <v>0.4478</v>
      </c>
      <c r="N126" s="3">
        <v>3.0</v>
      </c>
      <c r="O126" s="3">
        <v>29.0</v>
      </c>
      <c r="P126" s="3">
        <v>32.0</v>
      </c>
      <c r="Q126" s="8"/>
      <c r="R126" s="8">
        <f t="shared" si="2"/>
        <v>1</v>
      </c>
      <c r="S126" s="8">
        <f t="shared" si="3"/>
        <v>0</v>
      </c>
      <c r="T126" s="8" t="str">
        <f t="shared" si="4"/>
        <v>OK</v>
      </c>
      <c r="U126" s="8">
        <f t="shared" si="5"/>
        <v>0</v>
      </c>
      <c r="V126" s="8"/>
      <c r="W126" s="8"/>
      <c r="X126" s="8"/>
      <c r="Y126" s="8"/>
      <c r="Z126" s="8"/>
    </row>
    <row r="127" ht="15.75" customHeight="1">
      <c r="A127" s="3">
        <v>736.0</v>
      </c>
      <c r="B127" s="4">
        <v>40577.0</v>
      </c>
      <c r="C127" s="3">
        <v>1.0</v>
      </c>
      <c r="D127" s="3">
        <v>0.0</v>
      </c>
      <c r="E127" s="3">
        <v>2.0</v>
      </c>
      <c r="F127" s="3">
        <v>0.0</v>
      </c>
      <c r="G127" s="3" t="b">
        <f t="shared" si="1"/>
        <v>0</v>
      </c>
      <c r="H127" s="3">
        <v>4.0</v>
      </c>
      <c r="I127" s="3">
        <v>1.0</v>
      </c>
      <c r="J127" s="3">
        <v>0.2</v>
      </c>
      <c r="K127" s="3">
        <v>0.1667</v>
      </c>
      <c r="L127" s="3">
        <v>0.4</v>
      </c>
      <c r="M127" s="3">
        <v>0.4478</v>
      </c>
      <c r="N127" s="3">
        <v>1.0</v>
      </c>
      <c r="O127" s="3">
        <v>11.0</v>
      </c>
      <c r="P127" s="3">
        <v>12.0</v>
      </c>
      <c r="Q127" s="8"/>
      <c r="R127" s="8">
        <f t="shared" si="2"/>
        <v>1</v>
      </c>
      <c r="S127" s="8">
        <f t="shared" si="3"/>
        <v>0</v>
      </c>
      <c r="T127" s="8" t="str">
        <f t="shared" si="4"/>
        <v>OK</v>
      </c>
      <c r="U127" s="8">
        <f t="shared" si="5"/>
        <v>0</v>
      </c>
      <c r="V127" s="8"/>
      <c r="W127" s="8"/>
      <c r="X127" s="8"/>
      <c r="Y127" s="8"/>
      <c r="Z127" s="8"/>
    </row>
    <row r="128" ht="15.75" customHeight="1">
      <c r="A128" s="3">
        <v>737.0</v>
      </c>
      <c r="B128" s="4">
        <v>40577.0</v>
      </c>
      <c r="C128" s="3">
        <v>1.0</v>
      </c>
      <c r="D128" s="3">
        <v>0.0</v>
      </c>
      <c r="E128" s="3">
        <v>2.0</v>
      </c>
      <c r="F128" s="3">
        <v>1.0</v>
      </c>
      <c r="G128" s="3" t="b">
        <f t="shared" si="1"/>
        <v>0</v>
      </c>
      <c r="H128" s="3">
        <v>4.0</v>
      </c>
      <c r="I128" s="3">
        <v>1.0</v>
      </c>
      <c r="J128" s="3">
        <v>0.2</v>
      </c>
      <c r="K128" s="3">
        <v>0.1515</v>
      </c>
      <c r="L128" s="3">
        <v>0.44</v>
      </c>
      <c r="M128" s="3">
        <v>0.5224</v>
      </c>
      <c r="N128" s="3">
        <v>0.0</v>
      </c>
      <c r="O128" s="3">
        <v>5.0</v>
      </c>
      <c r="P128" s="3">
        <v>5.0</v>
      </c>
      <c r="Q128" s="8"/>
      <c r="R128" s="8">
        <f t="shared" si="2"/>
        <v>1</v>
      </c>
      <c r="S128" s="8">
        <f t="shared" si="3"/>
        <v>0</v>
      </c>
      <c r="T128" s="8" t="str">
        <f t="shared" si="4"/>
        <v>OK</v>
      </c>
      <c r="U128" s="8">
        <f t="shared" si="5"/>
        <v>0</v>
      </c>
      <c r="V128" s="8"/>
      <c r="W128" s="8"/>
      <c r="X128" s="8"/>
      <c r="Y128" s="8"/>
      <c r="Z128" s="8"/>
    </row>
    <row r="129" ht="15.75" customHeight="1">
      <c r="A129" s="3">
        <v>738.0</v>
      </c>
      <c r="B129" s="4">
        <v>40577.0</v>
      </c>
      <c r="C129" s="3">
        <v>1.0</v>
      </c>
      <c r="D129" s="3">
        <v>0.0</v>
      </c>
      <c r="E129" s="3">
        <v>2.0</v>
      </c>
      <c r="F129" s="3">
        <v>2.0</v>
      </c>
      <c r="G129" s="3" t="b">
        <f t="shared" si="1"/>
        <v>0</v>
      </c>
      <c r="H129" s="3">
        <v>4.0</v>
      </c>
      <c r="I129" s="3">
        <v>1.0</v>
      </c>
      <c r="J129" s="3">
        <v>0.18</v>
      </c>
      <c r="K129" s="3">
        <v>0.1667</v>
      </c>
      <c r="L129" s="3">
        <v>0.43</v>
      </c>
      <c r="M129" s="3">
        <v>0.2537</v>
      </c>
      <c r="N129" s="3">
        <v>0.0</v>
      </c>
      <c r="O129" s="3">
        <v>2.0</v>
      </c>
      <c r="P129" s="3">
        <v>2.0</v>
      </c>
      <c r="Q129" s="8"/>
      <c r="R129" s="8">
        <f t="shared" si="2"/>
        <v>1</v>
      </c>
      <c r="S129" s="8">
        <f t="shared" si="3"/>
        <v>0</v>
      </c>
      <c r="T129" s="8" t="str">
        <f t="shared" si="4"/>
        <v>OK</v>
      </c>
      <c r="U129" s="8">
        <f t="shared" si="5"/>
        <v>0</v>
      </c>
      <c r="V129" s="8"/>
      <c r="W129" s="8"/>
      <c r="X129" s="8"/>
      <c r="Y129" s="8"/>
      <c r="Z129" s="8"/>
    </row>
    <row r="130" ht="15.75" customHeight="1">
      <c r="A130" s="3">
        <v>739.0</v>
      </c>
      <c r="B130" s="4">
        <v>40577.0</v>
      </c>
      <c r="C130" s="3">
        <v>1.0</v>
      </c>
      <c r="D130" s="3">
        <v>0.0</v>
      </c>
      <c r="E130" s="3">
        <v>2.0</v>
      </c>
      <c r="F130" s="3">
        <v>3.0</v>
      </c>
      <c r="G130" s="3" t="b">
        <f t="shared" si="1"/>
        <v>0</v>
      </c>
      <c r="H130" s="3">
        <v>4.0</v>
      </c>
      <c r="I130" s="3">
        <v>1.0</v>
      </c>
      <c r="J130" s="3">
        <v>0.18</v>
      </c>
      <c r="K130" s="3">
        <v>0.1667</v>
      </c>
      <c r="L130" s="3">
        <v>0.43</v>
      </c>
      <c r="M130" s="3">
        <v>0.2537</v>
      </c>
      <c r="N130" s="3">
        <v>0.0</v>
      </c>
      <c r="O130" s="3">
        <v>1.0</v>
      </c>
      <c r="P130" s="3">
        <v>1.0</v>
      </c>
      <c r="Q130" s="8"/>
      <c r="R130" s="8">
        <f t="shared" si="2"/>
        <v>1</v>
      </c>
      <c r="S130" s="8">
        <f t="shared" si="3"/>
        <v>0</v>
      </c>
      <c r="T130" s="8" t="str">
        <f t="shared" si="4"/>
        <v>OK</v>
      </c>
      <c r="U130" s="8">
        <f t="shared" si="5"/>
        <v>0</v>
      </c>
      <c r="V130" s="8"/>
      <c r="W130" s="8"/>
      <c r="X130" s="8"/>
      <c r="Y130" s="8"/>
      <c r="Z130" s="8"/>
    </row>
    <row r="131" ht="15.75" customHeight="1">
      <c r="A131" s="3">
        <v>740.0</v>
      </c>
      <c r="B131" s="4">
        <v>40577.0</v>
      </c>
      <c r="C131" s="3">
        <v>1.0</v>
      </c>
      <c r="D131" s="3">
        <v>0.0</v>
      </c>
      <c r="E131" s="3">
        <v>2.0</v>
      </c>
      <c r="F131" s="3">
        <v>5.0</v>
      </c>
      <c r="G131" s="3" t="b">
        <f t="shared" si="1"/>
        <v>0</v>
      </c>
      <c r="H131" s="3">
        <v>4.0</v>
      </c>
      <c r="I131" s="3">
        <v>1.0</v>
      </c>
      <c r="J131" s="3">
        <v>0.16</v>
      </c>
      <c r="K131" s="3">
        <v>0.1364</v>
      </c>
      <c r="L131" s="3">
        <v>0.5</v>
      </c>
      <c r="M131" s="3">
        <v>0.2985</v>
      </c>
      <c r="N131" s="3">
        <v>0.0</v>
      </c>
      <c r="O131" s="3">
        <v>2.0</v>
      </c>
      <c r="P131" s="3">
        <v>2.0</v>
      </c>
      <c r="Q131" s="8"/>
      <c r="R131" s="8">
        <f t="shared" si="2"/>
        <v>1</v>
      </c>
      <c r="S131" s="8">
        <f t="shared" si="3"/>
        <v>0</v>
      </c>
      <c r="T131" s="8" t="str">
        <f t="shared" si="4"/>
        <v>OK</v>
      </c>
      <c r="U131" s="8">
        <f t="shared" si="5"/>
        <v>0</v>
      </c>
      <c r="V131" s="8"/>
      <c r="W131" s="8"/>
      <c r="X131" s="8"/>
      <c r="Y131" s="8"/>
      <c r="Z131" s="8"/>
    </row>
    <row r="132" ht="15.75" customHeight="1">
      <c r="A132" s="3">
        <v>741.0</v>
      </c>
      <c r="B132" s="4">
        <v>40577.0</v>
      </c>
      <c r="C132" s="3">
        <v>1.0</v>
      </c>
      <c r="D132" s="3">
        <v>0.0</v>
      </c>
      <c r="E132" s="3">
        <v>2.0</v>
      </c>
      <c r="F132" s="3">
        <v>6.0</v>
      </c>
      <c r="G132" s="3" t="b">
        <f t="shared" si="1"/>
        <v>0</v>
      </c>
      <c r="H132" s="3">
        <v>4.0</v>
      </c>
      <c r="I132" s="3">
        <v>1.0</v>
      </c>
      <c r="J132" s="3">
        <v>0.16</v>
      </c>
      <c r="K132" s="3">
        <v>0.1364</v>
      </c>
      <c r="L132" s="3">
        <v>0.43</v>
      </c>
      <c r="M132" s="3">
        <v>0.3582</v>
      </c>
      <c r="N132" s="3">
        <v>0.0</v>
      </c>
      <c r="O132" s="3">
        <v>39.0</v>
      </c>
      <c r="P132" s="3">
        <v>39.0</v>
      </c>
      <c r="Q132" s="8"/>
      <c r="R132" s="8">
        <f t="shared" si="2"/>
        <v>1</v>
      </c>
      <c r="S132" s="8">
        <f t="shared" si="3"/>
        <v>0</v>
      </c>
      <c r="T132" s="8" t="str">
        <f t="shared" si="4"/>
        <v>OK</v>
      </c>
      <c r="U132" s="8">
        <f t="shared" si="5"/>
        <v>0</v>
      </c>
      <c r="V132" s="8"/>
      <c r="W132" s="8"/>
      <c r="X132" s="8"/>
      <c r="Y132" s="8"/>
      <c r="Z132" s="8"/>
    </row>
    <row r="133" ht="15.75" customHeight="1">
      <c r="A133" s="3">
        <v>742.0</v>
      </c>
      <c r="B133" s="4">
        <v>40577.0</v>
      </c>
      <c r="C133" s="3">
        <v>1.0</v>
      </c>
      <c r="D133" s="3">
        <v>0.0</v>
      </c>
      <c r="E133" s="3">
        <v>2.0</v>
      </c>
      <c r="F133" s="3">
        <v>7.0</v>
      </c>
      <c r="G133" s="3" t="b">
        <f t="shared" si="1"/>
        <v>0</v>
      </c>
      <c r="H133" s="3">
        <v>4.0</v>
      </c>
      <c r="I133" s="3">
        <v>1.0</v>
      </c>
      <c r="J133" s="3">
        <v>0.14</v>
      </c>
      <c r="K133" s="3">
        <v>0.1212</v>
      </c>
      <c r="L133" s="3">
        <v>0.5</v>
      </c>
      <c r="M133" s="3">
        <v>0.3284</v>
      </c>
      <c r="N133" s="3">
        <v>1.0</v>
      </c>
      <c r="O133" s="3">
        <v>86.0</v>
      </c>
      <c r="P133" s="3">
        <v>87.0</v>
      </c>
      <c r="Q133" s="8"/>
      <c r="R133" s="8">
        <f t="shared" si="2"/>
        <v>1</v>
      </c>
      <c r="S133" s="8">
        <f t="shared" si="3"/>
        <v>0</v>
      </c>
      <c r="T133" s="8" t="str">
        <f t="shared" si="4"/>
        <v>OK</v>
      </c>
      <c r="U133" s="8">
        <f t="shared" si="5"/>
        <v>0</v>
      </c>
      <c r="V133" s="8"/>
      <c r="W133" s="8"/>
      <c r="X133" s="8"/>
      <c r="Y133" s="8"/>
      <c r="Z133" s="8"/>
    </row>
    <row r="134" ht="15.75" customHeight="1">
      <c r="A134" s="3">
        <v>743.0</v>
      </c>
      <c r="B134" s="4">
        <v>40577.0</v>
      </c>
      <c r="C134" s="3">
        <v>1.0</v>
      </c>
      <c r="D134" s="3">
        <v>0.0</v>
      </c>
      <c r="E134" s="3">
        <v>2.0</v>
      </c>
      <c r="F134" s="3">
        <v>8.0</v>
      </c>
      <c r="G134" s="3" t="b">
        <f t="shared" si="1"/>
        <v>0</v>
      </c>
      <c r="H134" s="3">
        <v>4.0</v>
      </c>
      <c r="I134" s="3">
        <v>1.0</v>
      </c>
      <c r="J134" s="3">
        <v>0.14</v>
      </c>
      <c r="K134" s="3">
        <v>0.1212</v>
      </c>
      <c r="L134" s="3">
        <v>0.5</v>
      </c>
      <c r="M134" s="3">
        <v>0.3582</v>
      </c>
      <c r="N134" s="3">
        <v>4.0</v>
      </c>
      <c r="O134" s="3">
        <v>184.0</v>
      </c>
      <c r="P134" s="3">
        <v>188.0</v>
      </c>
      <c r="Q134" s="8"/>
      <c r="R134" s="8">
        <f t="shared" si="2"/>
        <v>1</v>
      </c>
      <c r="S134" s="8">
        <f t="shared" si="3"/>
        <v>0</v>
      </c>
      <c r="T134" s="8" t="str">
        <f t="shared" si="4"/>
        <v>OK</v>
      </c>
      <c r="U134" s="8">
        <f t="shared" si="5"/>
        <v>0</v>
      </c>
      <c r="V134" s="8"/>
      <c r="W134" s="8"/>
      <c r="X134" s="8"/>
      <c r="Y134" s="8"/>
      <c r="Z134" s="8"/>
    </row>
    <row r="135" ht="15.75" customHeight="1">
      <c r="A135" s="3">
        <v>744.0</v>
      </c>
      <c r="B135" s="4">
        <v>40577.0</v>
      </c>
      <c r="C135" s="3">
        <v>1.0</v>
      </c>
      <c r="D135" s="3">
        <v>0.0</v>
      </c>
      <c r="E135" s="3">
        <v>2.0</v>
      </c>
      <c r="F135" s="3">
        <v>9.0</v>
      </c>
      <c r="G135" s="3" t="b">
        <f t="shared" si="1"/>
        <v>0</v>
      </c>
      <c r="H135" s="3">
        <v>4.0</v>
      </c>
      <c r="I135" s="3">
        <v>1.0</v>
      </c>
      <c r="J135" s="3">
        <v>0.16</v>
      </c>
      <c r="K135" s="3">
        <v>0.1364</v>
      </c>
      <c r="L135" s="3">
        <v>0.47</v>
      </c>
      <c r="M135" s="3">
        <v>0.2985</v>
      </c>
      <c r="N135" s="3">
        <v>6.0</v>
      </c>
      <c r="O135" s="3">
        <v>127.0</v>
      </c>
      <c r="P135" s="3">
        <v>133.0</v>
      </c>
      <c r="Q135" s="8"/>
      <c r="R135" s="8">
        <f t="shared" si="2"/>
        <v>1</v>
      </c>
      <c r="S135" s="8">
        <f t="shared" si="3"/>
        <v>0</v>
      </c>
      <c r="T135" s="8" t="str">
        <f t="shared" si="4"/>
        <v>OK</v>
      </c>
      <c r="U135" s="8">
        <f t="shared" si="5"/>
        <v>0</v>
      </c>
      <c r="V135" s="8"/>
      <c r="W135" s="8"/>
      <c r="X135" s="8"/>
      <c r="Y135" s="8"/>
      <c r="Z135" s="8"/>
    </row>
    <row r="136" ht="15.75" customHeight="1">
      <c r="A136" s="3">
        <v>745.0</v>
      </c>
      <c r="B136" s="4">
        <v>40577.0</v>
      </c>
      <c r="C136" s="3">
        <v>1.0</v>
      </c>
      <c r="D136" s="3">
        <v>0.0</v>
      </c>
      <c r="E136" s="3">
        <v>2.0</v>
      </c>
      <c r="F136" s="3">
        <v>10.0</v>
      </c>
      <c r="G136" s="3" t="b">
        <f t="shared" si="1"/>
        <v>0</v>
      </c>
      <c r="H136" s="3">
        <v>4.0</v>
      </c>
      <c r="I136" s="3">
        <v>1.0</v>
      </c>
      <c r="J136" s="3">
        <v>0.18</v>
      </c>
      <c r="K136" s="3">
        <v>0.1515</v>
      </c>
      <c r="L136" s="3">
        <v>0.43</v>
      </c>
      <c r="M136" s="3">
        <v>0.3284</v>
      </c>
      <c r="N136" s="3">
        <v>2.0</v>
      </c>
      <c r="O136" s="3">
        <v>50.0</v>
      </c>
      <c r="P136" s="3">
        <v>52.0</v>
      </c>
      <c r="Q136" s="8"/>
      <c r="R136" s="8">
        <f t="shared" si="2"/>
        <v>1</v>
      </c>
      <c r="S136" s="8">
        <f t="shared" si="3"/>
        <v>0</v>
      </c>
      <c r="T136" s="8" t="str">
        <f t="shared" si="4"/>
        <v>OK</v>
      </c>
      <c r="U136" s="8">
        <f t="shared" si="5"/>
        <v>0</v>
      </c>
      <c r="V136" s="8"/>
      <c r="W136" s="8"/>
      <c r="X136" s="8"/>
      <c r="Y136" s="8"/>
      <c r="Z136" s="8"/>
    </row>
    <row r="137" ht="15.75" customHeight="1">
      <c r="A137" s="3">
        <v>746.0</v>
      </c>
      <c r="B137" s="4">
        <v>40577.0</v>
      </c>
      <c r="C137" s="3">
        <v>1.0</v>
      </c>
      <c r="D137" s="3">
        <v>0.0</v>
      </c>
      <c r="E137" s="3">
        <v>2.0</v>
      </c>
      <c r="F137" s="3">
        <v>11.0</v>
      </c>
      <c r="G137" s="3" t="b">
        <f t="shared" si="1"/>
        <v>0</v>
      </c>
      <c r="H137" s="3">
        <v>4.0</v>
      </c>
      <c r="I137" s="3">
        <v>1.0</v>
      </c>
      <c r="J137" s="3">
        <v>0.18</v>
      </c>
      <c r="K137" s="3">
        <v>0.1364</v>
      </c>
      <c r="L137" s="3">
        <v>0.43</v>
      </c>
      <c r="M137" s="3">
        <v>0.4478</v>
      </c>
      <c r="N137" s="3">
        <v>9.0</v>
      </c>
      <c r="O137" s="3">
        <v>55.0</v>
      </c>
      <c r="P137" s="3">
        <v>64.0</v>
      </c>
      <c r="Q137" s="8"/>
      <c r="R137" s="8">
        <f t="shared" si="2"/>
        <v>1</v>
      </c>
      <c r="S137" s="8">
        <f t="shared" si="3"/>
        <v>0</v>
      </c>
      <c r="T137" s="8" t="str">
        <f t="shared" si="4"/>
        <v>OK</v>
      </c>
      <c r="U137" s="8">
        <f t="shared" si="5"/>
        <v>0</v>
      </c>
      <c r="V137" s="8"/>
      <c r="W137" s="8"/>
      <c r="X137" s="8"/>
      <c r="Y137" s="8"/>
      <c r="Z137" s="8"/>
    </row>
    <row r="138" ht="15.75" customHeight="1">
      <c r="A138" s="3">
        <v>747.0</v>
      </c>
      <c r="B138" s="4">
        <v>40577.0</v>
      </c>
      <c r="C138" s="3">
        <v>1.0</v>
      </c>
      <c r="D138" s="3">
        <v>0.0</v>
      </c>
      <c r="E138" s="3">
        <v>2.0</v>
      </c>
      <c r="F138" s="3">
        <v>12.0</v>
      </c>
      <c r="G138" s="3" t="b">
        <f t="shared" si="1"/>
        <v>0</v>
      </c>
      <c r="H138" s="3">
        <v>4.0</v>
      </c>
      <c r="I138" s="3">
        <v>1.0</v>
      </c>
      <c r="J138" s="3">
        <v>0.2</v>
      </c>
      <c r="K138" s="3">
        <v>0.1818</v>
      </c>
      <c r="L138" s="3">
        <v>0.4</v>
      </c>
      <c r="M138" s="3">
        <v>0.3582</v>
      </c>
      <c r="N138" s="3">
        <v>2.0</v>
      </c>
      <c r="O138" s="3">
        <v>67.0</v>
      </c>
      <c r="P138" s="3">
        <v>69.0</v>
      </c>
      <c r="Q138" s="8"/>
      <c r="R138" s="8">
        <f t="shared" si="2"/>
        <v>1</v>
      </c>
      <c r="S138" s="8">
        <f t="shared" si="3"/>
        <v>0</v>
      </c>
      <c r="T138" s="8" t="str">
        <f t="shared" si="4"/>
        <v>OK</v>
      </c>
      <c r="U138" s="8">
        <f t="shared" si="5"/>
        <v>0</v>
      </c>
      <c r="V138" s="8"/>
      <c r="W138" s="8"/>
      <c r="X138" s="8"/>
      <c r="Y138" s="8"/>
      <c r="Z138" s="8"/>
    </row>
    <row r="139" ht="15.75" customHeight="1">
      <c r="A139" s="3">
        <v>748.0</v>
      </c>
      <c r="B139" s="4">
        <v>40577.0</v>
      </c>
      <c r="C139" s="3">
        <v>1.0</v>
      </c>
      <c r="D139" s="3">
        <v>0.0</v>
      </c>
      <c r="E139" s="3">
        <v>2.0</v>
      </c>
      <c r="F139" s="3">
        <v>13.0</v>
      </c>
      <c r="G139" s="3" t="b">
        <f t="shared" si="1"/>
        <v>0</v>
      </c>
      <c r="H139" s="3">
        <v>4.0</v>
      </c>
      <c r="I139" s="3">
        <v>1.0</v>
      </c>
      <c r="J139" s="3">
        <v>0.2</v>
      </c>
      <c r="K139" s="3">
        <v>0.1667</v>
      </c>
      <c r="L139" s="3">
        <v>0.4</v>
      </c>
      <c r="M139" s="3">
        <v>0.4179</v>
      </c>
      <c r="N139" s="3">
        <v>4.0</v>
      </c>
      <c r="O139" s="3">
        <v>47.0</v>
      </c>
      <c r="P139" s="3">
        <v>51.0</v>
      </c>
      <c r="Q139" s="8"/>
      <c r="R139" s="8">
        <f t="shared" si="2"/>
        <v>1</v>
      </c>
      <c r="S139" s="8">
        <f t="shared" si="3"/>
        <v>0</v>
      </c>
      <c r="T139" s="8" t="str">
        <f t="shared" si="4"/>
        <v>OK</v>
      </c>
      <c r="U139" s="8">
        <f t="shared" si="5"/>
        <v>0</v>
      </c>
      <c r="V139" s="8"/>
      <c r="W139" s="8"/>
      <c r="X139" s="8"/>
      <c r="Y139" s="8"/>
      <c r="Z139" s="8"/>
    </row>
    <row r="140" ht="15.75" customHeight="1">
      <c r="A140" s="3">
        <v>749.0</v>
      </c>
      <c r="B140" s="4">
        <v>40577.0</v>
      </c>
      <c r="C140" s="3">
        <v>1.0</v>
      </c>
      <c r="D140" s="3">
        <v>0.0</v>
      </c>
      <c r="E140" s="3">
        <v>2.0</v>
      </c>
      <c r="F140" s="3">
        <v>14.0</v>
      </c>
      <c r="G140" s="3" t="b">
        <f t="shared" si="1"/>
        <v>0</v>
      </c>
      <c r="H140" s="3">
        <v>4.0</v>
      </c>
      <c r="I140" s="3">
        <v>1.0</v>
      </c>
      <c r="J140" s="3">
        <v>0.22</v>
      </c>
      <c r="K140" s="3">
        <v>0.197</v>
      </c>
      <c r="L140" s="3">
        <v>0.37</v>
      </c>
      <c r="M140" s="3">
        <v>0.3881</v>
      </c>
      <c r="N140" s="3">
        <v>4.0</v>
      </c>
      <c r="O140" s="3">
        <v>43.0</v>
      </c>
      <c r="P140" s="3">
        <v>47.0</v>
      </c>
      <c r="Q140" s="8"/>
      <c r="R140" s="8">
        <f t="shared" si="2"/>
        <v>1</v>
      </c>
      <c r="S140" s="8">
        <f t="shared" si="3"/>
        <v>0</v>
      </c>
      <c r="T140" s="8" t="str">
        <f t="shared" si="4"/>
        <v>OK</v>
      </c>
      <c r="U140" s="8">
        <f t="shared" si="5"/>
        <v>0</v>
      </c>
      <c r="V140" s="8"/>
      <c r="W140" s="8"/>
      <c r="X140" s="8"/>
      <c r="Y140" s="8"/>
      <c r="Z140" s="8"/>
    </row>
    <row r="141" ht="15.75" customHeight="1">
      <c r="A141" s="3">
        <v>750.0</v>
      </c>
      <c r="B141" s="4">
        <v>40577.0</v>
      </c>
      <c r="C141" s="3">
        <v>1.0</v>
      </c>
      <c r="D141" s="3">
        <v>0.0</v>
      </c>
      <c r="E141" s="3">
        <v>2.0</v>
      </c>
      <c r="F141" s="3">
        <v>15.0</v>
      </c>
      <c r="G141" s="3" t="b">
        <f t="shared" si="1"/>
        <v>0</v>
      </c>
      <c r="H141" s="3">
        <v>4.0</v>
      </c>
      <c r="I141" s="3">
        <v>1.0</v>
      </c>
      <c r="J141" s="3">
        <v>0.22</v>
      </c>
      <c r="K141" s="3">
        <v>0.197</v>
      </c>
      <c r="L141" s="3">
        <v>0.37</v>
      </c>
      <c r="M141" s="3">
        <v>0.3284</v>
      </c>
      <c r="N141" s="3">
        <v>4.0</v>
      </c>
      <c r="O141" s="3">
        <v>56.0</v>
      </c>
      <c r="P141" s="3">
        <v>60.0</v>
      </c>
      <c r="Q141" s="8"/>
      <c r="R141" s="8">
        <f t="shared" si="2"/>
        <v>1</v>
      </c>
      <c r="S141" s="8">
        <f t="shared" si="3"/>
        <v>0</v>
      </c>
      <c r="T141" s="8" t="str">
        <f t="shared" si="4"/>
        <v>OK</v>
      </c>
      <c r="U141" s="8">
        <f t="shared" si="5"/>
        <v>0</v>
      </c>
      <c r="V141" s="8"/>
      <c r="W141" s="8"/>
      <c r="X141" s="8"/>
      <c r="Y141" s="8"/>
      <c r="Z141" s="8"/>
    </row>
    <row r="142" ht="15.75" customHeight="1">
      <c r="A142" s="3">
        <v>751.0</v>
      </c>
      <c r="B142" s="4">
        <v>40577.0</v>
      </c>
      <c r="C142" s="3">
        <v>1.0</v>
      </c>
      <c r="D142" s="3">
        <v>0.0</v>
      </c>
      <c r="E142" s="3">
        <v>2.0</v>
      </c>
      <c r="F142" s="3">
        <v>16.0</v>
      </c>
      <c r="G142" s="3" t="b">
        <f t="shared" si="1"/>
        <v>0</v>
      </c>
      <c r="H142" s="3">
        <v>4.0</v>
      </c>
      <c r="I142" s="3">
        <v>1.0</v>
      </c>
      <c r="J142" s="3">
        <v>0.22</v>
      </c>
      <c r="K142" s="3">
        <v>0.2121</v>
      </c>
      <c r="L142" s="3">
        <v>0.37</v>
      </c>
      <c r="M142" s="3">
        <v>0.2537</v>
      </c>
      <c r="N142" s="3">
        <v>5.0</v>
      </c>
      <c r="O142" s="3">
        <v>73.0</v>
      </c>
      <c r="P142" s="3">
        <v>78.0</v>
      </c>
      <c r="Q142" s="8"/>
      <c r="R142" s="8">
        <f t="shared" si="2"/>
        <v>1</v>
      </c>
      <c r="S142" s="8">
        <f t="shared" si="3"/>
        <v>0</v>
      </c>
      <c r="T142" s="8" t="str">
        <f t="shared" si="4"/>
        <v>OK</v>
      </c>
      <c r="U142" s="8">
        <f t="shared" si="5"/>
        <v>0</v>
      </c>
      <c r="V142" s="8"/>
      <c r="W142" s="8"/>
      <c r="X142" s="8"/>
      <c r="Y142" s="8"/>
      <c r="Z142" s="8"/>
    </row>
    <row r="143" ht="15.75" customHeight="1">
      <c r="A143" s="3">
        <v>752.0</v>
      </c>
      <c r="B143" s="4">
        <v>40577.0</v>
      </c>
      <c r="C143" s="3">
        <v>1.0</v>
      </c>
      <c r="D143" s="3">
        <v>0.0</v>
      </c>
      <c r="E143" s="3">
        <v>2.0</v>
      </c>
      <c r="F143" s="3">
        <v>17.0</v>
      </c>
      <c r="G143" s="3" t="b">
        <f t="shared" si="1"/>
        <v>0</v>
      </c>
      <c r="H143" s="3">
        <v>4.0</v>
      </c>
      <c r="I143" s="3">
        <v>1.0</v>
      </c>
      <c r="J143" s="3">
        <v>0.2</v>
      </c>
      <c r="K143" s="3">
        <v>0.197</v>
      </c>
      <c r="L143" s="3">
        <v>0.4</v>
      </c>
      <c r="M143" s="3">
        <v>0.194</v>
      </c>
      <c r="N143" s="3">
        <v>5.0</v>
      </c>
      <c r="O143" s="3">
        <v>170.0</v>
      </c>
      <c r="P143" s="3">
        <v>175.0</v>
      </c>
      <c r="Q143" s="8"/>
      <c r="R143" s="8">
        <f t="shared" si="2"/>
        <v>1</v>
      </c>
      <c r="S143" s="8">
        <f t="shared" si="3"/>
        <v>0</v>
      </c>
      <c r="T143" s="8" t="str">
        <f t="shared" si="4"/>
        <v>OK</v>
      </c>
      <c r="U143" s="8">
        <f t="shared" si="5"/>
        <v>0</v>
      </c>
      <c r="V143" s="8"/>
      <c r="W143" s="8"/>
      <c r="X143" s="8"/>
      <c r="Y143" s="8"/>
      <c r="Z143" s="8"/>
    </row>
    <row r="144" ht="15.75" customHeight="1">
      <c r="A144" s="3">
        <v>753.0</v>
      </c>
      <c r="B144" s="4">
        <v>40577.0</v>
      </c>
      <c r="C144" s="3">
        <v>1.0</v>
      </c>
      <c r="D144" s="3">
        <v>0.0</v>
      </c>
      <c r="E144" s="3">
        <v>2.0</v>
      </c>
      <c r="F144" s="3">
        <v>18.0</v>
      </c>
      <c r="G144" s="3" t="b">
        <f t="shared" si="1"/>
        <v>0</v>
      </c>
      <c r="H144" s="3">
        <v>4.0</v>
      </c>
      <c r="I144" s="3">
        <v>1.0</v>
      </c>
      <c r="J144" s="3">
        <v>0.2</v>
      </c>
      <c r="K144" s="3">
        <v>0.2121</v>
      </c>
      <c r="L144" s="3">
        <v>0.4</v>
      </c>
      <c r="M144" s="3">
        <v>0.1642</v>
      </c>
      <c r="N144" s="3">
        <v>2.0</v>
      </c>
      <c r="O144" s="3">
        <v>145.0</v>
      </c>
      <c r="P144" s="3">
        <v>147.0</v>
      </c>
      <c r="Q144" s="8"/>
      <c r="R144" s="8">
        <f t="shared" si="2"/>
        <v>1</v>
      </c>
      <c r="S144" s="8">
        <f t="shared" si="3"/>
        <v>0</v>
      </c>
      <c r="T144" s="8" t="str">
        <f t="shared" si="4"/>
        <v>OK</v>
      </c>
      <c r="U144" s="8">
        <f t="shared" si="5"/>
        <v>0</v>
      </c>
      <c r="V144" s="8"/>
      <c r="W144" s="8"/>
      <c r="X144" s="8"/>
      <c r="Y144" s="8"/>
      <c r="Z144" s="8"/>
    </row>
    <row r="145" ht="15.75" customHeight="1">
      <c r="A145" s="3">
        <v>754.0</v>
      </c>
      <c r="B145" s="4">
        <v>40577.0</v>
      </c>
      <c r="C145" s="3">
        <v>1.0</v>
      </c>
      <c r="D145" s="3">
        <v>0.0</v>
      </c>
      <c r="E145" s="3">
        <v>2.0</v>
      </c>
      <c r="F145" s="3">
        <v>19.0</v>
      </c>
      <c r="G145" s="3" t="b">
        <f t="shared" si="1"/>
        <v>0</v>
      </c>
      <c r="H145" s="3">
        <v>4.0</v>
      </c>
      <c r="I145" s="3">
        <v>1.0</v>
      </c>
      <c r="J145" s="3">
        <v>0.2</v>
      </c>
      <c r="K145" s="3">
        <v>0.2576</v>
      </c>
      <c r="L145" s="3">
        <v>0.4</v>
      </c>
      <c r="M145" s="3">
        <v>0.0</v>
      </c>
      <c r="N145" s="3">
        <v>4.0</v>
      </c>
      <c r="O145" s="3">
        <v>92.0</v>
      </c>
      <c r="P145" s="3">
        <v>96.0</v>
      </c>
      <c r="Q145" s="8"/>
      <c r="R145" s="8">
        <f t="shared" si="2"/>
        <v>1</v>
      </c>
      <c r="S145" s="8">
        <f t="shared" si="3"/>
        <v>0</v>
      </c>
      <c r="T145" s="8" t="str">
        <f t="shared" si="4"/>
        <v>OK</v>
      </c>
      <c r="U145" s="8">
        <f t="shared" si="5"/>
        <v>0</v>
      </c>
      <c r="V145" s="8"/>
      <c r="W145" s="8"/>
      <c r="X145" s="8"/>
      <c r="Y145" s="8"/>
      <c r="Z145" s="8"/>
    </row>
    <row r="146" ht="15.75" customHeight="1">
      <c r="A146" s="3">
        <v>755.0</v>
      </c>
      <c r="B146" s="4">
        <v>40577.0</v>
      </c>
      <c r="C146" s="3">
        <v>1.0</v>
      </c>
      <c r="D146" s="3">
        <v>0.0</v>
      </c>
      <c r="E146" s="3">
        <v>2.0</v>
      </c>
      <c r="F146" s="3">
        <v>20.0</v>
      </c>
      <c r="G146" s="3" t="b">
        <f t="shared" si="1"/>
        <v>0</v>
      </c>
      <c r="H146" s="3">
        <v>4.0</v>
      </c>
      <c r="I146" s="3">
        <v>1.0</v>
      </c>
      <c r="J146" s="3">
        <v>0.2</v>
      </c>
      <c r="K146" s="3">
        <v>0.2273</v>
      </c>
      <c r="L146" s="3">
        <v>0.47</v>
      </c>
      <c r="M146" s="3">
        <v>0.0896</v>
      </c>
      <c r="N146" s="3">
        <v>1.0</v>
      </c>
      <c r="O146" s="3">
        <v>108.0</v>
      </c>
      <c r="P146" s="3">
        <v>109.0</v>
      </c>
      <c r="Q146" s="8"/>
      <c r="R146" s="8">
        <f t="shared" si="2"/>
        <v>1</v>
      </c>
      <c r="S146" s="8">
        <f t="shared" si="3"/>
        <v>0</v>
      </c>
      <c r="T146" s="8" t="str">
        <f t="shared" si="4"/>
        <v>OK</v>
      </c>
      <c r="U146" s="8">
        <f t="shared" si="5"/>
        <v>0</v>
      </c>
      <c r="V146" s="8"/>
      <c r="W146" s="8"/>
      <c r="X146" s="8"/>
      <c r="Y146" s="8"/>
      <c r="Z146" s="8"/>
    </row>
    <row r="147" ht="15.75" customHeight="1">
      <c r="A147" s="3">
        <v>756.0</v>
      </c>
      <c r="B147" s="4">
        <v>40577.0</v>
      </c>
      <c r="C147" s="3">
        <v>1.0</v>
      </c>
      <c r="D147" s="3">
        <v>0.0</v>
      </c>
      <c r="E147" s="3">
        <v>2.0</v>
      </c>
      <c r="F147" s="3">
        <v>21.0</v>
      </c>
      <c r="G147" s="3" t="b">
        <f t="shared" si="1"/>
        <v>0</v>
      </c>
      <c r="H147" s="3">
        <v>4.0</v>
      </c>
      <c r="I147" s="3">
        <v>1.0</v>
      </c>
      <c r="J147" s="3">
        <v>0.18</v>
      </c>
      <c r="K147" s="3">
        <v>0.2121</v>
      </c>
      <c r="L147" s="3">
        <v>0.55</v>
      </c>
      <c r="M147" s="3">
        <v>0.1045</v>
      </c>
      <c r="N147" s="3">
        <v>1.0</v>
      </c>
      <c r="O147" s="3">
        <v>53.0</v>
      </c>
      <c r="P147" s="3">
        <v>54.0</v>
      </c>
      <c r="Q147" s="8"/>
      <c r="R147" s="8">
        <f t="shared" si="2"/>
        <v>1</v>
      </c>
      <c r="S147" s="8">
        <f t="shared" si="3"/>
        <v>0</v>
      </c>
      <c r="T147" s="8" t="str">
        <f t="shared" si="4"/>
        <v>OK</v>
      </c>
      <c r="U147" s="8">
        <f t="shared" si="5"/>
        <v>0</v>
      </c>
      <c r="V147" s="8"/>
      <c r="W147" s="8"/>
      <c r="X147" s="8"/>
      <c r="Y147" s="8"/>
      <c r="Z147" s="8"/>
    </row>
    <row r="148" ht="15.75" customHeight="1">
      <c r="A148" s="3">
        <v>757.0</v>
      </c>
      <c r="B148" s="4">
        <v>40577.0</v>
      </c>
      <c r="C148" s="3">
        <v>1.0</v>
      </c>
      <c r="D148" s="3">
        <v>0.0</v>
      </c>
      <c r="E148" s="3">
        <v>2.0</v>
      </c>
      <c r="F148" s="3">
        <v>22.0</v>
      </c>
      <c r="G148" s="3" t="b">
        <f t="shared" si="1"/>
        <v>0</v>
      </c>
      <c r="H148" s="3">
        <v>4.0</v>
      </c>
      <c r="I148" s="3">
        <v>1.0</v>
      </c>
      <c r="J148" s="3">
        <v>0.18</v>
      </c>
      <c r="K148" s="3">
        <v>0.2121</v>
      </c>
      <c r="L148" s="3">
        <v>0.51</v>
      </c>
      <c r="M148" s="3">
        <v>0.0896</v>
      </c>
      <c r="N148" s="3">
        <v>2.0</v>
      </c>
      <c r="O148" s="3">
        <v>39.0</v>
      </c>
      <c r="P148" s="3">
        <v>41.0</v>
      </c>
      <c r="Q148" s="8"/>
      <c r="R148" s="8">
        <f t="shared" si="2"/>
        <v>1</v>
      </c>
      <c r="S148" s="8">
        <f t="shared" si="3"/>
        <v>0</v>
      </c>
      <c r="T148" s="8" t="str">
        <f t="shared" si="4"/>
        <v>OK</v>
      </c>
      <c r="U148" s="8">
        <f t="shared" si="5"/>
        <v>0</v>
      </c>
      <c r="V148" s="8"/>
      <c r="W148" s="8"/>
      <c r="X148" s="8"/>
      <c r="Y148" s="8"/>
      <c r="Z148" s="8"/>
    </row>
    <row r="149" ht="15.75" customHeight="1">
      <c r="A149" s="3">
        <v>758.0</v>
      </c>
      <c r="B149" s="4">
        <v>40577.0</v>
      </c>
      <c r="C149" s="3">
        <v>1.0</v>
      </c>
      <c r="D149" s="3">
        <v>0.0</v>
      </c>
      <c r="E149" s="3">
        <v>2.0</v>
      </c>
      <c r="F149" s="3">
        <v>23.0</v>
      </c>
      <c r="G149" s="3" t="b">
        <f t="shared" si="1"/>
        <v>0</v>
      </c>
      <c r="H149" s="3">
        <v>4.0</v>
      </c>
      <c r="I149" s="3">
        <v>1.0</v>
      </c>
      <c r="J149" s="3">
        <v>0.2</v>
      </c>
      <c r="K149" s="3">
        <v>0.2273</v>
      </c>
      <c r="L149" s="3">
        <v>0.47</v>
      </c>
      <c r="M149" s="3">
        <v>0.1045</v>
      </c>
      <c r="N149" s="3">
        <v>4.0</v>
      </c>
      <c r="O149" s="3">
        <v>34.0</v>
      </c>
      <c r="P149" s="3">
        <v>38.0</v>
      </c>
      <c r="Q149" s="8"/>
      <c r="R149" s="8">
        <f t="shared" si="2"/>
        <v>1</v>
      </c>
      <c r="S149" s="8">
        <f t="shared" si="3"/>
        <v>0</v>
      </c>
      <c r="T149" s="8" t="str">
        <f t="shared" si="4"/>
        <v>OK</v>
      </c>
      <c r="U149" s="8">
        <f t="shared" si="5"/>
        <v>0</v>
      </c>
      <c r="V149" s="8"/>
      <c r="W149" s="8"/>
      <c r="X149" s="8"/>
      <c r="Y149" s="8"/>
      <c r="Z149" s="8"/>
    </row>
    <row r="150" ht="15.75" customHeight="1">
      <c r="A150" s="3">
        <v>759.0</v>
      </c>
      <c r="B150" s="4">
        <v>40578.0</v>
      </c>
      <c r="C150" s="3">
        <v>1.0</v>
      </c>
      <c r="D150" s="3">
        <v>0.0</v>
      </c>
      <c r="E150" s="3">
        <v>2.0</v>
      </c>
      <c r="F150" s="3">
        <v>0.0</v>
      </c>
      <c r="G150" s="3" t="b">
        <f t="shared" si="1"/>
        <v>0</v>
      </c>
      <c r="H150" s="3">
        <v>5.0</v>
      </c>
      <c r="I150" s="3">
        <v>2.0</v>
      </c>
      <c r="J150" s="3">
        <v>0.2</v>
      </c>
      <c r="K150" s="3">
        <v>0.2576</v>
      </c>
      <c r="L150" s="3">
        <v>0.44</v>
      </c>
      <c r="M150" s="3">
        <v>0.0</v>
      </c>
      <c r="N150" s="3">
        <v>3.0</v>
      </c>
      <c r="O150" s="3">
        <v>10.0</v>
      </c>
      <c r="P150" s="3">
        <v>13.0</v>
      </c>
      <c r="Q150" s="8"/>
      <c r="R150" s="8">
        <f t="shared" si="2"/>
        <v>1</v>
      </c>
      <c r="S150" s="8">
        <f t="shared" si="3"/>
        <v>0</v>
      </c>
      <c r="T150" s="8" t="str">
        <f t="shared" si="4"/>
        <v>OK</v>
      </c>
      <c r="U150" s="8">
        <f t="shared" si="5"/>
        <v>0</v>
      </c>
      <c r="V150" s="8"/>
      <c r="W150" s="8"/>
      <c r="X150" s="8"/>
      <c r="Y150" s="8"/>
      <c r="Z150" s="8"/>
    </row>
    <row r="151" ht="15.75" customHeight="1">
      <c r="A151" s="3">
        <v>760.0</v>
      </c>
      <c r="B151" s="4">
        <v>40578.0</v>
      </c>
      <c r="C151" s="3">
        <v>1.0</v>
      </c>
      <c r="D151" s="3">
        <v>0.0</v>
      </c>
      <c r="E151" s="3">
        <v>2.0</v>
      </c>
      <c r="F151" s="3">
        <v>1.0</v>
      </c>
      <c r="G151" s="3" t="b">
        <f t="shared" si="1"/>
        <v>0</v>
      </c>
      <c r="H151" s="3">
        <v>5.0</v>
      </c>
      <c r="I151" s="3">
        <v>2.0</v>
      </c>
      <c r="J151" s="3">
        <v>0.16</v>
      </c>
      <c r="K151" s="3">
        <v>0.2273</v>
      </c>
      <c r="L151" s="3">
        <v>0.59</v>
      </c>
      <c r="M151" s="3">
        <v>0.0</v>
      </c>
      <c r="N151" s="3">
        <v>0.0</v>
      </c>
      <c r="O151" s="3">
        <v>7.0</v>
      </c>
      <c r="P151" s="3">
        <v>7.0</v>
      </c>
      <c r="Q151" s="8"/>
      <c r="R151" s="8">
        <f t="shared" si="2"/>
        <v>1</v>
      </c>
      <c r="S151" s="8">
        <f t="shared" si="3"/>
        <v>0</v>
      </c>
      <c r="T151" s="8" t="str">
        <f t="shared" si="4"/>
        <v>OK</v>
      </c>
      <c r="U151" s="8">
        <f t="shared" si="5"/>
        <v>0</v>
      </c>
      <c r="V151" s="8"/>
      <c r="W151" s="8"/>
      <c r="X151" s="8"/>
      <c r="Y151" s="8"/>
      <c r="Z151" s="8"/>
    </row>
    <row r="152" ht="15.75" customHeight="1">
      <c r="A152" s="3">
        <v>761.0</v>
      </c>
      <c r="B152" s="4">
        <v>40578.0</v>
      </c>
      <c r="C152" s="3">
        <v>1.0</v>
      </c>
      <c r="D152" s="3">
        <v>0.0</v>
      </c>
      <c r="E152" s="3">
        <v>2.0</v>
      </c>
      <c r="F152" s="3">
        <v>2.0</v>
      </c>
      <c r="G152" s="3" t="b">
        <f t="shared" si="1"/>
        <v>0</v>
      </c>
      <c r="H152" s="3">
        <v>5.0</v>
      </c>
      <c r="I152" s="3">
        <v>2.0</v>
      </c>
      <c r="J152" s="3">
        <v>0.14</v>
      </c>
      <c r="K152" s="3">
        <v>0.1667</v>
      </c>
      <c r="L152" s="3">
        <v>0.63</v>
      </c>
      <c r="M152" s="3">
        <v>0.1045</v>
      </c>
      <c r="N152" s="3">
        <v>0.0</v>
      </c>
      <c r="O152" s="3">
        <v>1.0</v>
      </c>
      <c r="P152" s="3">
        <v>1.0</v>
      </c>
      <c r="Q152" s="8"/>
      <c r="R152" s="8">
        <f t="shared" si="2"/>
        <v>1</v>
      </c>
      <c r="S152" s="8">
        <f t="shared" si="3"/>
        <v>0</v>
      </c>
      <c r="T152" s="8" t="str">
        <f t="shared" si="4"/>
        <v>OK</v>
      </c>
      <c r="U152" s="8">
        <f t="shared" si="5"/>
        <v>0</v>
      </c>
      <c r="V152" s="8"/>
      <c r="W152" s="8"/>
      <c r="X152" s="8"/>
      <c r="Y152" s="8"/>
      <c r="Z152" s="8"/>
    </row>
    <row r="153" ht="15.75" customHeight="1">
      <c r="A153" s="3">
        <v>762.0</v>
      </c>
      <c r="B153" s="4">
        <v>40578.0</v>
      </c>
      <c r="C153" s="3">
        <v>1.0</v>
      </c>
      <c r="D153" s="3">
        <v>0.0</v>
      </c>
      <c r="E153" s="3">
        <v>2.0</v>
      </c>
      <c r="F153" s="3">
        <v>3.0</v>
      </c>
      <c r="G153" s="3" t="b">
        <f t="shared" si="1"/>
        <v>0</v>
      </c>
      <c r="H153" s="3">
        <v>5.0</v>
      </c>
      <c r="I153" s="3">
        <v>2.0</v>
      </c>
      <c r="J153" s="3">
        <v>0.14</v>
      </c>
      <c r="K153" s="3">
        <v>0.1667</v>
      </c>
      <c r="L153" s="3">
        <v>0.63</v>
      </c>
      <c r="M153" s="3">
        <v>0.1045</v>
      </c>
      <c r="N153" s="3">
        <v>0.0</v>
      </c>
      <c r="O153" s="3">
        <v>1.0</v>
      </c>
      <c r="P153" s="3">
        <v>1.0</v>
      </c>
      <c r="Q153" s="8"/>
      <c r="R153" s="8">
        <f t="shared" si="2"/>
        <v>1</v>
      </c>
      <c r="S153" s="8">
        <f t="shared" si="3"/>
        <v>0</v>
      </c>
      <c r="T153" s="8" t="str">
        <f t="shared" si="4"/>
        <v>OK</v>
      </c>
      <c r="U153" s="8">
        <f t="shared" si="5"/>
        <v>0</v>
      </c>
      <c r="V153" s="8"/>
      <c r="W153" s="8"/>
      <c r="X153" s="8"/>
      <c r="Y153" s="8"/>
      <c r="Z153" s="8"/>
    </row>
    <row r="154" ht="15.75" customHeight="1">
      <c r="A154" s="3">
        <v>763.0</v>
      </c>
      <c r="B154" s="4">
        <v>40578.0</v>
      </c>
      <c r="C154" s="3">
        <v>1.0</v>
      </c>
      <c r="D154" s="3">
        <v>0.0</v>
      </c>
      <c r="E154" s="3">
        <v>2.0</v>
      </c>
      <c r="F154" s="3">
        <v>5.0</v>
      </c>
      <c r="G154" s="3" t="b">
        <f t="shared" si="1"/>
        <v>0</v>
      </c>
      <c r="H154" s="3">
        <v>5.0</v>
      </c>
      <c r="I154" s="3">
        <v>2.0</v>
      </c>
      <c r="J154" s="3">
        <v>0.14</v>
      </c>
      <c r="K154" s="3">
        <v>0.1515</v>
      </c>
      <c r="L154" s="3">
        <v>0.63</v>
      </c>
      <c r="M154" s="3">
        <v>0.1343</v>
      </c>
      <c r="N154" s="3">
        <v>0.0</v>
      </c>
      <c r="O154" s="3">
        <v>7.0</v>
      </c>
      <c r="P154" s="3">
        <v>7.0</v>
      </c>
      <c r="Q154" s="8"/>
      <c r="R154" s="8">
        <f t="shared" si="2"/>
        <v>1</v>
      </c>
      <c r="S154" s="8">
        <f t="shared" si="3"/>
        <v>0</v>
      </c>
      <c r="T154" s="8" t="str">
        <f t="shared" si="4"/>
        <v>OK</v>
      </c>
      <c r="U154" s="8">
        <f t="shared" si="5"/>
        <v>0</v>
      </c>
      <c r="V154" s="8"/>
      <c r="W154" s="8"/>
      <c r="X154" s="8"/>
      <c r="Y154" s="8"/>
      <c r="Z154" s="8"/>
    </row>
    <row r="155" ht="15.75" customHeight="1">
      <c r="A155" s="3">
        <v>764.0</v>
      </c>
      <c r="B155" s="4">
        <v>40578.0</v>
      </c>
      <c r="C155" s="3">
        <v>1.0</v>
      </c>
      <c r="D155" s="3">
        <v>0.0</v>
      </c>
      <c r="E155" s="3">
        <v>2.0</v>
      </c>
      <c r="F155" s="3">
        <v>6.0</v>
      </c>
      <c r="G155" s="3" t="b">
        <f t="shared" si="1"/>
        <v>0</v>
      </c>
      <c r="H155" s="3">
        <v>5.0</v>
      </c>
      <c r="I155" s="3">
        <v>2.0</v>
      </c>
      <c r="J155" s="3">
        <v>0.16</v>
      </c>
      <c r="K155" s="3">
        <v>0.2273</v>
      </c>
      <c r="L155" s="3">
        <v>0.55</v>
      </c>
      <c r="M155" s="3">
        <v>0.0</v>
      </c>
      <c r="N155" s="3">
        <v>2.0</v>
      </c>
      <c r="O155" s="3">
        <v>26.0</v>
      </c>
      <c r="P155" s="3">
        <v>28.0</v>
      </c>
      <c r="Q155" s="8"/>
      <c r="R155" s="8">
        <f t="shared" si="2"/>
        <v>1</v>
      </c>
      <c r="S155" s="8">
        <f t="shared" si="3"/>
        <v>0</v>
      </c>
      <c r="T155" s="8" t="str">
        <f t="shared" si="4"/>
        <v>OK</v>
      </c>
      <c r="U155" s="8">
        <f t="shared" si="5"/>
        <v>0</v>
      </c>
      <c r="V155" s="8"/>
      <c r="W155" s="8"/>
      <c r="X155" s="8"/>
      <c r="Y155" s="8"/>
      <c r="Z155" s="8"/>
    </row>
    <row r="156" ht="15.75" customHeight="1">
      <c r="A156" s="3">
        <v>765.0</v>
      </c>
      <c r="B156" s="4">
        <v>40578.0</v>
      </c>
      <c r="C156" s="3">
        <v>1.0</v>
      </c>
      <c r="D156" s="3">
        <v>0.0</v>
      </c>
      <c r="E156" s="3">
        <v>2.0</v>
      </c>
      <c r="F156" s="3">
        <v>7.0</v>
      </c>
      <c r="G156" s="3" t="b">
        <f t="shared" si="1"/>
        <v>0</v>
      </c>
      <c r="H156" s="3">
        <v>5.0</v>
      </c>
      <c r="I156" s="3">
        <v>1.0</v>
      </c>
      <c r="J156" s="3">
        <v>0.14</v>
      </c>
      <c r="K156" s="3">
        <v>0.2121</v>
      </c>
      <c r="L156" s="3">
        <v>0.59</v>
      </c>
      <c r="M156" s="3">
        <v>0.0</v>
      </c>
      <c r="N156" s="3">
        <v>0.0</v>
      </c>
      <c r="O156" s="3">
        <v>87.0</v>
      </c>
      <c r="P156" s="3">
        <v>87.0</v>
      </c>
      <c r="Q156" s="8"/>
      <c r="R156" s="8">
        <f t="shared" si="2"/>
        <v>1</v>
      </c>
      <c r="S156" s="8">
        <f t="shared" si="3"/>
        <v>0</v>
      </c>
      <c r="T156" s="8" t="str">
        <f t="shared" si="4"/>
        <v>OK</v>
      </c>
      <c r="U156" s="8">
        <f t="shared" si="5"/>
        <v>0</v>
      </c>
      <c r="V156" s="8"/>
      <c r="W156" s="8"/>
      <c r="X156" s="8"/>
      <c r="Y156" s="8"/>
      <c r="Z156" s="8"/>
    </row>
    <row r="157" ht="15.75" customHeight="1">
      <c r="A157" s="3">
        <v>766.0</v>
      </c>
      <c r="B157" s="4">
        <v>40578.0</v>
      </c>
      <c r="C157" s="3">
        <v>1.0</v>
      </c>
      <c r="D157" s="3">
        <v>0.0</v>
      </c>
      <c r="E157" s="3">
        <v>2.0</v>
      </c>
      <c r="F157" s="3">
        <v>8.0</v>
      </c>
      <c r="G157" s="3" t="b">
        <f t="shared" si="1"/>
        <v>0</v>
      </c>
      <c r="H157" s="3">
        <v>5.0</v>
      </c>
      <c r="I157" s="3">
        <v>1.0</v>
      </c>
      <c r="J157" s="3">
        <v>0.14</v>
      </c>
      <c r="K157" s="3">
        <v>0.1515</v>
      </c>
      <c r="L157" s="3">
        <v>0.74</v>
      </c>
      <c r="M157" s="3">
        <v>0.1343</v>
      </c>
      <c r="N157" s="3">
        <v>3.0</v>
      </c>
      <c r="O157" s="3">
        <v>217.0</v>
      </c>
      <c r="P157" s="3">
        <v>220.0</v>
      </c>
      <c r="Q157" s="8"/>
      <c r="R157" s="8">
        <f t="shared" si="2"/>
        <v>1</v>
      </c>
      <c r="S157" s="8">
        <f t="shared" si="3"/>
        <v>0</v>
      </c>
      <c r="T157" s="8" t="str">
        <f t="shared" si="4"/>
        <v>OK</v>
      </c>
      <c r="U157" s="8">
        <f t="shared" si="5"/>
        <v>0</v>
      </c>
      <c r="V157" s="8"/>
      <c r="W157" s="8"/>
      <c r="X157" s="8"/>
      <c r="Y157" s="8"/>
      <c r="Z157" s="8"/>
    </row>
    <row r="158" ht="15.75" customHeight="1">
      <c r="A158" s="3">
        <v>767.0</v>
      </c>
      <c r="B158" s="4">
        <v>40578.0</v>
      </c>
      <c r="C158" s="3">
        <v>1.0</v>
      </c>
      <c r="D158" s="3">
        <v>0.0</v>
      </c>
      <c r="E158" s="3">
        <v>2.0</v>
      </c>
      <c r="F158" s="3">
        <v>9.0</v>
      </c>
      <c r="G158" s="3" t="b">
        <f t="shared" si="1"/>
        <v>0</v>
      </c>
      <c r="H158" s="3">
        <v>5.0</v>
      </c>
      <c r="I158" s="3">
        <v>2.0</v>
      </c>
      <c r="J158" s="3">
        <v>0.16</v>
      </c>
      <c r="K158" s="3">
        <v>0.1818</v>
      </c>
      <c r="L158" s="3">
        <v>0.8</v>
      </c>
      <c r="M158" s="3">
        <v>0.1343</v>
      </c>
      <c r="N158" s="3">
        <v>3.0</v>
      </c>
      <c r="O158" s="3">
        <v>124.0</v>
      </c>
      <c r="P158" s="3">
        <v>127.0</v>
      </c>
      <c r="Q158" s="8"/>
      <c r="R158" s="8">
        <f t="shared" si="2"/>
        <v>1</v>
      </c>
      <c r="S158" s="8">
        <f t="shared" si="3"/>
        <v>0</v>
      </c>
      <c r="T158" s="8" t="str">
        <f t="shared" si="4"/>
        <v>OK</v>
      </c>
      <c r="U158" s="8">
        <f t="shared" si="5"/>
        <v>0</v>
      </c>
      <c r="V158" s="8"/>
      <c r="W158" s="8"/>
      <c r="X158" s="8"/>
      <c r="Y158" s="8"/>
      <c r="Z158" s="8"/>
    </row>
    <row r="159" ht="15.75" customHeight="1">
      <c r="A159" s="3">
        <v>768.0</v>
      </c>
      <c r="B159" s="4">
        <v>40578.0</v>
      </c>
      <c r="C159" s="3">
        <v>1.0</v>
      </c>
      <c r="D159" s="3">
        <v>0.0</v>
      </c>
      <c r="E159" s="3">
        <v>2.0</v>
      </c>
      <c r="F159" s="3">
        <v>10.0</v>
      </c>
      <c r="G159" s="3" t="b">
        <f t="shared" si="1"/>
        <v>0</v>
      </c>
      <c r="H159" s="3">
        <v>5.0</v>
      </c>
      <c r="I159" s="3">
        <v>2.0</v>
      </c>
      <c r="J159" s="3">
        <v>0.2</v>
      </c>
      <c r="K159" s="3">
        <v>0.2121</v>
      </c>
      <c r="L159" s="3">
        <v>0.51</v>
      </c>
      <c r="M159" s="3">
        <v>0.1343</v>
      </c>
      <c r="N159" s="3">
        <v>5.0</v>
      </c>
      <c r="O159" s="3">
        <v>46.0</v>
      </c>
      <c r="P159" s="3">
        <v>51.0</v>
      </c>
      <c r="Q159" s="8"/>
      <c r="R159" s="8">
        <f t="shared" si="2"/>
        <v>1</v>
      </c>
      <c r="S159" s="8">
        <f t="shared" si="3"/>
        <v>0</v>
      </c>
      <c r="T159" s="8" t="str">
        <f t="shared" si="4"/>
        <v>OK</v>
      </c>
      <c r="U159" s="8">
        <f t="shared" si="5"/>
        <v>0</v>
      </c>
      <c r="V159" s="8"/>
      <c r="W159" s="8"/>
      <c r="X159" s="8"/>
      <c r="Y159" s="8"/>
      <c r="Z159" s="8"/>
    </row>
    <row r="160" ht="15.75" customHeight="1">
      <c r="A160" s="3">
        <v>769.0</v>
      </c>
      <c r="B160" s="4">
        <v>40578.0</v>
      </c>
      <c r="C160" s="3">
        <v>1.0</v>
      </c>
      <c r="D160" s="3">
        <v>0.0</v>
      </c>
      <c r="E160" s="3">
        <v>2.0</v>
      </c>
      <c r="F160" s="3">
        <v>11.0</v>
      </c>
      <c r="G160" s="3" t="b">
        <f t="shared" si="1"/>
        <v>0</v>
      </c>
      <c r="H160" s="3">
        <v>5.0</v>
      </c>
      <c r="I160" s="3">
        <v>1.0</v>
      </c>
      <c r="J160" s="3">
        <v>0.22</v>
      </c>
      <c r="K160" s="3">
        <v>0.2273</v>
      </c>
      <c r="L160" s="3">
        <v>0.51</v>
      </c>
      <c r="M160" s="3">
        <v>0.1642</v>
      </c>
      <c r="N160" s="3">
        <v>3.0</v>
      </c>
      <c r="O160" s="3">
        <v>61.0</v>
      </c>
      <c r="P160" s="3">
        <v>64.0</v>
      </c>
      <c r="Q160" s="8"/>
      <c r="R160" s="8">
        <f t="shared" si="2"/>
        <v>1</v>
      </c>
      <c r="S160" s="8">
        <f t="shared" si="3"/>
        <v>0</v>
      </c>
      <c r="T160" s="8" t="str">
        <f t="shared" si="4"/>
        <v>OK</v>
      </c>
      <c r="U160" s="8">
        <f t="shared" si="5"/>
        <v>0</v>
      </c>
      <c r="V160" s="8"/>
      <c r="W160" s="8"/>
      <c r="X160" s="8"/>
      <c r="Y160" s="8"/>
      <c r="Z160" s="8"/>
    </row>
    <row r="161" ht="15.75" customHeight="1">
      <c r="A161" s="3">
        <v>770.0</v>
      </c>
      <c r="B161" s="4">
        <v>40578.0</v>
      </c>
      <c r="C161" s="3">
        <v>1.0</v>
      </c>
      <c r="D161" s="3">
        <v>0.0</v>
      </c>
      <c r="E161" s="3">
        <v>2.0</v>
      </c>
      <c r="F161" s="3">
        <v>12.0</v>
      </c>
      <c r="G161" s="3" t="b">
        <f t="shared" si="1"/>
        <v>0</v>
      </c>
      <c r="H161" s="3">
        <v>5.0</v>
      </c>
      <c r="I161" s="3">
        <v>2.0</v>
      </c>
      <c r="J161" s="3">
        <v>0.24</v>
      </c>
      <c r="K161" s="3">
        <v>0.2424</v>
      </c>
      <c r="L161" s="3">
        <v>0.48</v>
      </c>
      <c r="M161" s="3">
        <v>0.1642</v>
      </c>
      <c r="N161" s="3">
        <v>8.0</v>
      </c>
      <c r="O161" s="3">
        <v>78.0</v>
      </c>
      <c r="P161" s="3">
        <v>86.0</v>
      </c>
      <c r="Q161" s="8"/>
      <c r="R161" s="8">
        <f t="shared" si="2"/>
        <v>1</v>
      </c>
      <c r="S161" s="8">
        <f t="shared" si="3"/>
        <v>0</v>
      </c>
      <c r="T161" s="8" t="str">
        <f t="shared" si="4"/>
        <v>OK</v>
      </c>
      <c r="U161" s="8">
        <f t="shared" si="5"/>
        <v>0</v>
      </c>
      <c r="V161" s="8"/>
      <c r="W161" s="8"/>
      <c r="X161" s="8"/>
      <c r="Y161" s="8"/>
      <c r="Z161" s="8"/>
    </row>
    <row r="162" ht="15.75" customHeight="1">
      <c r="A162" s="3">
        <v>771.0</v>
      </c>
      <c r="B162" s="4">
        <v>40578.0</v>
      </c>
      <c r="C162" s="3">
        <v>1.0</v>
      </c>
      <c r="D162" s="3">
        <v>0.0</v>
      </c>
      <c r="E162" s="3">
        <v>2.0</v>
      </c>
      <c r="F162" s="3">
        <v>13.0</v>
      </c>
      <c r="G162" s="3" t="b">
        <f t="shared" si="1"/>
        <v>0</v>
      </c>
      <c r="H162" s="3">
        <v>5.0</v>
      </c>
      <c r="I162" s="3">
        <v>2.0</v>
      </c>
      <c r="J162" s="3">
        <v>0.26</v>
      </c>
      <c r="K162" s="3">
        <v>0.2576</v>
      </c>
      <c r="L162" s="3">
        <v>0.5</v>
      </c>
      <c r="M162" s="3">
        <v>0.2239</v>
      </c>
      <c r="N162" s="3">
        <v>9.0</v>
      </c>
      <c r="O162" s="3">
        <v>73.0</v>
      </c>
      <c r="P162" s="3">
        <v>82.0</v>
      </c>
      <c r="Q162" s="8"/>
      <c r="R162" s="8">
        <f t="shared" si="2"/>
        <v>1</v>
      </c>
      <c r="S162" s="8">
        <f t="shared" si="3"/>
        <v>0</v>
      </c>
      <c r="T162" s="8" t="str">
        <f t="shared" si="4"/>
        <v>OK</v>
      </c>
      <c r="U162" s="8">
        <f t="shared" si="5"/>
        <v>0</v>
      </c>
      <c r="V162" s="8"/>
      <c r="W162" s="8"/>
      <c r="X162" s="8"/>
      <c r="Y162" s="8"/>
      <c r="Z162" s="8"/>
    </row>
    <row r="163" ht="15.75" customHeight="1">
      <c r="A163" s="3">
        <v>772.0</v>
      </c>
      <c r="B163" s="4">
        <v>40578.0</v>
      </c>
      <c r="C163" s="3">
        <v>1.0</v>
      </c>
      <c r="D163" s="3">
        <v>0.0</v>
      </c>
      <c r="E163" s="3">
        <v>2.0</v>
      </c>
      <c r="F163" s="3">
        <v>14.0</v>
      </c>
      <c r="G163" s="3" t="b">
        <f t="shared" si="1"/>
        <v>0</v>
      </c>
      <c r="H163" s="3">
        <v>5.0</v>
      </c>
      <c r="I163" s="3">
        <v>2.0</v>
      </c>
      <c r="J163" s="3">
        <v>0.28</v>
      </c>
      <c r="K163" s="3">
        <v>0.2727</v>
      </c>
      <c r="L163" s="3">
        <v>0.45</v>
      </c>
      <c r="M163" s="3">
        <v>0.1642</v>
      </c>
      <c r="N163" s="3">
        <v>15.0</v>
      </c>
      <c r="O163" s="3">
        <v>76.0</v>
      </c>
      <c r="P163" s="3">
        <v>91.0</v>
      </c>
      <c r="Q163" s="8"/>
      <c r="R163" s="8">
        <f t="shared" si="2"/>
        <v>1</v>
      </c>
      <c r="S163" s="8">
        <f t="shared" si="3"/>
        <v>0</v>
      </c>
      <c r="T163" s="8" t="str">
        <f t="shared" si="4"/>
        <v>OK</v>
      </c>
      <c r="U163" s="8">
        <f t="shared" si="5"/>
        <v>0</v>
      </c>
      <c r="V163" s="8"/>
      <c r="W163" s="8"/>
      <c r="X163" s="8"/>
      <c r="Y163" s="8"/>
      <c r="Z163" s="8"/>
    </row>
    <row r="164" ht="15.75" customHeight="1">
      <c r="A164" s="3">
        <v>773.0</v>
      </c>
      <c r="B164" s="4">
        <v>40578.0</v>
      </c>
      <c r="C164" s="3">
        <v>1.0</v>
      </c>
      <c r="D164" s="3">
        <v>0.0</v>
      </c>
      <c r="E164" s="3">
        <v>2.0</v>
      </c>
      <c r="F164" s="3">
        <v>15.0</v>
      </c>
      <c r="G164" s="3" t="b">
        <f t="shared" si="1"/>
        <v>0</v>
      </c>
      <c r="H164" s="3">
        <v>5.0</v>
      </c>
      <c r="I164" s="3">
        <v>2.0</v>
      </c>
      <c r="J164" s="3">
        <v>0.28</v>
      </c>
      <c r="K164" s="3">
        <v>0.2727</v>
      </c>
      <c r="L164" s="3">
        <v>0.48</v>
      </c>
      <c r="M164" s="3">
        <v>0.2537</v>
      </c>
      <c r="N164" s="3">
        <v>9.0</v>
      </c>
      <c r="O164" s="3">
        <v>81.0</v>
      </c>
      <c r="P164" s="3">
        <v>90.0</v>
      </c>
      <c r="Q164" s="8"/>
      <c r="R164" s="8">
        <f t="shared" si="2"/>
        <v>1</v>
      </c>
      <c r="S164" s="8">
        <f t="shared" si="3"/>
        <v>0</v>
      </c>
      <c r="T164" s="8" t="str">
        <f t="shared" si="4"/>
        <v>OK</v>
      </c>
      <c r="U164" s="8">
        <f t="shared" si="5"/>
        <v>0</v>
      </c>
      <c r="V164" s="8"/>
      <c r="W164" s="8"/>
      <c r="X164" s="8"/>
      <c r="Y164" s="8"/>
      <c r="Z164" s="8"/>
    </row>
    <row r="165" ht="15.75" customHeight="1">
      <c r="A165" s="3">
        <v>774.0</v>
      </c>
      <c r="B165" s="4">
        <v>40578.0</v>
      </c>
      <c r="C165" s="3">
        <v>1.0</v>
      </c>
      <c r="D165" s="3">
        <v>0.0</v>
      </c>
      <c r="E165" s="3">
        <v>2.0</v>
      </c>
      <c r="F165" s="3">
        <v>16.0</v>
      </c>
      <c r="G165" s="3" t="b">
        <f t="shared" si="1"/>
        <v>0</v>
      </c>
      <c r="H165" s="3">
        <v>5.0</v>
      </c>
      <c r="I165" s="3">
        <v>2.0</v>
      </c>
      <c r="J165" s="3">
        <v>0.3</v>
      </c>
      <c r="K165" s="3">
        <v>0.2879</v>
      </c>
      <c r="L165" s="3">
        <v>0.42</v>
      </c>
      <c r="M165" s="3">
        <v>0.2239</v>
      </c>
      <c r="N165" s="3">
        <v>8.0</v>
      </c>
      <c r="O165" s="3">
        <v>91.0</v>
      </c>
      <c r="P165" s="3">
        <v>99.0</v>
      </c>
      <c r="Q165" s="8"/>
      <c r="R165" s="8">
        <f t="shared" si="2"/>
        <v>1</v>
      </c>
      <c r="S165" s="8">
        <f t="shared" si="3"/>
        <v>0</v>
      </c>
      <c r="T165" s="8" t="str">
        <f t="shared" si="4"/>
        <v>OK</v>
      </c>
      <c r="U165" s="8">
        <f t="shared" si="5"/>
        <v>0</v>
      </c>
      <c r="V165" s="8"/>
      <c r="W165" s="8"/>
      <c r="X165" s="8"/>
      <c r="Y165" s="8"/>
      <c r="Z165" s="8"/>
    </row>
    <row r="166" ht="15.75" customHeight="1">
      <c r="A166" s="3">
        <v>775.0</v>
      </c>
      <c r="B166" s="4">
        <v>40578.0</v>
      </c>
      <c r="C166" s="3">
        <v>1.0</v>
      </c>
      <c r="D166" s="3">
        <v>0.0</v>
      </c>
      <c r="E166" s="3">
        <v>2.0</v>
      </c>
      <c r="F166" s="3">
        <v>17.0</v>
      </c>
      <c r="G166" s="3" t="b">
        <f t="shared" si="1"/>
        <v>0</v>
      </c>
      <c r="H166" s="3">
        <v>5.0</v>
      </c>
      <c r="I166" s="3">
        <v>2.0</v>
      </c>
      <c r="J166" s="3">
        <v>0.26</v>
      </c>
      <c r="K166" s="3">
        <v>0.2727</v>
      </c>
      <c r="L166" s="3">
        <v>0.56</v>
      </c>
      <c r="M166" s="3">
        <v>0.1343</v>
      </c>
      <c r="N166" s="3">
        <v>10.0</v>
      </c>
      <c r="O166" s="3">
        <v>195.0</v>
      </c>
      <c r="P166" s="3">
        <v>205.0</v>
      </c>
      <c r="Q166" s="8"/>
      <c r="R166" s="8">
        <f t="shared" si="2"/>
        <v>1</v>
      </c>
      <c r="S166" s="8">
        <f t="shared" si="3"/>
        <v>0</v>
      </c>
      <c r="T166" s="8" t="str">
        <f t="shared" si="4"/>
        <v>OK</v>
      </c>
      <c r="U166" s="8">
        <f t="shared" si="5"/>
        <v>0</v>
      </c>
      <c r="V166" s="8"/>
      <c r="W166" s="8"/>
      <c r="X166" s="8"/>
      <c r="Y166" s="8"/>
      <c r="Z166" s="8"/>
    </row>
    <row r="167" ht="15.75" customHeight="1">
      <c r="A167" s="3">
        <v>776.0</v>
      </c>
      <c r="B167" s="4">
        <v>40578.0</v>
      </c>
      <c r="C167" s="3">
        <v>1.0</v>
      </c>
      <c r="D167" s="3">
        <v>0.0</v>
      </c>
      <c r="E167" s="3">
        <v>2.0</v>
      </c>
      <c r="F167" s="3">
        <v>18.0</v>
      </c>
      <c r="G167" s="3" t="b">
        <f t="shared" si="1"/>
        <v>0</v>
      </c>
      <c r="H167" s="3">
        <v>5.0</v>
      </c>
      <c r="I167" s="3">
        <v>2.0</v>
      </c>
      <c r="J167" s="3">
        <v>0.24</v>
      </c>
      <c r="K167" s="3">
        <v>0.2576</v>
      </c>
      <c r="L167" s="3">
        <v>0.6</v>
      </c>
      <c r="M167" s="3">
        <v>0.1045</v>
      </c>
      <c r="N167" s="3">
        <v>3.0</v>
      </c>
      <c r="O167" s="3">
        <v>152.0</v>
      </c>
      <c r="P167" s="3">
        <v>155.0</v>
      </c>
      <c r="Q167" s="8"/>
      <c r="R167" s="8">
        <f t="shared" si="2"/>
        <v>1</v>
      </c>
      <c r="S167" s="8">
        <f t="shared" si="3"/>
        <v>0</v>
      </c>
      <c r="T167" s="8" t="str">
        <f t="shared" si="4"/>
        <v>OK</v>
      </c>
      <c r="U167" s="8">
        <f t="shared" si="5"/>
        <v>0</v>
      </c>
      <c r="V167" s="8"/>
      <c r="W167" s="8"/>
      <c r="X167" s="8"/>
      <c r="Y167" s="8"/>
      <c r="Z167" s="8"/>
    </row>
    <row r="168" ht="15.75" customHeight="1">
      <c r="A168" s="3">
        <v>777.0</v>
      </c>
      <c r="B168" s="4">
        <v>40578.0</v>
      </c>
      <c r="C168" s="3">
        <v>1.0</v>
      </c>
      <c r="D168" s="3">
        <v>0.0</v>
      </c>
      <c r="E168" s="3">
        <v>2.0</v>
      </c>
      <c r="F168" s="3">
        <v>19.0</v>
      </c>
      <c r="G168" s="3" t="b">
        <f t="shared" si="1"/>
        <v>0</v>
      </c>
      <c r="H168" s="3">
        <v>5.0</v>
      </c>
      <c r="I168" s="3">
        <v>2.0</v>
      </c>
      <c r="J168" s="3">
        <v>0.24</v>
      </c>
      <c r="K168" s="3">
        <v>0.2424</v>
      </c>
      <c r="L168" s="3">
        <v>0.65</v>
      </c>
      <c r="M168" s="3">
        <v>0.1343</v>
      </c>
      <c r="N168" s="3">
        <v>1.0</v>
      </c>
      <c r="O168" s="3">
        <v>102.0</v>
      </c>
      <c r="P168" s="3">
        <v>103.0</v>
      </c>
      <c r="Q168" s="8"/>
      <c r="R168" s="8">
        <f t="shared" si="2"/>
        <v>1</v>
      </c>
      <c r="S168" s="8">
        <f t="shared" si="3"/>
        <v>0</v>
      </c>
      <c r="T168" s="8" t="str">
        <f t="shared" si="4"/>
        <v>OK</v>
      </c>
      <c r="U168" s="8">
        <f t="shared" si="5"/>
        <v>0</v>
      </c>
      <c r="V168" s="8"/>
      <c r="W168" s="8"/>
      <c r="X168" s="8"/>
      <c r="Y168" s="8"/>
      <c r="Z168" s="8"/>
    </row>
    <row r="169" ht="15.75" customHeight="1">
      <c r="A169" s="3">
        <v>778.0</v>
      </c>
      <c r="B169" s="4">
        <v>40578.0</v>
      </c>
      <c r="C169" s="3">
        <v>1.0</v>
      </c>
      <c r="D169" s="3">
        <v>0.0</v>
      </c>
      <c r="E169" s="3">
        <v>2.0</v>
      </c>
      <c r="F169" s="3">
        <v>20.0</v>
      </c>
      <c r="G169" s="3" t="b">
        <f t="shared" si="1"/>
        <v>0</v>
      </c>
      <c r="H169" s="3">
        <v>5.0</v>
      </c>
      <c r="I169" s="3">
        <v>2.0</v>
      </c>
      <c r="J169" s="3">
        <v>0.24</v>
      </c>
      <c r="K169" s="3">
        <v>0.2424</v>
      </c>
      <c r="L169" s="3">
        <v>0.65</v>
      </c>
      <c r="M169" s="3">
        <v>0.1642</v>
      </c>
      <c r="N169" s="3">
        <v>2.0</v>
      </c>
      <c r="O169" s="3">
        <v>69.0</v>
      </c>
      <c r="P169" s="3">
        <v>71.0</v>
      </c>
      <c r="Q169" s="8"/>
      <c r="R169" s="8">
        <f t="shared" si="2"/>
        <v>1</v>
      </c>
      <c r="S169" s="8">
        <f t="shared" si="3"/>
        <v>0</v>
      </c>
      <c r="T169" s="8" t="str">
        <f t="shared" si="4"/>
        <v>OK</v>
      </c>
      <c r="U169" s="8">
        <f t="shared" si="5"/>
        <v>0</v>
      </c>
      <c r="V169" s="8"/>
      <c r="W169" s="8"/>
      <c r="X169" s="8"/>
      <c r="Y169" s="8"/>
      <c r="Z169" s="8"/>
    </row>
    <row r="170" ht="15.75" customHeight="1">
      <c r="A170" s="3">
        <v>779.0</v>
      </c>
      <c r="B170" s="4">
        <v>40578.0</v>
      </c>
      <c r="C170" s="3">
        <v>1.0</v>
      </c>
      <c r="D170" s="3">
        <v>0.0</v>
      </c>
      <c r="E170" s="3">
        <v>2.0</v>
      </c>
      <c r="F170" s="3">
        <v>21.0</v>
      </c>
      <c r="G170" s="3" t="b">
        <f t="shared" si="1"/>
        <v>0</v>
      </c>
      <c r="H170" s="3">
        <v>5.0</v>
      </c>
      <c r="I170" s="3">
        <v>2.0</v>
      </c>
      <c r="J170" s="3">
        <v>0.24</v>
      </c>
      <c r="K170" s="3">
        <v>0.2424</v>
      </c>
      <c r="L170" s="3">
        <v>0.7</v>
      </c>
      <c r="M170" s="3">
        <v>0.1642</v>
      </c>
      <c r="N170" s="3">
        <v>2.0</v>
      </c>
      <c r="O170" s="3">
        <v>41.0</v>
      </c>
      <c r="P170" s="3">
        <v>43.0</v>
      </c>
      <c r="Q170" s="8"/>
      <c r="R170" s="8">
        <f t="shared" si="2"/>
        <v>1</v>
      </c>
      <c r="S170" s="8">
        <f t="shared" si="3"/>
        <v>0</v>
      </c>
      <c r="T170" s="8" t="str">
        <f t="shared" si="4"/>
        <v>OK</v>
      </c>
      <c r="U170" s="8">
        <f t="shared" si="5"/>
        <v>0</v>
      </c>
      <c r="V170" s="8"/>
      <c r="W170" s="8"/>
      <c r="X170" s="8"/>
      <c r="Y170" s="8"/>
      <c r="Z170" s="8"/>
    </row>
    <row r="171" ht="15.75" customHeight="1">
      <c r="A171" s="3">
        <v>780.0</v>
      </c>
      <c r="B171" s="4">
        <v>40578.0</v>
      </c>
      <c r="C171" s="3">
        <v>1.0</v>
      </c>
      <c r="D171" s="3">
        <v>0.0</v>
      </c>
      <c r="E171" s="3">
        <v>2.0</v>
      </c>
      <c r="F171" s="3">
        <v>22.0</v>
      </c>
      <c r="G171" s="3" t="b">
        <f t="shared" si="1"/>
        <v>0</v>
      </c>
      <c r="H171" s="3">
        <v>5.0</v>
      </c>
      <c r="I171" s="3">
        <v>2.0</v>
      </c>
      <c r="J171" s="3">
        <v>0.24</v>
      </c>
      <c r="K171" s="3">
        <v>0.2424</v>
      </c>
      <c r="L171" s="3">
        <v>0.65</v>
      </c>
      <c r="M171" s="3">
        <v>0.1642</v>
      </c>
      <c r="N171" s="3">
        <v>1.0</v>
      </c>
      <c r="O171" s="3">
        <v>45.0</v>
      </c>
      <c r="P171" s="3">
        <v>46.0</v>
      </c>
      <c r="Q171" s="8"/>
      <c r="R171" s="8">
        <f t="shared" si="2"/>
        <v>1</v>
      </c>
      <c r="S171" s="8">
        <f t="shared" si="3"/>
        <v>0</v>
      </c>
      <c r="T171" s="8" t="str">
        <f t="shared" si="4"/>
        <v>OK</v>
      </c>
      <c r="U171" s="8">
        <f t="shared" si="5"/>
        <v>0</v>
      </c>
      <c r="V171" s="8"/>
      <c r="W171" s="8"/>
      <c r="X171" s="8"/>
      <c r="Y171" s="8"/>
      <c r="Z171" s="8"/>
    </row>
    <row r="172" ht="15.75" customHeight="1">
      <c r="A172" s="3">
        <v>781.0</v>
      </c>
      <c r="B172" s="4">
        <v>40578.0</v>
      </c>
      <c r="C172" s="3">
        <v>1.0</v>
      </c>
      <c r="D172" s="3">
        <v>0.0</v>
      </c>
      <c r="E172" s="3">
        <v>2.0</v>
      </c>
      <c r="F172" s="3">
        <v>23.0</v>
      </c>
      <c r="G172" s="3" t="b">
        <f t="shared" si="1"/>
        <v>0</v>
      </c>
      <c r="H172" s="3">
        <v>5.0</v>
      </c>
      <c r="I172" s="3">
        <v>2.0</v>
      </c>
      <c r="J172" s="3">
        <v>0.24</v>
      </c>
      <c r="K172" s="3">
        <v>0.2424</v>
      </c>
      <c r="L172" s="3">
        <v>0.7</v>
      </c>
      <c r="M172" s="3">
        <v>0.1343</v>
      </c>
      <c r="N172" s="3">
        <v>1.0</v>
      </c>
      <c r="O172" s="3">
        <v>30.0</v>
      </c>
      <c r="P172" s="3">
        <v>31.0</v>
      </c>
      <c r="Q172" s="8"/>
      <c r="R172" s="8">
        <f t="shared" si="2"/>
        <v>1</v>
      </c>
      <c r="S172" s="8">
        <f t="shared" si="3"/>
        <v>0</v>
      </c>
      <c r="T172" s="8" t="str">
        <f t="shared" si="4"/>
        <v>OK</v>
      </c>
      <c r="U172" s="8">
        <f t="shared" si="5"/>
        <v>0</v>
      </c>
      <c r="V172" s="8"/>
      <c r="W172" s="8"/>
      <c r="X172" s="8"/>
      <c r="Y172" s="8"/>
      <c r="Z172" s="8"/>
    </row>
    <row r="173" ht="15.75" customHeight="1">
      <c r="A173" s="3">
        <v>782.0</v>
      </c>
      <c r="B173" s="4">
        <v>40579.0</v>
      </c>
      <c r="C173" s="3">
        <v>1.0</v>
      </c>
      <c r="D173" s="3">
        <v>0.0</v>
      </c>
      <c r="E173" s="3">
        <v>2.0</v>
      </c>
      <c r="F173" s="3">
        <v>0.0</v>
      </c>
      <c r="G173" s="3" t="b">
        <f t="shared" si="1"/>
        <v>0</v>
      </c>
      <c r="H173" s="3">
        <v>6.0</v>
      </c>
      <c r="I173" s="3">
        <v>2.0</v>
      </c>
      <c r="J173" s="3">
        <v>0.24</v>
      </c>
      <c r="K173" s="3">
        <v>0.2424</v>
      </c>
      <c r="L173" s="3">
        <v>0.7</v>
      </c>
      <c r="M173" s="3">
        <v>0.1642</v>
      </c>
      <c r="N173" s="3">
        <v>3.0</v>
      </c>
      <c r="O173" s="3">
        <v>36.0</v>
      </c>
      <c r="P173" s="3">
        <v>39.0</v>
      </c>
      <c r="Q173" s="8"/>
      <c r="R173" s="8">
        <f t="shared" si="2"/>
        <v>1</v>
      </c>
      <c r="S173" s="8">
        <f t="shared" si="3"/>
        <v>0</v>
      </c>
      <c r="T173" s="8" t="str">
        <f t="shared" si="4"/>
        <v>OK</v>
      </c>
      <c r="U173" s="8">
        <f t="shared" si="5"/>
        <v>0</v>
      </c>
      <c r="V173" s="8"/>
      <c r="W173" s="8"/>
      <c r="X173" s="8"/>
      <c r="Y173" s="8"/>
      <c r="Z173" s="8"/>
    </row>
    <row r="174" ht="15.75" customHeight="1">
      <c r="A174" s="3">
        <v>783.0</v>
      </c>
      <c r="B174" s="4">
        <v>40579.0</v>
      </c>
      <c r="C174" s="3">
        <v>1.0</v>
      </c>
      <c r="D174" s="3">
        <v>0.0</v>
      </c>
      <c r="E174" s="3">
        <v>2.0</v>
      </c>
      <c r="F174" s="3">
        <v>1.0</v>
      </c>
      <c r="G174" s="3" t="b">
        <f t="shared" si="1"/>
        <v>0</v>
      </c>
      <c r="H174" s="3">
        <v>6.0</v>
      </c>
      <c r="I174" s="3">
        <v>2.0</v>
      </c>
      <c r="J174" s="3">
        <v>0.24</v>
      </c>
      <c r="K174" s="3">
        <v>0.2424</v>
      </c>
      <c r="L174" s="3">
        <v>0.65</v>
      </c>
      <c r="M174" s="3">
        <v>0.1642</v>
      </c>
      <c r="N174" s="3">
        <v>1.0</v>
      </c>
      <c r="O174" s="3">
        <v>17.0</v>
      </c>
      <c r="P174" s="3">
        <v>18.0</v>
      </c>
      <c r="Q174" s="8"/>
      <c r="R174" s="8">
        <f t="shared" si="2"/>
        <v>1</v>
      </c>
      <c r="S174" s="8">
        <f t="shared" si="3"/>
        <v>0</v>
      </c>
      <c r="T174" s="8" t="str">
        <f t="shared" si="4"/>
        <v>OK</v>
      </c>
      <c r="U174" s="8">
        <f t="shared" si="5"/>
        <v>0</v>
      </c>
      <c r="V174" s="8"/>
      <c r="W174" s="8"/>
      <c r="X174" s="8"/>
      <c r="Y174" s="8"/>
      <c r="Z174" s="8"/>
    </row>
    <row r="175" ht="15.75" customHeight="1">
      <c r="A175" s="3">
        <v>784.0</v>
      </c>
      <c r="B175" s="4">
        <v>40579.0</v>
      </c>
      <c r="C175" s="3">
        <v>1.0</v>
      </c>
      <c r="D175" s="3">
        <v>0.0</v>
      </c>
      <c r="E175" s="3">
        <v>2.0</v>
      </c>
      <c r="F175" s="3">
        <v>2.0</v>
      </c>
      <c r="G175" s="3" t="b">
        <f t="shared" si="1"/>
        <v>0</v>
      </c>
      <c r="H175" s="3">
        <v>6.0</v>
      </c>
      <c r="I175" s="3">
        <v>2.0</v>
      </c>
      <c r="J175" s="3">
        <v>0.24</v>
      </c>
      <c r="K175" s="3">
        <v>0.2424</v>
      </c>
      <c r="L175" s="3">
        <v>0.75</v>
      </c>
      <c r="M175" s="3">
        <v>0.1642</v>
      </c>
      <c r="N175" s="3">
        <v>5.0</v>
      </c>
      <c r="O175" s="3">
        <v>12.0</v>
      </c>
      <c r="P175" s="3">
        <v>17.0</v>
      </c>
      <c r="Q175" s="8"/>
      <c r="R175" s="8">
        <f t="shared" si="2"/>
        <v>1</v>
      </c>
      <c r="S175" s="8">
        <f t="shared" si="3"/>
        <v>0</v>
      </c>
      <c r="T175" s="8" t="str">
        <f t="shared" si="4"/>
        <v>OK</v>
      </c>
      <c r="U175" s="8">
        <f t="shared" si="5"/>
        <v>0</v>
      </c>
      <c r="V175" s="8"/>
      <c r="W175" s="8"/>
      <c r="X175" s="8"/>
      <c r="Y175" s="8"/>
      <c r="Z175" s="8"/>
    </row>
    <row r="176" ht="15.75" customHeight="1">
      <c r="A176" s="3">
        <v>785.0</v>
      </c>
      <c r="B176" s="4">
        <v>40579.0</v>
      </c>
      <c r="C176" s="3">
        <v>1.0</v>
      </c>
      <c r="D176" s="3">
        <v>0.0</v>
      </c>
      <c r="E176" s="3">
        <v>2.0</v>
      </c>
      <c r="F176" s="3">
        <v>3.0</v>
      </c>
      <c r="G176" s="3" t="b">
        <f t="shared" si="1"/>
        <v>0</v>
      </c>
      <c r="H176" s="3">
        <v>6.0</v>
      </c>
      <c r="I176" s="3">
        <v>2.0</v>
      </c>
      <c r="J176" s="3">
        <v>0.24</v>
      </c>
      <c r="K176" s="3">
        <v>0.2424</v>
      </c>
      <c r="L176" s="3">
        <v>0.75</v>
      </c>
      <c r="M176" s="3">
        <v>0.1642</v>
      </c>
      <c r="N176" s="3">
        <v>1.0</v>
      </c>
      <c r="O176" s="3">
        <v>10.0</v>
      </c>
      <c r="P176" s="3">
        <v>11.0</v>
      </c>
      <c r="Q176" s="8"/>
      <c r="R176" s="8">
        <f t="shared" si="2"/>
        <v>1</v>
      </c>
      <c r="S176" s="8">
        <f t="shared" si="3"/>
        <v>0</v>
      </c>
      <c r="T176" s="8" t="str">
        <f t="shared" si="4"/>
        <v>OK</v>
      </c>
      <c r="U176" s="8">
        <f t="shared" si="5"/>
        <v>0</v>
      </c>
      <c r="V176" s="8"/>
      <c r="W176" s="8"/>
      <c r="X176" s="8"/>
      <c r="Y176" s="8"/>
      <c r="Z176" s="8"/>
    </row>
    <row r="177" ht="15.75" customHeight="1">
      <c r="A177" s="3">
        <v>786.0</v>
      </c>
      <c r="B177" s="4">
        <v>40579.0</v>
      </c>
      <c r="C177" s="3">
        <v>1.0</v>
      </c>
      <c r="D177" s="3">
        <v>0.0</v>
      </c>
      <c r="E177" s="3">
        <v>2.0</v>
      </c>
      <c r="F177" s="3">
        <v>4.0</v>
      </c>
      <c r="G177" s="3" t="b">
        <f t="shared" si="1"/>
        <v>0</v>
      </c>
      <c r="H177" s="3">
        <v>6.0</v>
      </c>
      <c r="I177" s="3">
        <v>3.0</v>
      </c>
      <c r="J177" s="3">
        <v>0.22</v>
      </c>
      <c r="K177" s="3">
        <v>0.2273</v>
      </c>
      <c r="L177" s="3">
        <v>0.93</v>
      </c>
      <c r="M177" s="3">
        <v>0.1343</v>
      </c>
      <c r="N177" s="3">
        <v>0.0</v>
      </c>
      <c r="O177" s="3">
        <v>8.0</v>
      </c>
      <c r="P177" s="3">
        <v>8.0</v>
      </c>
      <c r="Q177" s="8"/>
      <c r="R177" s="8">
        <f t="shared" si="2"/>
        <v>1</v>
      </c>
      <c r="S177" s="8">
        <f t="shared" si="3"/>
        <v>0</v>
      </c>
      <c r="T177" s="8" t="str">
        <f t="shared" si="4"/>
        <v>OK</v>
      </c>
      <c r="U177" s="8">
        <f t="shared" si="5"/>
        <v>0</v>
      </c>
      <c r="V177" s="8"/>
      <c r="W177" s="8"/>
      <c r="X177" s="8"/>
      <c r="Y177" s="8"/>
      <c r="Z177" s="8"/>
    </row>
    <row r="178" ht="15.75" customHeight="1">
      <c r="A178" s="3">
        <v>787.0</v>
      </c>
      <c r="B178" s="4">
        <v>40579.0</v>
      </c>
      <c r="C178" s="3">
        <v>1.0</v>
      </c>
      <c r="D178" s="3">
        <v>0.0</v>
      </c>
      <c r="E178" s="3">
        <v>2.0</v>
      </c>
      <c r="F178" s="3">
        <v>5.0</v>
      </c>
      <c r="G178" s="3" t="b">
        <f t="shared" si="1"/>
        <v>0</v>
      </c>
      <c r="H178" s="3">
        <v>6.0</v>
      </c>
      <c r="I178" s="3">
        <v>3.0</v>
      </c>
      <c r="J178" s="3">
        <v>0.2</v>
      </c>
      <c r="K178" s="3">
        <v>0.2273</v>
      </c>
      <c r="L178" s="3">
        <v>1.0</v>
      </c>
      <c r="M178" s="3">
        <v>0.0896</v>
      </c>
      <c r="N178" s="3">
        <v>0.0</v>
      </c>
      <c r="O178" s="3">
        <v>9.0</v>
      </c>
      <c r="P178" s="3">
        <v>9.0</v>
      </c>
      <c r="Q178" s="8"/>
      <c r="R178" s="8">
        <f t="shared" si="2"/>
        <v>1</v>
      </c>
      <c r="S178" s="8">
        <f t="shared" si="3"/>
        <v>0</v>
      </c>
      <c r="T178" s="8" t="str">
        <f t="shared" si="4"/>
        <v>OK</v>
      </c>
      <c r="U178" s="8">
        <f t="shared" si="5"/>
        <v>0</v>
      </c>
      <c r="V178" s="8"/>
      <c r="W178" s="8"/>
      <c r="X178" s="8"/>
      <c r="Y178" s="8"/>
      <c r="Z178" s="8"/>
    </row>
    <row r="179" ht="15.75" customHeight="1">
      <c r="A179" s="3">
        <v>788.0</v>
      </c>
      <c r="B179" s="4">
        <v>40579.0</v>
      </c>
      <c r="C179" s="3">
        <v>1.0</v>
      </c>
      <c r="D179" s="3">
        <v>0.0</v>
      </c>
      <c r="E179" s="3">
        <v>2.0</v>
      </c>
      <c r="F179" s="3">
        <v>6.0</v>
      </c>
      <c r="G179" s="3" t="b">
        <f t="shared" si="1"/>
        <v>0</v>
      </c>
      <c r="H179" s="3">
        <v>6.0</v>
      </c>
      <c r="I179" s="3">
        <v>3.0</v>
      </c>
      <c r="J179" s="3">
        <v>0.2</v>
      </c>
      <c r="K179" s="3">
        <v>0.2576</v>
      </c>
      <c r="L179" s="3">
        <v>1.0</v>
      </c>
      <c r="M179" s="3">
        <v>0.0</v>
      </c>
      <c r="N179" s="3">
        <v>0.0</v>
      </c>
      <c r="O179" s="3">
        <v>4.0</v>
      </c>
      <c r="P179" s="3">
        <v>4.0</v>
      </c>
      <c r="Q179" s="8"/>
      <c r="R179" s="8">
        <f t="shared" si="2"/>
        <v>1</v>
      </c>
      <c r="S179" s="8">
        <f t="shared" si="3"/>
        <v>0</v>
      </c>
      <c r="T179" s="8" t="str">
        <f t="shared" si="4"/>
        <v>OK</v>
      </c>
      <c r="U179" s="8">
        <f t="shared" si="5"/>
        <v>0</v>
      </c>
      <c r="V179" s="8"/>
      <c r="W179" s="8"/>
      <c r="X179" s="8"/>
      <c r="Y179" s="8"/>
      <c r="Z179" s="8"/>
    </row>
    <row r="180" ht="15.75" customHeight="1">
      <c r="A180" s="3">
        <v>789.0</v>
      </c>
      <c r="B180" s="4">
        <v>40579.0</v>
      </c>
      <c r="C180" s="3">
        <v>1.0</v>
      </c>
      <c r="D180" s="3">
        <v>0.0</v>
      </c>
      <c r="E180" s="3">
        <v>2.0</v>
      </c>
      <c r="F180" s="3">
        <v>7.0</v>
      </c>
      <c r="G180" s="3" t="b">
        <f t="shared" si="1"/>
        <v>0</v>
      </c>
      <c r="H180" s="3">
        <v>6.0</v>
      </c>
      <c r="I180" s="3">
        <v>3.0</v>
      </c>
      <c r="J180" s="3">
        <v>0.22</v>
      </c>
      <c r="K180" s="3">
        <v>0.2576</v>
      </c>
      <c r="L180" s="3">
        <v>0.93</v>
      </c>
      <c r="M180" s="3">
        <v>0.0896</v>
      </c>
      <c r="N180" s="3">
        <v>0.0</v>
      </c>
      <c r="O180" s="3">
        <v>4.0</v>
      </c>
      <c r="P180" s="3">
        <v>4.0</v>
      </c>
      <c r="Q180" s="8"/>
      <c r="R180" s="8">
        <f t="shared" si="2"/>
        <v>1</v>
      </c>
      <c r="S180" s="8">
        <f t="shared" si="3"/>
        <v>0</v>
      </c>
      <c r="T180" s="8" t="str">
        <f t="shared" si="4"/>
        <v>OK</v>
      </c>
      <c r="U180" s="8">
        <f t="shared" si="5"/>
        <v>0</v>
      </c>
      <c r="V180" s="8"/>
      <c r="W180" s="8"/>
      <c r="X180" s="8"/>
      <c r="Y180" s="8"/>
      <c r="Z180" s="8"/>
    </row>
    <row r="181" ht="15.75" customHeight="1">
      <c r="A181" s="3">
        <v>790.0</v>
      </c>
      <c r="B181" s="4">
        <v>40579.0</v>
      </c>
      <c r="C181" s="3">
        <v>1.0</v>
      </c>
      <c r="D181" s="3">
        <v>0.0</v>
      </c>
      <c r="E181" s="3">
        <v>2.0</v>
      </c>
      <c r="F181" s="3">
        <v>8.0</v>
      </c>
      <c r="G181" s="3" t="b">
        <f t="shared" si="1"/>
        <v>0</v>
      </c>
      <c r="H181" s="3">
        <v>6.0</v>
      </c>
      <c r="I181" s="3">
        <v>3.0</v>
      </c>
      <c r="J181" s="3">
        <v>0.2</v>
      </c>
      <c r="K181" s="3">
        <v>0.2273</v>
      </c>
      <c r="L181" s="3">
        <v>1.0</v>
      </c>
      <c r="M181" s="3">
        <v>0.0896</v>
      </c>
      <c r="N181" s="3">
        <v>0.0</v>
      </c>
      <c r="O181" s="3">
        <v>10.0</v>
      </c>
      <c r="P181" s="3">
        <v>10.0</v>
      </c>
      <c r="Q181" s="8"/>
      <c r="R181" s="8">
        <f t="shared" si="2"/>
        <v>1</v>
      </c>
      <c r="S181" s="8">
        <f t="shared" si="3"/>
        <v>0</v>
      </c>
      <c r="T181" s="8" t="str">
        <f t="shared" si="4"/>
        <v>OK</v>
      </c>
      <c r="U181" s="8">
        <f t="shared" si="5"/>
        <v>0</v>
      </c>
      <c r="V181" s="8"/>
      <c r="W181" s="8"/>
      <c r="X181" s="8"/>
      <c r="Y181" s="8"/>
      <c r="Z181" s="8"/>
    </row>
    <row r="182" ht="15.75" customHeight="1">
      <c r="A182" s="3">
        <v>791.0</v>
      </c>
      <c r="B182" s="4">
        <v>40579.0</v>
      </c>
      <c r="C182" s="3">
        <v>1.0</v>
      </c>
      <c r="D182" s="3">
        <v>0.0</v>
      </c>
      <c r="E182" s="3">
        <v>2.0</v>
      </c>
      <c r="F182" s="3">
        <v>9.0</v>
      </c>
      <c r="G182" s="3" t="b">
        <f t="shared" si="1"/>
        <v>0</v>
      </c>
      <c r="H182" s="3">
        <v>6.0</v>
      </c>
      <c r="I182" s="3">
        <v>3.0</v>
      </c>
      <c r="J182" s="3">
        <v>0.2</v>
      </c>
      <c r="K182" s="3">
        <v>0.2273</v>
      </c>
      <c r="L182" s="3">
        <v>1.0</v>
      </c>
      <c r="M182" s="3">
        <v>0.0896</v>
      </c>
      <c r="N182" s="3">
        <v>3.0</v>
      </c>
      <c r="O182" s="3">
        <v>17.0</v>
      </c>
      <c r="P182" s="3">
        <v>20.0</v>
      </c>
      <c r="Q182" s="8"/>
      <c r="R182" s="8">
        <f t="shared" si="2"/>
        <v>1</v>
      </c>
      <c r="S182" s="8">
        <f t="shared" si="3"/>
        <v>0</v>
      </c>
      <c r="T182" s="8" t="str">
        <f t="shared" si="4"/>
        <v>OK</v>
      </c>
      <c r="U182" s="8">
        <f t="shared" si="5"/>
        <v>0</v>
      </c>
      <c r="V182" s="8"/>
      <c r="W182" s="8"/>
      <c r="X182" s="8"/>
      <c r="Y182" s="8"/>
      <c r="Z182" s="8"/>
    </row>
    <row r="183" ht="15.75" customHeight="1">
      <c r="A183" s="3">
        <v>792.0</v>
      </c>
      <c r="B183" s="4">
        <v>40579.0</v>
      </c>
      <c r="C183" s="3">
        <v>1.0</v>
      </c>
      <c r="D183" s="3">
        <v>0.0</v>
      </c>
      <c r="E183" s="3">
        <v>2.0</v>
      </c>
      <c r="F183" s="3">
        <v>10.0</v>
      </c>
      <c r="G183" s="3" t="b">
        <f t="shared" si="1"/>
        <v>0</v>
      </c>
      <c r="H183" s="3">
        <v>6.0</v>
      </c>
      <c r="I183" s="3">
        <v>3.0</v>
      </c>
      <c r="J183" s="3">
        <v>0.2</v>
      </c>
      <c r="K183" s="3">
        <v>0.2121</v>
      </c>
      <c r="L183" s="3">
        <v>1.0</v>
      </c>
      <c r="M183" s="3">
        <v>0.1343</v>
      </c>
      <c r="N183" s="3">
        <v>3.0</v>
      </c>
      <c r="O183" s="3">
        <v>31.0</v>
      </c>
      <c r="P183" s="3">
        <v>34.0</v>
      </c>
      <c r="Q183" s="8"/>
      <c r="R183" s="8">
        <f t="shared" si="2"/>
        <v>1</v>
      </c>
      <c r="S183" s="8">
        <f t="shared" si="3"/>
        <v>0</v>
      </c>
      <c r="T183" s="8" t="str">
        <f t="shared" si="4"/>
        <v>OK</v>
      </c>
      <c r="U183" s="8">
        <f t="shared" si="5"/>
        <v>0</v>
      </c>
      <c r="V183" s="8"/>
      <c r="W183" s="8"/>
      <c r="X183" s="8"/>
      <c r="Y183" s="8"/>
      <c r="Z183" s="8"/>
    </row>
    <row r="184" ht="15.75" customHeight="1">
      <c r="A184" s="3">
        <v>793.0</v>
      </c>
      <c r="B184" s="4">
        <v>40579.0</v>
      </c>
      <c r="C184" s="3">
        <v>1.0</v>
      </c>
      <c r="D184" s="3">
        <v>0.0</v>
      </c>
      <c r="E184" s="3">
        <v>2.0</v>
      </c>
      <c r="F184" s="3">
        <v>11.0</v>
      </c>
      <c r="G184" s="3" t="b">
        <f t="shared" si="1"/>
        <v>0</v>
      </c>
      <c r="H184" s="3">
        <v>6.0</v>
      </c>
      <c r="I184" s="3">
        <v>3.0</v>
      </c>
      <c r="J184" s="3">
        <v>0.22</v>
      </c>
      <c r="K184" s="3">
        <v>0.2273</v>
      </c>
      <c r="L184" s="3">
        <v>1.0</v>
      </c>
      <c r="M184" s="3">
        <v>0.1343</v>
      </c>
      <c r="N184" s="3">
        <v>1.0</v>
      </c>
      <c r="O184" s="3">
        <v>46.0</v>
      </c>
      <c r="P184" s="3">
        <v>47.0</v>
      </c>
      <c r="Q184" s="8"/>
      <c r="R184" s="8">
        <f t="shared" si="2"/>
        <v>1</v>
      </c>
      <c r="S184" s="8">
        <f t="shared" si="3"/>
        <v>0</v>
      </c>
      <c r="T184" s="8" t="str">
        <f t="shared" si="4"/>
        <v>OK</v>
      </c>
      <c r="U184" s="8">
        <f t="shared" si="5"/>
        <v>0</v>
      </c>
      <c r="V184" s="8"/>
      <c r="W184" s="8"/>
      <c r="X184" s="8"/>
      <c r="Y184" s="8"/>
      <c r="Z184" s="8"/>
    </row>
    <row r="185" ht="15.75" customHeight="1">
      <c r="A185" s="3">
        <v>794.0</v>
      </c>
      <c r="B185" s="4">
        <v>40579.0</v>
      </c>
      <c r="C185" s="3">
        <v>1.0</v>
      </c>
      <c r="D185" s="3">
        <v>0.0</v>
      </c>
      <c r="E185" s="3">
        <v>2.0</v>
      </c>
      <c r="F185" s="3">
        <v>12.0</v>
      </c>
      <c r="G185" s="3" t="b">
        <f t="shared" si="1"/>
        <v>0</v>
      </c>
      <c r="H185" s="3">
        <v>6.0</v>
      </c>
      <c r="I185" s="3">
        <v>3.0</v>
      </c>
      <c r="J185" s="3">
        <v>0.22</v>
      </c>
      <c r="K185" s="3">
        <v>0.2273</v>
      </c>
      <c r="L185" s="3">
        <v>1.0</v>
      </c>
      <c r="M185" s="3">
        <v>0.1642</v>
      </c>
      <c r="N185" s="3">
        <v>10.0</v>
      </c>
      <c r="O185" s="3">
        <v>42.0</v>
      </c>
      <c r="P185" s="3">
        <v>52.0</v>
      </c>
      <c r="Q185" s="8"/>
      <c r="R185" s="8">
        <f t="shared" si="2"/>
        <v>1</v>
      </c>
      <c r="S185" s="8">
        <f t="shared" si="3"/>
        <v>0</v>
      </c>
      <c r="T185" s="8" t="str">
        <f t="shared" si="4"/>
        <v>OK</v>
      </c>
      <c r="U185" s="8">
        <f t="shared" si="5"/>
        <v>0</v>
      </c>
      <c r="V185" s="8"/>
      <c r="W185" s="8"/>
      <c r="X185" s="8"/>
      <c r="Y185" s="8"/>
      <c r="Z185" s="8"/>
    </row>
    <row r="186" ht="15.75" customHeight="1">
      <c r="A186" s="3">
        <v>795.0</v>
      </c>
      <c r="B186" s="4">
        <v>40579.0</v>
      </c>
      <c r="C186" s="3">
        <v>1.0</v>
      </c>
      <c r="D186" s="3">
        <v>0.0</v>
      </c>
      <c r="E186" s="3">
        <v>2.0</v>
      </c>
      <c r="F186" s="3">
        <v>13.0</v>
      </c>
      <c r="G186" s="3" t="b">
        <f t="shared" si="1"/>
        <v>0</v>
      </c>
      <c r="H186" s="3">
        <v>6.0</v>
      </c>
      <c r="I186" s="3">
        <v>3.0</v>
      </c>
      <c r="J186" s="3">
        <v>0.22</v>
      </c>
      <c r="K186" s="3">
        <v>0.2273</v>
      </c>
      <c r="L186" s="3">
        <v>1.0</v>
      </c>
      <c r="M186" s="3">
        <v>0.1642</v>
      </c>
      <c r="N186" s="3">
        <v>10.0</v>
      </c>
      <c r="O186" s="3">
        <v>62.0</v>
      </c>
      <c r="P186" s="3">
        <v>72.0</v>
      </c>
      <c r="Q186" s="8"/>
      <c r="R186" s="8">
        <f t="shared" si="2"/>
        <v>1</v>
      </c>
      <c r="S186" s="8">
        <f t="shared" si="3"/>
        <v>0</v>
      </c>
      <c r="T186" s="8" t="str">
        <f t="shared" si="4"/>
        <v>OK</v>
      </c>
      <c r="U186" s="8">
        <f t="shared" si="5"/>
        <v>0</v>
      </c>
      <c r="V186" s="8"/>
      <c r="W186" s="8"/>
      <c r="X186" s="8"/>
      <c r="Y186" s="8"/>
      <c r="Z186" s="8"/>
    </row>
    <row r="187" ht="15.75" customHeight="1">
      <c r="A187" s="3">
        <v>796.0</v>
      </c>
      <c r="B187" s="4">
        <v>40579.0</v>
      </c>
      <c r="C187" s="3">
        <v>1.0</v>
      </c>
      <c r="D187" s="3">
        <v>0.0</v>
      </c>
      <c r="E187" s="3">
        <v>2.0</v>
      </c>
      <c r="F187" s="3">
        <v>14.0</v>
      </c>
      <c r="G187" s="3" t="b">
        <f t="shared" si="1"/>
        <v>0</v>
      </c>
      <c r="H187" s="3">
        <v>6.0</v>
      </c>
      <c r="I187" s="3">
        <v>3.0</v>
      </c>
      <c r="J187" s="3">
        <v>0.22</v>
      </c>
      <c r="K187" s="3">
        <v>0.2727</v>
      </c>
      <c r="L187" s="3">
        <v>1.0</v>
      </c>
      <c r="M187" s="3">
        <v>0.0</v>
      </c>
      <c r="N187" s="3">
        <v>5.0</v>
      </c>
      <c r="O187" s="3">
        <v>50.0</v>
      </c>
      <c r="P187" s="3">
        <v>55.0</v>
      </c>
      <c r="Q187" s="8"/>
      <c r="R187" s="8">
        <f t="shared" si="2"/>
        <v>1</v>
      </c>
      <c r="S187" s="8">
        <f t="shared" si="3"/>
        <v>0</v>
      </c>
      <c r="T187" s="8" t="str">
        <f t="shared" si="4"/>
        <v>OK</v>
      </c>
      <c r="U187" s="8">
        <f t="shared" si="5"/>
        <v>0</v>
      </c>
      <c r="V187" s="8"/>
      <c r="W187" s="8"/>
      <c r="X187" s="8"/>
      <c r="Y187" s="8"/>
      <c r="Z187" s="8"/>
    </row>
    <row r="188" ht="15.75" customHeight="1">
      <c r="A188" s="3">
        <v>797.0</v>
      </c>
      <c r="B188" s="4">
        <v>40579.0</v>
      </c>
      <c r="C188" s="3">
        <v>1.0</v>
      </c>
      <c r="D188" s="3">
        <v>0.0</v>
      </c>
      <c r="E188" s="3">
        <v>2.0</v>
      </c>
      <c r="F188" s="3">
        <v>15.0</v>
      </c>
      <c r="G188" s="3" t="b">
        <f t="shared" si="1"/>
        <v>0</v>
      </c>
      <c r="H188" s="3">
        <v>6.0</v>
      </c>
      <c r="I188" s="3">
        <v>3.0</v>
      </c>
      <c r="J188" s="3">
        <v>0.22</v>
      </c>
      <c r="K188" s="3">
        <v>0.2727</v>
      </c>
      <c r="L188" s="3">
        <v>1.0</v>
      </c>
      <c r="M188" s="3">
        <v>0.0</v>
      </c>
      <c r="N188" s="3">
        <v>11.0</v>
      </c>
      <c r="O188" s="3">
        <v>49.0</v>
      </c>
      <c r="P188" s="3">
        <v>60.0</v>
      </c>
      <c r="Q188" s="8"/>
      <c r="R188" s="8">
        <f t="shared" si="2"/>
        <v>1</v>
      </c>
      <c r="S188" s="8">
        <f t="shared" si="3"/>
        <v>0</v>
      </c>
      <c r="T188" s="8" t="str">
        <f t="shared" si="4"/>
        <v>OK</v>
      </c>
      <c r="U188" s="8">
        <f t="shared" si="5"/>
        <v>0</v>
      </c>
      <c r="V188" s="8"/>
      <c r="W188" s="8"/>
      <c r="X188" s="8"/>
      <c r="Y188" s="8"/>
      <c r="Z188" s="8"/>
    </row>
    <row r="189" ht="15.75" customHeight="1">
      <c r="A189" s="3">
        <v>798.0</v>
      </c>
      <c r="B189" s="4">
        <v>40579.0</v>
      </c>
      <c r="C189" s="3">
        <v>1.0</v>
      </c>
      <c r="D189" s="3">
        <v>0.0</v>
      </c>
      <c r="E189" s="3">
        <v>2.0</v>
      </c>
      <c r="F189" s="3">
        <v>16.0</v>
      </c>
      <c r="G189" s="3" t="b">
        <f t="shared" si="1"/>
        <v>0</v>
      </c>
      <c r="H189" s="3">
        <v>6.0</v>
      </c>
      <c r="I189" s="3">
        <v>3.0</v>
      </c>
      <c r="J189" s="3">
        <v>0.22</v>
      </c>
      <c r="K189" s="3">
        <v>0.2273</v>
      </c>
      <c r="L189" s="3">
        <v>1.0</v>
      </c>
      <c r="M189" s="3">
        <v>0.1343</v>
      </c>
      <c r="N189" s="3">
        <v>8.0</v>
      </c>
      <c r="O189" s="3">
        <v>63.0</v>
      </c>
      <c r="P189" s="3">
        <v>71.0</v>
      </c>
      <c r="Q189" s="8"/>
      <c r="R189" s="8">
        <f t="shared" si="2"/>
        <v>1</v>
      </c>
      <c r="S189" s="8">
        <f t="shared" si="3"/>
        <v>0</v>
      </c>
      <c r="T189" s="8" t="str">
        <f t="shared" si="4"/>
        <v>OK</v>
      </c>
      <c r="U189" s="8">
        <f t="shared" si="5"/>
        <v>0</v>
      </c>
      <c r="V189" s="8"/>
      <c r="W189" s="8"/>
      <c r="X189" s="8"/>
      <c r="Y189" s="8"/>
      <c r="Z189" s="8"/>
    </row>
    <row r="190" ht="15.75" customHeight="1">
      <c r="A190" s="3">
        <v>799.0</v>
      </c>
      <c r="B190" s="4">
        <v>40579.0</v>
      </c>
      <c r="C190" s="3">
        <v>1.0</v>
      </c>
      <c r="D190" s="3">
        <v>0.0</v>
      </c>
      <c r="E190" s="3">
        <v>2.0</v>
      </c>
      <c r="F190" s="3">
        <v>17.0</v>
      </c>
      <c r="G190" s="3" t="b">
        <f t="shared" si="1"/>
        <v>0</v>
      </c>
      <c r="H190" s="3">
        <v>6.0</v>
      </c>
      <c r="I190" s="3">
        <v>2.0</v>
      </c>
      <c r="J190" s="3">
        <v>0.24</v>
      </c>
      <c r="K190" s="3">
        <v>0.2121</v>
      </c>
      <c r="L190" s="3">
        <v>1.0</v>
      </c>
      <c r="M190" s="3">
        <v>0.2836</v>
      </c>
      <c r="N190" s="3">
        <v>14.0</v>
      </c>
      <c r="O190" s="3">
        <v>64.0</v>
      </c>
      <c r="P190" s="3">
        <v>78.0</v>
      </c>
      <c r="Q190" s="8"/>
      <c r="R190" s="8">
        <f t="shared" si="2"/>
        <v>1</v>
      </c>
      <c r="S190" s="8">
        <f t="shared" si="3"/>
        <v>0</v>
      </c>
      <c r="T190" s="8" t="str">
        <f t="shared" si="4"/>
        <v>OK</v>
      </c>
      <c r="U190" s="8">
        <f t="shared" si="5"/>
        <v>0</v>
      </c>
      <c r="V190" s="8"/>
      <c r="W190" s="8"/>
      <c r="X190" s="8"/>
      <c r="Y190" s="8"/>
      <c r="Z190" s="8"/>
    </row>
    <row r="191" ht="15.75" customHeight="1">
      <c r="A191" s="3">
        <v>800.0</v>
      </c>
      <c r="B191" s="4">
        <v>40579.0</v>
      </c>
      <c r="C191" s="3">
        <v>1.0</v>
      </c>
      <c r="D191" s="3">
        <v>0.0</v>
      </c>
      <c r="E191" s="3">
        <v>2.0</v>
      </c>
      <c r="F191" s="3">
        <v>18.0</v>
      </c>
      <c r="G191" s="3" t="b">
        <f t="shared" si="1"/>
        <v>0</v>
      </c>
      <c r="H191" s="3">
        <v>6.0</v>
      </c>
      <c r="I191" s="3">
        <v>2.0</v>
      </c>
      <c r="J191" s="3">
        <v>0.28</v>
      </c>
      <c r="K191" s="3">
        <v>0.2424</v>
      </c>
      <c r="L191" s="3">
        <v>0.93</v>
      </c>
      <c r="M191" s="3">
        <v>0.4478</v>
      </c>
      <c r="N191" s="3">
        <v>2.0</v>
      </c>
      <c r="O191" s="3">
        <v>81.0</v>
      </c>
      <c r="P191" s="3">
        <v>83.0</v>
      </c>
      <c r="Q191" s="8"/>
      <c r="R191" s="8">
        <f t="shared" si="2"/>
        <v>1</v>
      </c>
      <c r="S191" s="8">
        <f t="shared" si="3"/>
        <v>0</v>
      </c>
      <c r="T191" s="8" t="str">
        <f t="shared" si="4"/>
        <v>OK</v>
      </c>
      <c r="U191" s="8">
        <f t="shared" si="5"/>
        <v>0</v>
      </c>
      <c r="V191" s="8"/>
      <c r="W191" s="8"/>
      <c r="X191" s="8"/>
      <c r="Y191" s="8"/>
      <c r="Z191" s="8"/>
    </row>
    <row r="192" ht="15.75" customHeight="1">
      <c r="A192" s="3">
        <v>801.0</v>
      </c>
      <c r="B192" s="4">
        <v>40579.0</v>
      </c>
      <c r="C192" s="3">
        <v>1.0</v>
      </c>
      <c r="D192" s="3">
        <v>0.0</v>
      </c>
      <c r="E192" s="3">
        <v>2.0</v>
      </c>
      <c r="F192" s="3">
        <v>19.0</v>
      </c>
      <c r="G192" s="3" t="b">
        <f t="shared" si="1"/>
        <v>0</v>
      </c>
      <c r="H192" s="3">
        <v>6.0</v>
      </c>
      <c r="I192" s="3">
        <v>2.0</v>
      </c>
      <c r="J192" s="3">
        <v>0.28</v>
      </c>
      <c r="K192" s="3">
        <v>0.2424</v>
      </c>
      <c r="L192" s="3">
        <v>0.93</v>
      </c>
      <c r="M192" s="3">
        <v>0.4478</v>
      </c>
      <c r="N192" s="3">
        <v>6.0</v>
      </c>
      <c r="O192" s="3">
        <v>78.0</v>
      </c>
      <c r="P192" s="3">
        <v>84.0</v>
      </c>
      <c r="Q192" s="8"/>
      <c r="R192" s="8">
        <f t="shared" si="2"/>
        <v>1</v>
      </c>
      <c r="S192" s="8">
        <f t="shared" si="3"/>
        <v>0</v>
      </c>
      <c r="T192" s="8" t="str">
        <f t="shared" si="4"/>
        <v>OK</v>
      </c>
      <c r="U192" s="8">
        <f t="shared" si="5"/>
        <v>0</v>
      </c>
      <c r="V192" s="8"/>
      <c r="W192" s="8"/>
      <c r="X192" s="8"/>
      <c r="Y192" s="8"/>
      <c r="Z192" s="8"/>
    </row>
    <row r="193" ht="15.75" customHeight="1">
      <c r="A193" s="3">
        <v>802.0</v>
      </c>
      <c r="B193" s="4">
        <v>40579.0</v>
      </c>
      <c r="C193" s="3">
        <v>1.0</v>
      </c>
      <c r="D193" s="3">
        <v>0.0</v>
      </c>
      <c r="E193" s="3">
        <v>2.0</v>
      </c>
      <c r="F193" s="3">
        <v>20.0</v>
      </c>
      <c r="G193" s="3" t="b">
        <f t="shared" si="1"/>
        <v>0</v>
      </c>
      <c r="H193" s="3">
        <v>6.0</v>
      </c>
      <c r="I193" s="3">
        <v>1.0</v>
      </c>
      <c r="J193" s="3">
        <v>0.3</v>
      </c>
      <c r="K193" s="3">
        <v>0.2879</v>
      </c>
      <c r="L193" s="3">
        <v>0.87</v>
      </c>
      <c r="M193" s="3">
        <v>0.2537</v>
      </c>
      <c r="N193" s="3">
        <v>5.0</v>
      </c>
      <c r="O193" s="3">
        <v>64.0</v>
      </c>
      <c r="P193" s="3">
        <v>69.0</v>
      </c>
      <c r="Q193" s="8"/>
      <c r="R193" s="8">
        <f t="shared" si="2"/>
        <v>1</v>
      </c>
      <c r="S193" s="8">
        <f t="shared" si="3"/>
        <v>0</v>
      </c>
      <c r="T193" s="8" t="str">
        <f t="shared" si="4"/>
        <v>OK</v>
      </c>
      <c r="U193" s="8">
        <f t="shared" si="5"/>
        <v>0</v>
      </c>
      <c r="V193" s="8"/>
      <c r="W193" s="8"/>
      <c r="X193" s="8"/>
      <c r="Y193" s="8"/>
      <c r="Z193" s="8"/>
    </row>
    <row r="194" ht="15.75" customHeight="1">
      <c r="A194" s="3">
        <v>803.0</v>
      </c>
      <c r="B194" s="4">
        <v>40579.0</v>
      </c>
      <c r="C194" s="3">
        <v>1.0</v>
      </c>
      <c r="D194" s="3">
        <v>0.0</v>
      </c>
      <c r="E194" s="3">
        <v>2.0</v>
      </c>
      <c r="F194" s="3">
        <v>21.0</v>
      </c>
      <c r="G194" s="3" t="b">
        <f t="shared" si="1"/>
        <v>0</v>
      </c>
      <c r="H194" s="3">
        <v>6.0</v>
      </c>
      <c r="I194" s="3">
        <v>1.0</v>
      </c>
      <c r="J194" s="3">
        <v>0.26</v>
      </c>
      <c r="K194" s="3">
        <v>0.2576</v>
      </c>
      <c r="L194" s="3">
        <v>1.0</v>
      </c>
      <c r="M194" s="3">
        <v>0.194</v>
      </c>
      <c r="N194" s="3">
        <v>3.0</v>
      </c>
      <c r="O194" s="3">
        <v>53.0</v>
      </c>
      <c r="P194" s="3">
        <v>56.0</v>
      </c>
      <c r="Q194" s="8"/>
      <c r="R194" s="8">
        <f t="shared" si="2"/>
        <v>1</v>
      </c>
      <c r="S194" s="8">
        <f t="shared" si="3"/>
        <v>0</v>
      </c>
      <c r="T194" s="8" t="str">
        <f t="shared" si="4"/>
        <v>OK</v>
      </c>
      <c r="U194" s="8">
        <f t="shared" si="5"/>
        <v>0</v>
      </c>
      <c r="V194" s="8"/>
      <c r="W194" s="8"/>
      <c r="X194" s="8"/>
      <c r="Y194" s="8"/>
      <c r="Z194" s="8"/>
    </row>
    <row r="195" ht="15.75" customHeight="1">
      <c r="A195" s="3">
        <v>804.0</v>
      </c>
      <c r="B195" s="4">
        <v>40579.0</v>
      </c>
      <c r="C195" s="3">
        <v>1.0</v>
      </c>
      <c r="D195" s="3">
        <v>0.0</v>
      </c>
      <c r="E195" s="3">
        <v>2.0</v>
      </c>
      <c r="F195" s="3">
        <v>22.0</v>
      </c>
      <c r="G195" s="3" t="b">
        <f t="shared" si="1"/>
        <v>0</v>
      </c>
      <c r="H195" s="3">
        <v>6.0</v>
      </c>
      <c r="I195" s="3">
        <v>1.0</v>
      </c>
      <c r="J195" s="3">
        <v>0.26</v>
      </c>
      <c r="K195" s="3">
        <v>0.2727</v>
      </c>
      <c r="L195" s="3">
        <v>0.93</v>
      </c>
      <c r="M195" s="3">
        <v>0.1343</v>
      </c>
      <c r="N195" s="3">
        <v>2.0</v>
      </c>
      <c r="O195" s="3">
        <v>43.0</v>
      </c>
      <c r="P195" s="3">
        <v>45.0</v>
      </c>
      <c r="Q195" s="8"/>
      <c r="R195" s="8">
        <f t="shared" si="2"/>
        <v>1</v>
      </c>
      <c r="S195" s="8">
        <f t="shared" si="3"/>
        <v>0</v>
      </c>
      <c r="T195" s="8" t="str">
        <f t="shared" si="4"/>
        <v>OK</v>
      </c>
      <c r="U195" s="8">
        <f t="shared" si="5"/>
        <v>0</v>
      </c>
      <c r="V195" s="8"/>
      <c r="W195" s="8"/>
      <c r="X195" s="8"/>
      <c r="Y195" s="8"/>
      <c r="Z195" s="8"/>
    </row>
    <row r="196" ht="15.75" customHeight="1">
      <c r="A196" s="3">
        <v>805.0</v>
      </c>
      <c r="B196" s="4">
        <v>40579.0</v>
      </c>
      <c r="C196" s="3">
        <v>1.0</v>
      </c>
      <c r="D196" s="3">
        <v>0.0</v>
      </c>
      <c r="E196" s="3">
        <v>2.0</v>
      </c>
      <c r="F196" s="3">
        <v>23.0</v>
      </c>
      <c r="G196" s="3" t="b">
        <f t="shared" si="1"/>
        <v>0</v>
      </c>
      <c r="H196" s="3">
        <v>6.0</v>
      </c>
      <c r="I196" s="3">
        <v>1.0</v>
      </c>
      <c r="J196" s="3">
        <v>0.26</v>
      </c>
      <c r="K196" s="3">
        <v>0.2576</v>
      </c>
      <c r="L196" s="3">
        <v>0.93</v>
      </c>
      <c r="M196" s="3">
        <v>0.2239</v>
      </c>
      <c r="N196" s="3">
        <v>7.0</v>
      </c>
      <c r="O196" s="3">
        <v>52.0</v>
      </c>
      <c r="P196" s="3">
        <v>59.0</v>
      </c>
      <c r="Q196" s="8"/>
      <c r="R196" s="8">
        <f t="shared" si="2"/>
        <v>1</v>
      </c>
      <c r="S196" s="8">
        <f t="shared" si="3"/>
        <v>0</v>
      </c>
      <c r="T196" s="8" t="str">
        <f t="shared" si="4"/>
        <v>OK</v>
      </c>
      <c r="U196" s="8">
        <f t="shared" si="5"/>
        <v>0</v>
      </c>
      <c r="V196" s="8"/>
      <c r="W196" s="8"/>
      <c r="X196" s="8"/>
      <c r="Y196" s="8"/>
      <c r="Z196" s="8"/>
    </row>
    <row r="197" ht="15.75" customHeight="1">
      <c r="A197" s="3">
        <v>806.0</v>
      </c>
      <c r="B197" s="4">
        <v>40580.0</v>
      </c>
      <c r="C197" s="3">
        <v>1.0</v>
      </c>
      <c r="D197" s="3">
        <v>0.0</v>
      </c>
      <c r="E197" s="3">
        <v>2.0</v>
      </c>
      <c r="F197" s="3">
        <v>0.0</v>
      </c>
      <c r="G197" s="3" t="b">
        <f t="shared" si="1"/>
        <v>0</v>
      </c>
      <c r="H197" s="3">
        <v>0.0</v>
      </c>
      <c r="I197" s="3">
        <v>1.0</v>
      </c>
      <c r="J197" s="3">
        <v>0.26</v>
      </c>
      <c r="K197" s="3">
        <v>0.2576</v>
      </c>
      <c r="L197" s="3">
        <v>0.7</v>
      </c>
      <c r="M197" s="3">
        <v>0.194</v>
      </c>
      <c r="N197" s="3">
        <v>2.0</v>
      </c>
      <c r="O197" s="3">
        <v>37.0</v>
      </c>
      <c r="P197" s="3">
        <v>39.0</v>
      </c>
      <c r="Q197" s="8"/>
      <c r="R197" s="8">
        <f t="shared" si="2"/>
        <v>1</v>
      </c>
      <c r="S197" s="8">
        <f t="shared" si="3"/>
        <v>0</v>
      </c>
      <c r="T197" s="8" t="str">
        <f t="shared" si="4"/>
        <v>OK</v>
      </c>
      <c r="U197" s="8">
        <f t="shared" si="5"/>
        <v>0</v>
      </c>
      <c r="V197" s="8"/>
      <c r="W197" s="8"/>
      <c r="X197" s="8"/>
      <c r="Y197" s="8"/>
      <c r="Z197" s="8"/>
    </row>
    <row r="198" ht="15.75" customHeight="1">
      <c r="A198" s="3">
        <v>807.0</v>
      </c>
      <c r="B198" s="4">
        <v>40580.0</v>
      </c>
      <c r="C198" s="3">
        <v>1.0</v>
      </c>
      <c r="D198" s="3">
        <v>0.0</v>
      </c>
      <c r="E198" s="3">
        <v>2.0</v>
      </c>
      <c r="F198" s="3">
        <v>1.0</v>
      </c>
      <c r="G198" s="3" t="b">
        <f t="shared" si="1"/>
        <v>0</v>
      </c>
      <c r="H198" s="3">
        <v>0.0</v>
      </c>
      <c r="I198" s="3">
        <v>1.0</v>
      </c>
      <c r="J198" s="3">
        <v>0.26</v>
      </c>
      <c r="K198" s="3">
        <v>0.2273</v>
      </c>
      <c r="L198" s="3">
        <v>0.65</v>
      </c>
      <c r="M198" s="3">
        <v>0.4179</v>
      </c>
      <c r="N198" s="3">
        <v>4.0</v>
      </c>
      <c r="O198" s="3">
        <v>40.0</v>
      </c>
      <c r="P198" s="3">
        <v>44.0</v>
      </c>
      <c r="Q198" s="8"/>
      <c r="R198" s="8">
        <f t="shared" si="2"/>
        <v>1</v>
      </c>
      <c r="S198" s="8">
        <f t="shared" si="3"/>
        <v>0</v>
      </c>
      <c r="T198" s="8" t="str">
        <f t="shared" si="4"/>
        <v>OK</v>
      </c>
      <c r="U198" s="8">
        <f t="shared" si="5"/>
        <v>0</v>
      </c>
      <c r="V198" s="8"/>
      <c r="W198" s="8"/>
      <c r="X198" s="8"/>
      <c r="Y198" s="8"/>
      <c r="Z198" s="8"/>
    </row>
    <row r="199" ht="15.75" customHeight="1">
      <c r="A199" s="3">
        <v>808.0</v>
      </c>
      <c r="B199" s="4">
        <v>40580.0</v>
      </c>
      <c r="C199" s="3">
        <v>1.0</v>
      </c>
      <c r="D199" s="3">
        <v>0.0</v>
      </c>
      <c r="E199" s="3">
        <v>2.0</v>
      </c>
      <c r="F199" s="3">
        <v>2.0</v>
      </c>
      <c r="G199" s="3" t="b">
        <f t="shared" si="1"/>
        <v>0</v>
      </c>
      <c r="H199" s="3">
        <v>0.0</v>
      </c>
      <c r="I199" s="3">
        <v>1.0</v>
      </c>
      <c r="J199" s="3">
        <v>0.26</v>
      </c>
      <c r="K199" s="3">
        <v>0.2273</v>
      </c>
      <c r="L199" s="3">
        <v>0.6</v>
      </c>
      <c r="M199" s="3">
        <v>0.3284</v>
      </c>
      <c r="N199" s="3">
        <v>0.0</v>
      </c>
      <c r="O199" s="3">
        <v>20.0</v>
      </c>
      <c r="P199" s="3">
        <v>20.0</v>
      </c>
      <c r="Q199" s="8"/>
      <c r="R199" s="8">
        <f t="shared" si="2"/>
        <v>1</v>
      </c>
      <c r="S199" s="8">
        <f t="shared" si="3"/>
        <v>0</v>
      </c>
      <c r="T199" s="8" t="str">
        <f t="shared" si="4"/>
        <v>OK</v>
      </c>
      <c r="U199" s="8">
        <f t="shared" si="5"/>
        <v>0</v>
      </c>
      <c r="V199" s="8"/>
      <c r="W199" s="8"/>
      <c r="X199" s="8"/>
      <c r="Y199" s="8"/>
      <c r="Z199" s="8"/>
    </row>
    <row r="200" ht="15.75" customHeight="1">
      <c r="A200" s="3">
        <v>809.0</v>
      </c>
      <c r="B200" s="4">
        <v>40580.0</v>
      </c>
      <c r="C200" s="3">
        <v>1.0</v>
      </c>
      <c r="D200" s="3">
        <v>0.0</v>
      </c>
      <c r="E200" s="3">
        <v>2.0</v>
      </c>
      <c r="F200" s="3">
        <v>3.0</v>
      </c>
      <c r="G200" s="3" t="b">
        <f t="shared" si="1"/>
        <v>0</v>
      </c>
      <c r="H200" s="3">
        <v>0.0</v>
      </c>
      <c r="I200" s="3">
        <v>1.0</v>
      </c>
      <c r="J200" s="3">
        <v>0.26</v>
      </c>
      <c r="K200" s="3">
        <v>0.2879</v>
      </c>
      <c r="L200" s="3">
        <v>0.6</v>
      </c>
      <c r="M200" s="3">
        <v>0.0896</v>
      </c>
      <c r="N200" s="3">
        <v>3.0</v>
      </c>
      <c r="O200" s="3">
        <v>10.0</v>
      </c>
      <c r="P200" s="3">
        <v>13.0</v>
      </c>
      <c r="Q200" s="8"/>
      <c r="R200" s="8">
        <f t="shared" si="2"/>
        <v>1</v>
      </c>
      <c r="S200" s="8">
        <f t="shared" si="3"/>
        <v>0</v>
      </c>
      <c r="T200" s="8" t="str">
        <f t="shared" si="4"/>
        <v>OK</v>
      </c>
      <c r="U200" s="8">
        <f t="shared" si="5"/>
        <v>0</v>
      </c>
      <c r="V200" s="8"/>
      <c r="W200" s="8"/>
      <c r="X200" s="8"/>
      <c r="Y200" s="8"/>
      <c r="Z200" s="8"/>
    </row>
    <row r="201" ht="15.75" customHeight="1">
      <c r="A201" s="3">
        <v>810.0</v>
      </c>
      <c r="B201" s="4">
        <v>40580.0</v>
      </c>
      <c r="C201" s="3">
        <v>1.0</v>
      </c>
      <c r="D201" s="3">
        <v>0.0</v>
      </c>
      <c r="E201" s="3">
        <v>2.0</v>
      </c>
      <c r="F201" s="3">
        <v>4.0</v>
      </c>
      <c r="G201" s="3" t="b">
        <f t="shared" si="1"/>
        <v>0</v>
      </c>
      <c r="H201" s="3">
        <v>0.0</v>
      </c>
      <c r="I201" s="3">
        <v>1.0</v>
      </c>
      <c r="J201" s="3">
        <v>0.26</v>
      </c>
      <c r="K201" s="3">
        <v>0.2273</v>
      </c>
      <c r="L201" s="3">
        <v>0.6</v>
      </c>
      <c r="M201" s="3">
        <v>0.3582</v>
      </c>
      <c r="N201" s="3">
        <v>0.0</v>
      </c>
      <c r="O201" s="3">
        <v>2.0</v>
      </c>
      <c r="P201" s="3">
        <v>2.0</v>
      </c>
      <c r="Q201" s="8"/>
      <c r="R201" s="8">
        <f t="shared" si="2"/>
        <v>1</v>
      </c>
      <c r="S201" s="8">
        <f t="shared" si="3"/>
        <v>0</v>
      </c>
      <c r="T201" s="8" t="str">
        <f t="shared" si="4"/>
        <v>OK</v>
      </c>
      <c r="U201" s="8">
        <f t="shared" si="5"/>
        <v>0</v>
      </c>
      <c r="V201" s="8"/>
      <c r="W201" s="8"/>
      <c r="X201" s="8"/>
      <c r="Y201" s="8"/>
      <c r="Z201" s="8"/>
    </row>
    <row r="202" ht="15.75" customHeight="1">
      <c r="A202" s="3">
        <v>811.0</v>
      </c>
      <c r="B202" s="4">
        <v>40580.0</v>
      </c>
      <c r="C202" s="3">
        <v>1.0</v>
      </c>
      <c r="D202" s="3">
        <v>0.0</v>
      </c>
      <c r="E202" s="3">
        <v>2.0</v>
      </c>
      <c r="F202" s="3">
        <v>5.0</v>
      </c>
      <c r="G202" s="3" t="b">
        <f t="shared" si="1"/>
        <v>0</v>
      </c>
      <c r="H202" s="3">
        <v>0.0</v>
      </c>
      <c r="I202" s="3">
        <v>1.0</v>
      </c>
      <c r="J202" s="3">
        <v>0.26</v>
      </c>
      <c r="K202" s="3">
        <v>0.2576</v>
      </c>
      <c r="L202" s="3">
        <v>0.6</v>
      </c>
      <c r="M202" s="3">
        <v>0.2239</v>
      </c>
      <c r="N202" s="3">
        <v>0.0</v>
      </c>
      <c r="O202" s="3">
        <v>1.0</v>
      </c>
      <c r="P202" s="3">
        <v>1.0</v>
      </c>
      <c r="Q202" s="8"/>
      <c r="R202" s="8">
        <f t="shared" si="2"/>
        <v>1</v>
      </c>
      <c r="S202" s="8">
        <f t="shared" si="3"/>
        <v>0</v>
      </c>
      <c r="T202" s="8" t="str">
        <f t="shared" si="4"/>
        <v>OK</v>
      </c>
      <c r="U202" s="8">
        <f t="shared" si="5"/>
        <v>0</v>
      </c>
      <c r="V202" s="8"/>
      <c r="W202" s="8"/>
      <c r="X202" s="8"/>
      <c r="Y202" s="8"/>
      <c r="Z202" s="8"/>
    </row>
    <row r="203" ht="15.75" customHeight="1">
      <c r="A203" s="3">
        <v>812.0</v>
      </c>
      <c r="B203" s="4">
        <v>40580.0</v>
      </c>
      <c r="C203" s="3">
        <v>1.0</v>
      </c>
      <c r="D203" s="3">
        <v>0.0</v>
      </c>
      <c r="E203" s="3">
        <v>2.0</v>
      </c>
      <c r="F203" s="3">
        <v>6.0</v>
      </c>
      <c r="G203" s="3" t="b">
        <f t="shared" si="1"/>
        <v>0</v>
      </c>
      <c r="H203" s="3">
        <v>0.0</v>
      </c>
      <c r="I203" s="3">
        <v>1.0</v>
      </c>
      <c r="J203" s="3">
        <v>0.26</v>
      </c>
      <c r="K203" s="3">
        <v>0.2576</v>
      </c>
      <c r="L203" s="3">
        <v>0.6</v>
      </c>
      <c r="M203" s="3">
        <v>0.2239</v>
      </c>
      <c r="N203" s="3">
        <v>0.0</v>
      </c>
      <c r="O203" s="3">
        <v>1.0</v>
      </c>
      <c r="P203" s="3">
        <v>1.0</v>
      </c>
      <c r="Q203" s="8"/>
      <c r="R203" s="8">
        <f t="shared" si="2"/>
        <v>1</v>
      </c>
      <c r="S203" s="8">
        <f t="shared" si="3"/>
        <v>0</v>
      </c>
      <c r="T203" s="8" t="str">
        <f t="shared" si="4"/>
        <v>OK</v>
      </c>
      <c r="U203" s="8">
        <f t="shared" si="5"/>
        <v>0</v>
      </c>
      <c r="V203" s="8"/>
      <c r="W203" s="8"/>
      <c r="X203" s="8"/>
      <c r="Y203" s="8"/>
      <c r="Z203" s="8"/>
    </row>
    <row r="204" ht="15.75" customHeight="1">
      <c r="A204" s="3">
        <v>813.0</v>
      </c>
      <c r="B204" s="4">
        <v>40580.0</v>
      </c>
      <c r="C204" s="3">
        <v>1.0</v>
      </c>
      <c r="D204" s="3">
        <v>0.0</v>
      </c>
      <c r="E204" s="3">
        <v>2.0</v>
      </c>
      <c r="F204" s="3">
        <v>7.0</v>
      </c>
      <c r="G204" s="3" t="b">
        <f t="shared" si="1"/>
        <v>0</v>
      </c>
      <c r="H204" s="3">
        <v>0.0</v>
      </c>
      <c r="I204" s="3">
        <v>1.0</v>
      </c>
      <c r="J204" s="3">
        <v>0.24</v>
      </c>
      <c r="K204" s="3">
        <v>0.2424</v>
      </c>
      <c r="L204" s="3">
        <v>0.65</v>
      </c>
      <c r="M204" s="3">
        <v>0.1642</v>
      </c>
      <c r="N204" s="3">
        <v>0.0</v>
      </c>
      <c r="O204" s="3">
        <v>8.0</v>
      </c>
      <c r="P204" s="3">
        <v>8.0</v>
      </c>
      <c r="Q204" s="8"/>
      <c r="R204" s="8">
        <f t="shared" si="2"/>
        <v>1</v>
      </c>
      <c r="S204" s="8">
        <f t="shared" si="3"/>
        <v>0</v>
      </c>
      <c r="T204" s="8" t="str">
        <f t="shared" si="4"/>
        <v>OK</v>
      </c>
      <c r="U204" s="8">
        <f t="shared" si="5"/>
        <v>0</v>
      </c>
      <c r="V204" s="8"/>
      <c r="W204" s="8"/>
      <c r="X204" s="8"/>
      <c r="Y204" s="8"/>
      <c r="Z204" s="8"/>
    </row>
    <row r="205" ht="15.75" customHeight="1">
      <c r="A205" s="3">
        <v>814.0</v>
      </c>
      <c r="B205" s="4">
        <v>40580.0</v>
      </c>
      <c r="C205" s="3">
        <v>1.0</v>
      </c>
      <c r="D205" s="3">
        <v>0.0</v>
      </c>
      <c r="E205" s="3">
        <v>2.0</v>
      </c>
      <c r="F205" s="3">
        <v>8.0</v>
      </c>
      <c r="G205" s="3" t="b">
        <f t="shared" si="1"/>
        <v>0</v>
      </c>
      <c r="H205" s="3">
        <v>0.0</v>
      </c>
      <c r="I205" s="3">
        <v>1.0</v>
      </c>
      <c r="J205" s="3">
        <v>0.24</v>
      </c>
      <c r="K205" s="3">
        <v>0.2576</v>
      </c>
      <c r="L205" s="3">
        <v>0.65</v>
      </c>
      <c r="M205" s="3">
        <v>0.1045</v>
      </c>
      <c r="N205" s="3">
        <v>2.0</v>
      </c>
      <c r="O205" s="3">
        <v>21.0</v>
      </c>
      <c r="P205" s="3">
        <v>23.0</v>
      </c>
      <c r="Q205" s="8"/>
      <c r="R205" s="8">
        <f t="shared" si="2"/>
        <v>1</v>
      </c>
      <c r="S205" s="8">
        <f t="shared" si="3"/>
        <v>0</v>
      </c>
      <c r="T205" s="8" t="str">
        <f t="shared" si="4"/>
        <v>OK</v>
      </c>
      <c r="U205" s="8">
        <f t="shared" si="5"/>
        <v>0</v>
      </c>
      <c r="V205" s="8"/>
      <c r="W205" s="8"/>
      <c r="X205" s="8"/>
      <c r="Y205" s="8"/>
      <c r="Z205" s="8"/>
    </row>
    <row r="206" ht="15.75" customHeight="1">
      <c r="A206" s="3">
        <v>815.0</v>
      </c>
      <c r="B206" s="4">
        <v>40580.0</v>
      </c>
      <c r="C206" s="3">
        <v>1.0</v>
      </c>
      <c r="D206" s="3">
        <v>0.0</v>
      </c>
      <c r="E206" s="3">
        <v>2.0</v>
      </c>
      <c r="F206" s="3">
        <v>9.0</v>
      </c>
      <c r="G206" s="3" t="b">
        <f t="shared" si="1"/>
        <v>0</v>
      </c>
      <c r="H206" s="3">
        <v>0.0</v>
      </c>
      <c r="I206" s="3">
        <v>1.0</v>
      </c>
      <c r="J206" s="3">
        <v>0.28</v>
      </c>
      <c r="K206" s="3">
        <v>0.2879</v>
      </c>
      <c r="L206" s="3">
        <v>0.56</v>
      </c>
      <c r="M206" s="3">
        <v>0.1045</v>
      </c>
      <c r="N206" s="3">
        <v>7.0</v>
      </c>
      <c r="O206" s="3">
        <v>38.0</v>
      </c>
      <c r="P206" s="3">
        <v>45.0</v>
      </c>
      <c r="Q206" s="8"/>
      <c r="R206" s="8">
        <f t="shared" si="2"/>
        <v>1</v>
      </c>
      <c r="S206" s="8">
        <f t="shared" si="3"/>
        <v>0</v>
      </c>
      <c r="T206" s="8" t="str">
        <f t="shared" si="4"/>
        <v>OK</v>
      </c>
      <c r="U206" s="8">
        <f t="shared" si="5"/>
        <v>0</v>
      </c>
      <c r="V206" s="8"/>
      <c r="W206" s="8"/>
      <c r="X206" s="8"/>
      <c r="Y206" s="8"/>
      <c r="Z206" s="8"/>
    </row>
    <row r="207" ht="15.75" customHeight="1">
      <c r="A207" s="3">
        <v>816.0</v>
      </c>
      <c r="B207" s="4">
        <v>40580.0</v>
      </c>
      <c r="C207" s="3">
        <v>1.0</v>
      </c>
      <c r="D207" s="3">
        <v>0.0</v>
      </c>
      <c r="E207" s="3">
        <v>2.0</v>
      </c>
      <c r="F207" s="3">
        <v>10.0</v>
      </c>
      <c r="G207" s="3" t="b">
        <f t="shared" si="1"/>
        <v>0</v>
      </c>
      <c r="H207" s="3">
        <v>0.0</v>
      </c>
      <c r="I207" s="3">
        <v>1.0</v>
      </c>
      <c r="J207" s="3">
        <v>0.3</v>
      </c>
      <c r="K207" s="3">
        <v>0.2879</v>
      </c>
      <c r="L207" s="3">
        <v>0.52</v>
      </c>
      <c r="M207" s="3">
        <v>0.2537</v>
      </c>
      <c r="N207" s="3">
        <v>15.0</v>
      </c>
      <c r="O207" s="3">
        <v>74.0</v>
      </c>
      <c r="P207" s="3">
        <v>89.0</v>
      </c>
      <c r="Q207" s="8"/>
      <c r="R207" s="8">
        <f t="shared" si="2"/>
        <v>1</v>
      </c>
      <c r="S207" s="8">
        <f t="shared" si="3"/>
        <v>0</v>
      </c>
      <c r="T207" s="8" t="str">
        <f t="shared" si="4"/>
        <v>OK</v>
      </c>
      <c r="U207" s="8">
        <f t="shared" si="5"/>
        <v>0</v>
      </c>
      <c r="V207" s="8"/>
      <c r="W207" s="8"/>
      <c r="X207" s="8"/>
      <c r="Y207" s="8"/>
      <c r="Z207" s="8"/>
    </row>
    <row r="208" ht="15.75" customHeight="1">
      <c r="A208" s="3">
        <v>817.0</v>
      </c>
      <c r="B208" s="4">
        <v>40580.0</v>
      </c>
      <c r="C208" s="3">
        <v>1.0</v>
      </c>
      <c r="D208" s="3">
        <v>0.0</v>
      </c>
      <c r="E208" s="3">
        <v>2.0</v>
      </c>
      <c r="F208" s="3">
        <v>11.0</v>
      </c>
      <c r="G208" s="3" t="b">
        <f t="shared" si="1"/>
        <v>0</v>
      </c>
      <c r="H208" s="3">
        <v>0.0</v>
      </c>
      <c r="I208" s="3">
        <v>1.0</v>
      </c>
      <c r="J208" s="3">
        <v>0.32</v>
      </c>
      <c r="K208" s="3">
        <v>0.303</v>
      </c>
      <c r="L208" s="3">
        <v>0.49</v>
      </c>
      <c r="M208" s="3">
        <v>0.2537</v>
      </c>
      <c r="N208" s="3">
        <v>28.0</v>
      </c>
      <c r="O208" s="3">
        <v>89.0</v>
      </c>
      <c r="P208" s="3">
        <v>117.0</v>
      </c>
      <c r="Q208" s="8"/>
      <c r="R208" s="8">
        <f t="shared" si="2"/>
        <v>1</v>
      </c>
      <c r="S208" s="8">
        <f t="shared" si="3"/>
        <v>0</v>
      </c>
      <c r="T208" s="8" t="str">
        <f t="shared" si="4"/>
        <v>OK</v>
      </c>
      <c r="U208" s="8">
        <f t="shared" si="5"/>
        <v>0</v>
      </c>
      <c r="V208" s="8"/>
      <c r="W208" s="8"/>
      <c r="X208" s="8"/>
      <c r="Y208" s="8"/>
      <c r="Z208" s="8"/>
    </row>
    <row r="209" ht="15.75" customHeight="1">
      <c r="A209" s="3">
        <v>818.0</v>
      </c>
      <c r="B209" s="4">
        <v>40580.0</v>
      </c>
      <c r="C209" s="3">
        <v>1.0</v>
      </c>
      <c r="D209" s="3">
        <v>0.0</v>
      </c>
      <c r="E209" s="3">
        <v>2.0</v>
      </c>
      <c r="F209" s="3">
        <v>12.0</v>
      </c>
      <c r="G209" s="3" t="b">
        <f t="shared" si="1"/>
        <v>0</v>
      </c>
      <c r="H209" s="3">
        <v>0.0</v>
      </c>
      <c r="I209" s="3">
        <v>1.0</v>
      </c>
      <c r="J209" s="3">
        <v>0.34</v>
      </c>
      <c r="K209" s="3">
        <v>0.3333</v>
      </c>
      <c r="L209" s="3">
        <v>0.46</v>
      </c>
      <c r="M209" s="3">
        <v>0.0</v>
      </c>
      <c r="N209" s="3">
        <v>48.0</v>
      </c>
      <c r="O209" s="3">
        <v>126.0</v>
      </c>
      <c r="P209" s="3">
        <v>174.0</v>
      </c>
      <c r="Q209" s="8"/>
      <c r="R209" s="8">
        <f t="shared" si="2"/>
        <v>1</v>
      </c>
      <c r="S209" s="8">
        <f t="shared" si="3"/>
        <v>0</v>
      </c>
      <c r="T209" s="8" t="str">
        <f t="shared" si="4"/>
        <v>OK</v>
      </c>
      <c r="U209" s="8">
        <f t="shared" si="5"/>
        <v>0</v>
      </c>
      <c r="V209" s="8"/>
      <c r="W209" s="8"/>
      <c r="X209" s="8"/>
      <c r="Y209" s="8"/>
      <c r="Z209" s="8"/>
    </row>
    <row r="210" ht="15.75" customHeight="1">
      <c r="A210" s="3">
        <v>819.0</v>
      </c>
      <c r="B210" s="4">
        <v>40580.0</v>
      </c>
      <c r="C210" s="3">
        <v>1.0</v>
      </c>
      <c r="D210" s="3">
        <v>0.0</v>
      </c>
      <c r="E210" s="3">
        <v>2.0</v>
      </c>
      <c r="F210" s="3">
        <v>13.0</v>
      </c>
      <c r="G210" s="3" t="b">
        <f t="shared" si="1"/>
        <v>0</v>
      </c>
      <c r="H210" s="3">
        <v>0.0</v>
      </c>
      <c r="I210" s="3">
        <v>1.0</v>
      </c>
      <c r="J210" s="3">
        <v>0.34</v>
      </c>
      <c r="K210" s="3">
        <v>0.3636</v>
      </c>
      <c r="L210" s="3">
        <v>0.46</v>
      </c>
      <c r="M210" s="3">
        <v>0.0</v>
      </c>
      <c r="N210" s="3">
        <v>47.0</v>
      </c>
      <c r="O210" s="3">
        <v>135.0</v>
      </c>
      <c r="P210" s="3">
        <v>182.0</v>
      </c>
      <c r="Q210" s="8"/>
      <c r="R210" s="8">
        <f t="shared" si="2"/>
        <v>1</v>
      </c>
      <c r="S210" s="8">
        <f t="shared" si="3"/>
        <v>0</v>
      </c>
      <c r="T210" s="8" t="str">
        <f t="shared" si="4"/>
        <v>OK</v>
      </c>
      <c r="U210" s="8">
        <f t="shared" si="5"/>
        <v>0</v>
      </c>
      <c r="V210" s="8"/>
      <c r="W210" s="8"/>
      <c r="X210" s="8"/>
      <c r="Y210" s="8"/>
      <c r="Z210" s="8"/>
    </row>
    <row r="211" ht="15.75" customHeight="1">
      <c r="A211" s="3">
        <v>820.0</v>
      </c>
      <c r="B211" s="4">
        <v>40580.0</v>
      </c>
      <c r="C211" s="3">
        <v>1.0</v>
      </c>
      <c r="D211" s="3">
        <v>0.0</v>
      </c>
      <c r="E211" s="3">
        <v>2.0</v>
      </c>
      <c r="F211" s="3">
        <v>14.0</v>
      </c>
      <c r="G211" s="3" t="b">
        <f t="shared" si="1"/>
        <v>0</v>
      </c>
      <c r="H211" s="3">
        <v>0.0</v>
      </c>
      <c r="I211" s="3">
        <v>1.0</v>
      </c>
      <c r="J211" s="3">
        <v>0.34</v>
      </c>
      <c r="K211" s="3">
        <v>0.3485</v>
      </c>
      <c r="L211" s="3">
        <v>0.46</v>
      </c>
      <c r="M211" s="3">
        <v>0.0896</v>
      </c>
      <c r="N211" s="3">
        <v>47.0</v>
      </c>
      <c r="O211" s="3">
        <v>114.0</v>
      </c>
      <c r="P211" s="3">
        <v>161.0</v>
      </c>
      <c r="Q211" s="8"/>
      <c r="R211" s="8">
        <f t="shared" si="2"/>
        <v>1</v>
      </c>
      <c r="S211" s="8">
        <f t="shared" si="3"/>
        <v>0</v>
      </c>
      <c r="T211" s="8" t="str">
        <f t="shared" si="4"/>
        <v>OK</v>
      </c>
      <c r="U211" s="8">
        <f t="shared" si="5"/>
        <v>0</v>
      </c>
      <c r="V211" s="8"/>
      <c r="W211" s="8"/>
      <c r="X211" s="8"/>
      <c r="Y211" s="8"/>
      <c r="Z211" s="8"/>
    </row>
    <row r="212" ht="15.75" customHeight="1">
      <c r="A212" s="3">
        <v>821.0</v>
      </c>
      <c r="B212" s="4">
        <v>40580.0</v>
      </c>
      <c r="C212" s="3">
        <v>1.0</v>
      </c>
      <c r="D212" s="3">
        <v>0.0</v>
      </c>
      <c r="E212" s="3">
        <v>2.0</v>
      </c>
      <c r="F212" s="3">
        <v>15.0</v>
      </c>
      <c r="G212" s="3" t="b">
        <f t="shared" si="1"/>
        <v>0</v>
      </c>
      <c r="H212" s="3">
        <v>0.0</v>
      </c>
      <c r="I212" s="3">
        <v>1.0</v>
      </c>
      <c r="J212" s="3">
        <v>0.34</v>
      </c>
      <c r="K212" s="3">
        <v>0.3485</v>
      </c>
      <c r="L212" s="3">
        <v>0.46</v>
      </c>
      <c r="M212" s="3">
        <v>0.0896</v>
      </c>
      <c r="N212" s="3">
        <v>52.0</v>
      </c>
      <c r="O212" s="3">
        <v>130.0</v>
      </c>
      <c r="P212" s="3">
        <v>182.0</v>
      </c>
      <c r="Q212" s="8"/>
      <c r="R212" s="8">
        <f t="shared" si="2"/>
        <v>1</v>
      </c>
      <c r="S212" s="8">
        <f t="shared" si="3"/>
        <v>0</v>
      </c>
      <c r="T212" s="8" t="str">
        <f t="shared" si="4"/>
        <v>OK</v>
      </c>
      <c r="U212" s="8">
        <f t="shared" si="5"/>
        <v>0</v>
      </c>
      <c r="V212" s="8"/>
      <c r="W212" s="8"/>
      <c r="X212" s="8"/>
      <c r="Y212" s="8"/>
      <c r="Z212" s="8"/>
    </row>
    <row r="213" ht="15.75" customHeight="1">
      <c r="A213" s="3">
        <v>822.0</v>
      </c>
      <c r="B213" s="4">
        <v>40580.0</v>
      </c>
      <c r="C213" s="3">
        <v>1.0</v>
      </c>
      <c r="D213" s="3">
        <v>0.0</v>
      </c>
      <c r="E213" s="3">
        <v>2.0</v>
      </c>
      <c r="F213" s="3">
        <v>16.0</v>
      </c>
      <c r="G213" s="3" t="b">
        <f t="shared" si="1"/>
        <v>0</v>
      </c>
      <c r="H213" s="3">
        <v>0.0</v>
      </c>
      <c r="I213" s="3">
        <v>1.0</v>
      </c>
      <c r="J213" s="3">
        <v>0.34</v>
      </c>
      <c r="K213" s="3">
        <v>0.3485</v>
      </c>
      <c r="L213" s="3">
        <v>0.49</v>
      </c>
      <c r="M213" s="3">
        <v>0.1045</v>
      </c>
      <c r="N213" s="3">
        <v>42.0</v>
      </c>
      <c r="O213" s="3">
        <v>115.0</v>
      </c>
      <c r="P213" s="3">
        <v>157.0</v>
      </c>
      <c r="Q213" s="8"/>
      <c r="R213" s="8">
        <f t="shared" si="2"/>
        <v>1</v>
      </c>
      <c r="S213" s="8">
        <f t="shared" si="3"/>
        <v>0</v>
      </c>
      <c r="T213" s="8" t="str">
        <f t="shared" si="4"/>
        <v>OK</v>
      </c>
      <c r="U213" s="8">
        <f t="shared" si="5"/>
        <v>0</v>
      </c>
      <c r="V213" s="8"/>
      <c r="W213" s="8"/>
      <c r="X213" s="8"/>
      <c r="Y213" s="8"/>
      <c r="Z213" s="8"/>
    </row>
    <row r="214" ht="15.75" customHeight="1">
      <c r="A214" s="3">
        <v>823.0</v>
      </c>
      <c r="B214" s="4">
        <v>40580.0</v>
      </c>
      <c r="C214" s="3">
        <v>1.0</v>
      </c>
      <c r="D214" s="3">
        <v>0.0</v>
      </c>
      <c r="E214" s="3">
        <v>2.0</v>
      </c>
      <c r="F214" s="3">
        <v>17.0</v>
      </c>
      <c r="G214" s="3" t="b">
        <f t="shared" si="1"/>
        <v>0</v>
      </c>
      <c r="H214" s="3">
        <v>0.0</v>
      </c>
      <c r="I214" s="3">
        <v>1.0</v>
      </c>
      <c r="J214" s="3">
        <v>0.34</v>
      </c>
      <c r="K214" s="3">
        <v>0.3636</v>
      </c>
      <c r="L214" s="3">
        <v>0.46</v>
      </c>
      <c r="M214" s="3">
        <v>0.0</v>
      </c>
      <c r="N214" s="3">
        <v>24.0</v>
      </c>
      <c r="O214" s="3">
        <v>97.0</v>
      </c>
      <c r="P214" s="3">
        <v>121.0</v>
      </c>
      <c r="Q214" s="8"/>
      <c r="R214" s="8">
        <f t="shared" si="2"/>
        <v>1</v>
      </c>
      <c r="S214" s="8">
        <f t="shared" si="3"/>
        <v>0</v>
      </c>
      <c r="T214" s="8" t="str">
        <f t="shared" si="4"/>
        <v>OK</v>
      </c>
      <c r="U214" s="8">
        <f t="shared" si="5"/>
        <v>0</v>
      </c>
      <c r="V214" s="8"/>
      <c r="W214" s="8"/>
      <c r="X214" s="8"/>
      <c r="Y214" s="8"/>
      <c r="Z214" s="8"/>
    </row>
    <row r="215" ht="15.75" customHeight="1">
      <c r="A215" s="3">
        <v>824.0</v>
      </c>
      <c r="B215" s="4">
        <v>40580.0</v>
      </c>
      <c r="C215" s="3">
        <v>1.0</v>
      </c>
      <c r="D215" s="3">
        <v>0.0</v>
      </c>
      <c r="E215" s="3">
        <v>2.0</v>
      </c>
      <c r="F215" s="3">
        <v>18.0</v>
      </c>
      <c r="G215" s="3" t="b">
        <f t="shared" si="1"/>
        <v>0</v>
      </c>
      <c r="H215" s="3">
        <v>0.0</v>
      </c>
      <c r="I215" s="3">
        <v>1.0</v>
      </c>
      <c r="J215" s="3">
        <v>0.3</v>
      </c>
      <c r="K215" s="3">
        <v>0.303</v>
      </c>
      <c r="L215" s="3">
        <v>0.56</v>
      </c>
      <c r="M215" s="3">
        <v>0.1642</v>
      </c>
      <c r="N215" s="3">
        <v>13.0</v>
      </c>
      <c r="O215" s="3">
        <v>65.0</v>
      </c>
      <c r="P215" s="3">
        <v>78.0</v>
      </c>
      <c r="Q215" s="8"/>
      <c r="R215" s="8">
        <f t="shared" si="2"/>
        <v>1</v>
      </c>
      <c r="S215" s="8">
        <f t="shared" si="3"/>
        <v>0</v>
      </c>
      <c r="T215" s="8" t="str">
        <f t="shared" si="4"/>
        <v>OK</v>
      </c>
      <c r="U215" s="8">
        <f t="shared" si="5"/>
        <v>0</v>
      </c>
      <c r="V215" s="8"/>
      <c r="W215" s="8"/>
      <c r="X215" s="8"/>
      <c r="Y215" s="8"/>
      <c r="Z215" s="8"/>
    </row>
    <row r="216" ht="15.75" customHeight="1">
      <c r="A216" s="3">
        <v>825.0</v>
      </c>
      <c r="B216" s="4">
        <v>40580.0</v>
      </c>
      <c r="C216" s="3">
        <v>1.0</v>
      </c>
      <c r="D216" s="3">
        <v>0.0</v>
      </c>
      <c r="E216" s="3">
        <v>2.0</v>
      </c>
      <c r="F216" s="3">
        <v>19.0</v>
      </c>
      <c r="G216" s="3" t="b">
        <f t="shared" si="1"/>
        <v>0</v>
      </c>
      <c r="H216" s="3">
        <v>0.0</v>
      </c>
      <c r="I216" s="3">
        <v>1.0</v>
      </c>
      <c r="J216" s="3">
        <v>0.28</v>
      </c>
      <c r="K216" s="3">
        <v>0.2879</v>
      </c>
      <c r="L216" s="3">
        <v>0.61</v>
      </c>
      <c r="M216" s="3">
        <v>0.1343</v>
      </c>
      <c r="N216" s="3">
        <v>1.0</v>
      </c>
      <c r="O216" s="3">
        <v>20.0</v>
      </c>
      <c r="P216" s="3">
        <v>21.0</v>
      </c>
      <c r="Q216" s="8"/>
      <c r="R216" s="8">
        <f t="shared" si="2"/>
        <v>1</v>
      </c>
      <c r="S216" s="8">
        <f t="shared" si="3"/>
        <v>0</v>
      </c>
      <c r="T216" s="8" t="str">
        <f t="shared" si="4"/>
        <v>OK</v>
      </c>
      <c r="U216" s="8">
        <f t="shared" si="5"/>
        <v>0</v>
      </c>
      <c r="V216" s="8"/>
      <c r="W216" s="8"/>
      <c r="X216" s="8"/>
      <c r="Y216" s="8"/>
      <c r="Z216" s="8"/>
    </row>
    <row r="217" ht="15.75" customHeight="1">
      <c r="A217" s="3">
        <v>826.0</v>
      </c>
      <c r="B217" s="4">
        <v>40580.0</v>
      </c>
      <c r="C217" s="3">
        <v>1.0</v>
      </c>
      <c r="D217" s="3">
        <v>0.0</v>
      </c>
      <c r="E217" s="3">
        <v>2.0</v>
      </c>
      <c r="F217" s="3">
        <v>20.0</v>
      </c>
      <c r="G217" s="3" t="b">
        <f t="shared" si="1"/>
        <v>0</v>
      </c>
      <c r="H217" s="3">
        <v>0.0</v>
      </c>
      <c r="I217" s="3">
        <v>1.0</v>
      </c>
      <c r="J217" s="3">
        <v>0.28</v>
      </c>
      <c r="K217" s="3">
        <v>0.2879</v>
      </c>
      <c r="L217" s="3">
        <v>0.61</v>
      </c>
      <c r="M217" s="3">
        <v>0.1045</v>
      </c>
      <c r="N217" s="3">
        <v>5.0</v>
      </c>
      <c r="O217" s="3">
        <v>21.0</v>
      </c>
      <c r="P217" s="3">
        <v>26.0</v>
      </c>
      <c r="Q217" s="8"/>
      <c r="R217" s="8">
        <f t="shared" si="2"/>
        <v>1</v>
      </c>
      <c r="S217" s="8">
        <f t="shared" si="3"/>
        <v>0</v>
      </c>
      <c r="T217" s="8" t="str">
        <f t="shared" si="4"/>
        <v>OK</v>
      </c>
      <c r="U217" s="8">
        <f t="shared" si="5"/>
        <v>0</v>
      </c>
      <c r="V217" s="8"/>
      <c r="W217" s="8"/>
      <c r="X217" s="8"/>
      <c r="Y217" s="8"/>
      <c r="Z217" s="8"/>
    </row>
    <row r="218" ht="15.75" customHeight="1">
      <c r="A218" s="3">
        <v>827.0</v>
      </c>
      <c r="B218" s="4">
        <v>40580.0</v>
      </c>
      <c r="C218" s="3">
        <v>1.0</v>
      </c>
      <c r="D218" s="3">
        <v>0.0</v>
      </c>
      <c r="E218" s="3">
        <v>2.0</v>
      </c>
      <c r="F218" s="3">
        <v>21.0</v>
      </c>
      <c r="G218" s="3" t="b">
        <f t="shared" si="1"/>
        <v>0</v>
      </c>
      <c r="H218" s="3">
        <v>0.0</v>
      </c>
      <c r="I218" s="3">
        <v>1.0</v>
      </c>
      <c r="J218" s="3">
        <v>0.26</v>
      </c>
      <c r="K218" s="3">
        <v>0.303</v>
      </c>
      <c r="L218" s="3">
        <v>0.6</v>
      </c>
      <c r="M218" s="3">
        <v>0.0</v>
      </c>
      <c r="N218" s="3">
        <v>5.0</v>
      </c>
      <c r="O218" s="3">
        <v>22.0</v>
      </c>
      <c r="P218" s="3">
        <v>27.0</v>
      </c>
      <c r="Q218" s="8"/>
      <c r="R218" s="8">
        <f t="shared" si="2"/>
        <v>1</v>
      </c>
      <c r="S218" s="8">
        <f t="shared" si="3"/>
        <v>0</v>
      </c>
      <c r="T218" s="8" t="str">
        <f t="shared" si="4"/>
        <v>OK</v>
      </c>
      <c r="U218" s="8">
        <f t="shared" si="5"/>
        <v>0</v>
      </c>
      <c r="V218" s="8"/>
      <c r="W218" s="8"/>
      <c r="X218" s="8"/>
      <c r="Y218" s="8"/>
      <c r="Z218" s="8"/>
    </row>
    <row r="219" ht="15.75" customHeight="1">
      <c r="A219" s="3">
        <v>828.0</v>
      </c>
      <c r="B219" s="4">
        <v>40580.0</v>
      </c>
      <c r="C219" s="3">
        <v>1.0</v>
      </c>
      <c r="D219" s="3">
        <v>0.0</v>
      </c>
      <c r="E219" s="3">
        <v>2.0</v>
      </c>
      <c r="F219" s="3">
        <v>22.0</v>
      </c>
      <c r="G219" s="3" t="b">
        <f t="shared" si="1"/>
        <v>0</v>
      </c>
      <c r="H219" s="3">
        <v>0.0</v>
      </c>
      <c r="I219" s="3">
        <v>1.0</v>
      </c>
      <c r="J219" s="3">
        <v>0.26</v>
      </c>
      <c r="K219" s="3">
        <v>0.303</v>
      </c>
      <c r="L219" s="3">
        <v>0.6</v>
      </c>
      <c r="M219" s="3">
        <v>0.0</v>
      </c>
      <c r="N219" s="3">
        <v>5.0</v>
      </c>
      <c r="O219" s="3">
        <v>57.0</v>
      </c>
      <c r="P219" s="3">
        <v>62.0</v>
      </c>
      <c r="Q219" s="8"/>
      <c r="R219" s="8">
        <f t="shared" si="2"/>
        <v>1</v>
      </c>
      <c r="S219" s="8">
        <f t="shared" si="3"/>
        <v>0</v>
      </c>
      <c r="T219" s="8" t="str">
        <f t="shared" si="4"/>
        <v>OK</v>
      </c>
      <c r="U219" s="8">
        <f t="shared" si="5"/>
        <v>0</v>
      </c>
      <c r="V219" s="8"/>
      <c r="W219" s="8"/>
      <c r="X219" s="8"/>
      <c r="Y219" s="8"/>
      <c r="Z219" s="8"/>
    </row>
    <row r="220" ht="15.75" customHeight="1">
      <c r="A220" s="3">
        <v>829.0</v>
      </c>
      <c r="B220" s="4">
        <v>40580.0</v>
      </c>
      <c r="C220" s="3">
        <v>1.0</v>
      </c>
      <c r="D220" s="3">
        <v>0.0</v>
      </c>
      <c r="E220" s="3">
        <v>2.0</v>
      </c>
      <c r="F220" s="3">
        <v>23.0</v>
      </c>
      <c r="G220" s="3" t="b">
        <f t="shared" si="1"/>
        <v>0</v>
      </c>
      <c r="H220" s="3">
        <v>0.0</v>
      </c>
      <c r="I220" s="3">
        <v>1.0</v>
      </c>
      <c r="J220" s="3">
        <v>0.24</v>
      </c>
      <c r="K220" s="3">
        <v>0.2879</v>
      </c>
      <c r="L220" s="3">
        <v>0.65</v>
      </c>
      <c r="M220" s="3">
        <v>0.0</v>
      </c>
      <c r="N220" s="3">
        <v>4.0</v>
      </c>
      <c r="O220" s="3">
        <v>26.0</v>
      </c>
      <c r="P220" s="3">
        <v>30.0</v>
      </c>
      <c r="Q220" s="8"/>
      <c r="R220" s="8">
        <f t="shared" si="2"/>
        <v>1</v>
      </c>
      <c r="S220" s="8">
        <f t="shared" si="3"/>
        <v>0</v>
      </c>
      <c r="T220" s="8" t="str">
        <f t="shared" si="4"/>
        <v>OK</v>
      </c>
      <c r="U220" s="8">
        <f t="shared" si="5"/>
        <v>0</v>
      </c>
      <c r="V220" s="8"/>
      <c r="W220" s="8"/>
      <c r="X220" s="8"/>
      <c r="Y220" s="8"/>
      <c r="Z220" s="8"/>
    </row>
    <row r="221" ht="15.75" customHeight="1">
      <c r="A221" s="3">
        <v>830.0</v>
      </c>
      <c r="B221" s="4">
        <v>40581.0</v>
      </c>
      <c r="C221" s="3">
        <v>1.0</v>
      </c>
      <c r="D221" s="3">
        <v>0.0</v>
      </c>
      <c r="E221" s="3">
        <v>2.0</v>
      </c>
      <c r="F221" s="3">
        <v>0.0</v>
      </c>
      <c r="G221" s="3" t="b">
        <f t="shared" si="1"/>
        <v>0</v>
      </c>
      <c r="H221" s="3">
        <v>1.0</v>
      </c>
      <c r="I221" s="3">
        <v>1.0</v>
      </c>
      <c r="J221" s="3">
        <v>0.24</v>
      </c>
      <c r="K221" s="3">
        <v>0.2879</v>
      </c>
      <c r="L221" s="3">
        <v>0.65</v>
      </c>
      <c r="M221" s="3">
        <v>0.0</v>
      </c>
      <c r="N221" s="3">
        <v>1.0</v>
      </c>
      <c r="O221" s="3">
        <v>14.0</v>
      </c>
      <c r="P221" s="3">
        <v>15.0</v>
      </c>
      <c r="Q221" s="8"/>
      <c r="R221" s="8">
        <f t="shared" si="2"/>
        <v>1</v>
      </c>
      <c r="S221" s="8">
        <f t="shared" si="3"/>
        <v>0</v>
      </c>
      <c r="T221" s="8" t="str">
        <f t="shared" si="4"/>
        <v>OK</v>
      </c>
      <c r="U221" s="8">
        <f t="shared" si="5"/>
        <v>0</v>
      </c>
      <c r="V221" s="8"/>
      <c r="W221" s="8"/>
      <c r="X221" s="8"/>
      <c r="Y221" s="8"/>
      <c r="Z221" s="8"/>
    </row>
    <row r="222" ht="15.75" customHeight="1">
      <c r="A222" s="3">
        <v>831.0</v>
      </c>
      <c r="B222" s="4">
        <v>40581.0</v>
      </c>
      <c r="C222" s="3">
        <v>1.0</v>
      </c>
      <c r="D222" s="3">
        <v>0.0</v>
      </c>
      <c r="E222" s="3">
        <v>2.0</v>
      </c>
      <c r="F222" s="3">
        <v>1.0</v>
      </c>
      <c r="G222" s="3" t="b">
        <f t="shared" si="1"/>
        <v>0</v>
      </c>
      <c r="H222" s="3">
        <v>1.0</v>
      </c>
      <c r="I222" s="3">
        <v>1.0</v>
      </c>
      <c r="J222" s="3">
        <v>0.22</v>
      </c>
      <c r="K222" s="3">
        <v>0.2727</v>
      </c>
      <c r="L222" s="3">
        <v>0.75</v>
      </c>
      <c r="M222" s="3">
        <v>0.0</v>
      </c>
      <c r="N222" s="3">
        <v>1.0</v>
      </c>
      <c r="O222" s="3">
        <v>4.0</v>
      </c>
      <c r="P222" s="3">
        <v>5.0</v>
      </c>
      <c r="Q222" s="8"/>
      <c r="R222" s="8">
        <f t="shared" si="2"/>
        <v>1</v>
      </c>
      <c r="S222" s="8">
        <f t="shared" si="3"/>
        <v>0</v>
      </c>
      <c r="T222" s="8" t="str">
        <f t="shared" si="4"/>
        <v>OK</v>
      </c>
      <c r="U222" s="8">
        <f t="shared" si="5"/>
        <v>0</v>
      </c>
      <c r="V222" s="8"/>
      <c r="W222" s="8"/>
      <c r="X222" s="8"/>
      <c r="Y222" s="8"/>
      <c r="Z222" s="8"/>
    </row>
    <row r="223" ht="15.75" customHeight="1">
      <c r="A223" s="3">
        <v>832.0</v>
      </c>
      <c r="B223" s="4">
        <v>40581.0</v>
      </c>
      <c r="C223" s="3">
        <v>1.0</v>
      </c>
      <c r="D223" s="3">
        <v>0.0</v>
      </c>
      <c r="E223" s="3">
        <v>2.0</v>
      </c>
      <c r="F223" s="3">
        <v>2.0</v>
      </c>
      <c r="G223" s="3" t="b">
        <f t="shared" si="1"/>
        <v>0</v>
      </c>
      <c r="H223" s="3">
        <v>1.0</v>
      </c>
      <c r="I223" s="3">
        <v>1.0</v>
      </c>
      <c r="J223" s="3">
        <v>0.2</v>
      </c>
      <c r="K223" s="3">
        <v>0.2576</v>
      </c>
      <c r="L223" s="3">
        <v>0.8</v>
      </c>
      <c r="M223" s="3">
        <v>0.0</v>
      </c>
      <c r="N223" s="3">
        <v>0.0</v>
      </c>
      <c r="O223" s="3">
        <v>3.0</v>
      </c>
      <c r="P223" s="3">
        <v>3.0</v>
      </c>
      <c r="Q223" s="8"/>
      <c r="R223" s="8">
        <f t="shared" si="2"/>
        <v>1</v>
      </c>
      <c r="S223" s="8">
        <f t="shared" si="3"/>
        <v>0</v>
      </c>
      <c r="T223" s="8" t="str">
        <f t="shared" si="4"/>
        <v>OK</v>
      </c>
      <c r="U223" s="8">
        <f t="shared" si="5"/>
        <v>0</v>
      </c>
      <c r="V223" s="8"/>
      <c r="W223" s="8"/>
      <c r="X223" s="8"/>
      <c r="Y223" s="8"/>
      <c r="Z223" s="8"/>
    </row>
    <row r="224" ht="15.75" customHeight="1">
      <c r="A224" s="3">
        <v>833.0</v>
      </c>
      <c r="B224" s="4">
        <v>40581.0</v>
      </c>
      <c r="C224" s="3">
        <v>1.0</v>
      </c>
      <c r="D224" s="3">
        <v>0.0</v>
      </c>
      <c r="E224" s="3">
        <v>2.0</v>
      </c>
      <c r="F224" s="3">
        <v>3.0</v>
      </c>
      <c r="G224" s="3" t="b">
        <f t="shared" si="1"/>
        <v>0</v>
      </c>
      <c r="H224" s="3">
        <v>1.0</v>
      </c>
      <c r="I224" s="3">
        <v>1.0</v>
      </c>
      <c r="J224" s="3">
        <v>0.2</v>
      </c>
      <c r="K224" s="3">
        <v>0.2576</v>
      </c>
      <c r="L224" s="3">
        <v>0.86</v>
      </c>
      <c r="M224" s="3">
        <v>0.0</v>
      </c>
      <c r="N224" s="3">
        <v>0.0</v>
      </c>
      <c r="O224" s="3">
        <v>1.0</v>
      </c>
      <c r="P224" s="3">
        <v>1.0</v>
      </c>
      <c r="Q224" s="8"/>
      <c r="R224" s="8">
        <f t="shared" si="2"/>
        <v>1</v>
      </c>
      <c r="S224" s="8">
        <f t="shared" si="3"/>
        <v>0</v>
      </c>
      <c r="T224" s="8" t="str">
        <f t="shared" si="4"/>
        <v>OK</v>
      </c>
      <c r="U224" s="8">
        <f t="shared" si="5"/>
        <v>0</v>
      </c>
      <c r="V224" s="8"/>
      <c r="W224" s="8"/>
      <c r="X224" s="8"/>
      <c r="Y224" s="8"/>
      <c r="Z224" s="8"/>
    </row>
    <row r="225" ht="15.75" customHeight="1">
      <c r="A225" s="3">
        <v>834.0</v>
      </c>
      <c r="B225" s="4">
        <v>40581.0</v>
      </c>
      <c r="C225" s="3">
        <v>1.0</v>
      </c>
      <c r="D225" s="3">
        <v>0.0</v>
      </c>
      <c r="E225" s="3">
        <v>2.0</v>
      </c>
      <c r="F225" s="3">
        <v>4.0</v>
      </c>
      <c r="G225" s="3" t="b">
        <f t="shared" si="1"/>
        <v>0</v>
      </c>
      <c r="H225" s="3">
        <v>1.0</v>
      </c>
      <c r="I225" s="3">
        <v>1.0</v>
      </c>
      <c r="J225" s="3">
        <v>0.2</v>
      </c>
      <c r="K225" s="3">
        <v>0.2576</v>
      </c>
      <c r="L225" s="3">
        <v>0.86</v>
      </c>
      <c r="M225" s="3">
        <v>0.0</v>
      </c>
      <c r="N225" s="3">
        <v>1.0</v>
      </c>
      <c r="O225" s="3">
        <v>1.0</v>
      </c>
      <c r="P225" s="3">
        <v>2.0</v>
      </c>
      <c r="Q225" s="8"/>
      <c r="R225" s="8">
        <f t="shared" si="2"/>
        <v>1</v>
      </c>
      <c r="S225" s="8">
        <f t="shared" si="3"/>
        <v>0</v>
      </c>
      <c r="T225" s="8" t="str">
        <f t="shared" si="4"/>
        <v>OK</v>
      </c>
      <c r="U225" s="8">
        <f t="shared" si="5"/>
        <v>0</v>
      </c>
      <c r="V225" s="8"/>
      <c r="W225" s="8"/>
      <c r="X225" s="8"/>
      <c r="Y225" s="8"/>
      <c r="Z225" s="8"/>
    </row>
    <row r="226" ht="15.75" customHeight="1">
      <c r="A226" s="3">
        <v>835.0</v>
      </c>
      <c r="B226" s="4">
        <v>40581.0</v>
      </c>
      <c r="C226" s="3">
        <v>1.0</v>
      </c>
      <c r="D226" s="3">
        <v>0.0</v>
      </c>
      <c r="E226" s="3">
        <v>2.0</v>
      </c>
      <c r="F226" s="3">
        <v>5.0</v>
      </c>
      <c r="G226" s="3" t="b">
        <f t="shared" si="1"/>
        <v>0</v>
      </c>
      <c r="H226" s="3">
        <v>1.0</v>
      </c>
      <c r="I226" s="3">
        <v>1.0</v>
      </c>
      <c r="J226" s="3">
        <v>0.2</v>
      </c>
      <c r="K226" s="3">
        <v>0.2576</v>
      </c>
      <c r="L226" s="3">
        <v>0.86</v>
      </c>
      <c r="M226" s="3">
        <v>0.0</v>
      </c>
      <c r="N226" s="3">
        <v>1.0</v>
      </c>
      <c r="O226" s="3">
        <v>9.0</v>
      </c>
      <c r="P226" s="3">
        <v>10.0</v>
      </c>
      <c r="Q226" s="8"/>
      <c r="R226" s="8">
        <f t="shared" si="2"/>
        <v>1</v>
      </c>
      <c r="S226" s="8">
        <f t="shared" si="3"/>
        <v>0</v>
      </c>
      <c r="T226" s="8" t="str">
        <f t="shared" si="4"/>
        <v>OK</v>
      </c>
      <c r="U226" s="8">
        <f t="shared" si="5"/>
        <v>0</v>
      </c>
      <c r="V226" s="8"/>
      <c r="W226" s="8"/>
      <c r="X226" s="8"/>
      <c r="Y226" s="8"/>
      <c r="Z226" s="8"/>
    </row>
    <row r="227" ht="15.75" customHeight="1">
      <c r="A227" s="3">
        <v>836.0</v>
      </c>
      <c r="B227" s="4">
        <v>40581.0</v>
      </c>
      <c r="C227" s="3">
        <v>1.0</v>
      </c>
      <c r="D227" s="3">
        <v>0.0</v>
      </c>
      <c r="E227" s="3">
        <v>2.0</v>
      </c>
      <c r="F227" s="3">
        <v>6.0</v>
      </c>
      <c r="G227" s="3" t="b">
        <f t="shared" si="1"/>
        <v>0</v>
      </c>
      <c r="H227" s="3">
        <v>1.0</v>
      </c>
      <c r="I227" s="3">
        <v>1.0</v>
      </c>
      <c r="J227" s="3">
        <v>0.18</v>
      </c>
      <c r="K227" s="3">
        <v>0.2424</v>
      </c>
      <c r="L227" s="3">
        <v>0.93</v>
      </c>
      <c r="M227" s="3">
        <v>0.0</v>
      </c>
      <c r="N227" s="3">
        <v>1.0</v>
      </c>
      <c r="O227" s="3">
        <v>29.0</v>
      </c>
      <c r="P227" s="3">
        <v>30.0</v>
      </c>
      <c r="Q227" s="8"/>
      <c r="R227" s="8">
        <f t="shared" si="2"/>
        <v>1</v>
      </c>
      <c r="S227" s="8">
        <f t="shared" si="3"/>
        <v>0</v>
      </c>
      <c r="T227" s="8" t="str">
        <f t="shared" si="4"/>
        <v>OK</v>
      </c>
      <c r="U227" s="8">
        <f t="shared" si="5"/>
        <v>0</v>
      </c>
      <c r="V227" s="8"/>
      <c r="W227" s="8"/>
      <c r="X227" s="8"/>
      <c r="Y227" s="8"/>
      <c r="Z227" s="8"/>
    </row>
    <row r="228" ht="15.75" customHeight="1">
      <c r="A228" s="3">
        <v>837.0</v>
      </c>
      <c r="B228" s="4">
        <v>40581.0</v>
      </c>
      <c r="C228" s="3">
        <v>1.0</v>
      </c>
      <c r="D228" s="3">
        <v>0.0</v>
      </c>
      <c r="E228" s="3">
        <v>2.0</v>
      </c>
      <c r="F228" s="3">
        <v>7.0</v>
      </c>
      <c r="G228" s="3" t="b">
        <f t="shared" si="1"/>
        <v>0</v>
      </c>
      <c r="H228" s="3">
        <v>1.0</v>
      </c>
      <c r="I228" s="3">
        <v>1.0</v>
      </c>
      <c r="J228" s="3">
        <v>0.18</v>
      </c>
      <c r="K228" s="3">
        <v>0.2424</v>
      </c>
      <c r="L228" s="3">
        <v>0.86</v>
      </c>
      <c r="M228" s="3">
        <v>0.0</v>
      </c>
      <c r="N228" s="3">
        <v>6.0</v>
      </c>
      <c r="O228" s="3">
        <v>89.0</v>
      </c>
      <c r="P228" s="3">
        <v>95.0</v>
      </c>
      <c r="Q228" s="8"/>
      <c r="R228" s="8">
        <f t="shared" si="2"/>
        <v>1</v>
      </c>
      <c r="S228" s="8">
        <f t="shared" si="3"/>
        <v>0</v>
      </c>
      <c r="T228" s="8" t="str">
        <f t="shared" si="4"/>
        <v>OK</v>
      </c>
      <c r="U228" s="8">
        <f t="shared" si="5"/>
        <v>0</v>
      </c>
      <c r="V228" s="8"/>
      <c r="W228" s="8"/>
      <c r="X228" s="8"/>
      <c r="Y228" s="8"/>
      <c r="Z228" s="8"/>
    </row>
    <row r="229" ht="15.75" customHeight="1">
      <c r="A229" s="3">
        <v>838.0</v>
      </c>
      <c r="B229" s="4">
        <v>40581.0</v>
      </c>
      <c r="C229" s="3">
        <v>1.0</v>
      </c>
      <c r="D229" s="3">
        <v>0.0</v>
      </c>
      <c r="E229" s="3">
        <v>2.0</v>
      </c>
      <c r="F229" s="3">
        <v>8.0</v>
      </c>
      <c r="G229" s="3" t="b">
        <f t="shared" si="1"/>
        <v>0</v>
      </c>
      <c r="H229" s="3">
        <v>1.0</v>
      </c>
      <c r="I229" s="3">
        <v>2.0</v>
      </c>
      <c r="J229" s="3">
        <v>0.16</v>
      </c>
      <c r="K229" s="3">
        <v>0.2273</v>
      </c>
      <c r="L229" s="3">
        <v>1.0</v>
      </c>
      <c r="M229" s="3">
        <v>0.0</v>
      </c>
      <c r="N229" s="3">
        <v>7.0</v>
      </c>
      <c r="O229" s="3">
        <v>223.0</v>
      </c>
      <c r="P229" s="3">
        <v>230.0</v>
      </c>
      <c r="Q229" s="8"/>
      <c r="R229" s="8">
        <f t="shared" si="2"/>
        <v>1</v>
      </c>
      <c r="S229" s="8">
        <f t="shared" si="3"/>
        <v>0</v>
      </c>
      <c r="T229" s="8" t="str">
        <f t="shared" si="4"/>
        <v>OK</v>
      </c>
      <c r="U229" s="8">
        <f t="shared" si="5"/>
        <v>0</v>
      </c>
      <c r="V229" s="8"/>
      <c r="W229" s="8"/>
      <c r="X229" s="8"/>
      <c r="Y229" s="8"/>
      <c r="Z229" s="8"/>
    </row>
    <row r="230" ht="15.75" customHeight="1">
      <c r="A230" s="3">
        <v>839.0</v>
      </c>
      <c r="B230" s="4">
        <v>40581.0</v>
      </c>
      <c r="C230" s="3">
        <v>1.0</v>
      </c>
      <c r="D230" s="3">
        <v>0.0</v>
      </c>
      <c r="E230" s="3">
        <v>2.0</v>
      </c>
      <c r="F230" s="3">
        <v>9.0</v>
      </c>
      <c r="G230" s="3" t="b">
        <f t="shared" si="1"/>
        <v>0</v>
      </c>
      <c r="H230" s="3">
        <v>1.0</v>
      </c>
      <c r="I230" s="3">
        <v>1.0</v>
      </c>
      <c r="J230" s="3">
        <v>0.22</v>
      </c>
      <c r="K230" s="3">
        <v>0.2727</v>
      </c>
      <c r="L230" s="3">
        <v>0.8</v>
      </c>
      <c r="M230" s="3">
        <v>0.0</v>
      </c>
      <c r="N230" s="3">
        <v>3.0</v>
      </c>
      <c r="O230" s="3">
        <v>115.0</v>
      </c>
      <c r="P230" s="3">
        <v>118.0</v>
      </c>
      <c r="Q230" s="8"/>
      <c r="R230" s="8">
        <f t="shared" si="2"/>
        <v>1</v>
      </c>
      <c r="S230" s="8">
        <f t="shared" si="3"/>
        <v>0</v>
      </c>
      <c r="T230" s="8" t="str">
        <f t="shared" si="4"/>
        <v>OK</v>
      </c>
      <c r="U230" s="8">
        <f t="shared" si="5"/>
        <v>0</v>
      </c>
      <c r="V230" s="8"/>
      <c r="W230" s="8"/>
      <c r="X230" s="8"/>
      <c r="Y230" s="8"/>
      <c r="Z230" s="8"/>
    </row>
    <row r="231" ht="15.75" customHeight="1">
      <c r="A231" s="3">
        <v>840.0</v>
      </c>
      <c r="B231" s="4">
        <v>40581.0</v>
      </c>
      <c r="C231" s="3">
        <v>1.0</v>
      </c>
      <c r="D231" s="3">
        <v>0.0</v>
      </c>
      <c r="E231" s="3">
        <v>2.0</v>
      </c>
      <c r="F231" s="3">
        <v>10.0</v>
      </c>
      <c r="G231" s="3" t="b">
        <f t="shared" si="1"/>
        <v>0</v>
      </c>
      <c r="H231" s="3">
        <v>1.0</v>
      </c>
      <c r="I231" s="3">
        <v>1.0</v>
      </c>
      <c r="J231" s="3">
        <v>0.24</v>
      </c>
      <c r="K231" s="3">
        <v>0.2576</v>
      </c>
      <c r="L231" s="3">
        <v>0.75</v>
      </c>
      <c r="M231" s="3">
        <v>0.1045</v>
      </c>
      <c r="N231" s="3">
        <v>6.0</v>
      </c>
      <c r="O231" s="3">
        <v>49.0</v>
      </c>
      <c r="P231" s="3">
        <v>55.0</v>
      </c>
      <c r="Q231" s="8"/>
      <c r="R231" s="8">
        <f t="shared" si="2"/>
        <v>1</v>
      </c>
      <c r="S231" s="8">
        <f t="shared" si="3"/>
        <v>0</v>
      </c>
      <c r="T231" s="8" t="str">
        <f t="shared" si="4"/>
        <v>OK</v>
      </c>
      <c r="U231" s="8">
        <f t="shared" si="5"/>
        <v>0</v>
      </c>
      <c r="V231" s="8"/>
      <c r="W231" s="8"/>
      <c r="X231" s="8"/>
      <c r="Y231" s="8"/>
      <c r="Z231" s="8"/>
    </row>
    <row r="232" ht="15.75" customHeight="1">
      <c r="A232" s="3">
        <v>841.0</v>
      </c>
      <c r="B232" s="4">
        <v>40581.0</v>
      </c>
      <c r="C232" s="3">
        <v>1.0</v>
      </c>
      <c r="D232" s="3">
        <v>0.0</v>
      </c>
      <c r="E232" s="3">
        <v>2.0</v>
      </c>
      <c r="F232" s="3">
        <v>11.0</v>
      </c>
      <c r="G232" s="3" t="b">
        <f t="shared" si="1"/>
        <v>0</v>
      </c>
      <c r="H232" s="3">
        <v>1.0</v>
      </c>
      <c r="I232" s="3">
        <v>1.0</v>
      </c>
      <c r="J232" s="3">
        <v>0.3</v>
      </c>
      <c r="K232" s="3">
        <v>0.3182</v>
      </c>
      <c r="L232" s="3">
        <v>0.65</v>
      </c>
      <c r="M232" s="3">
        <v>0.0896</v>
      </c>
      <c r="N232" s="3">
        <v>11.0</v>
      </c>
      <c r="O232" s="3">
        <v>36.0</v>
      </c>
      <c r="P232" s="3">
        <v>47.0</v>
      </c>
      <c r="Q232" s="8"/>
      <c r="R232" s="8">
        <f t="shared" si="2"/>
        <v>1</v>
      </c>
      <c r="S232" s="8">
        <f t="shared" si="3"/>
        <v>0</v>
      </c>
      <c r="T232" s="8" t="str">
        <f t="shared" si="4"/>
        <v>OK</v>
      </c>
      <c r="U232" s="8">
        <f t="shared" si="5"/>
        <v>0</v>
      </c>
      <c r="V232" s="8"/>
      <c r="W232" s="8"/>
      <c r="X232" s="8"/>
      <c r="Y232" s="8"/>
      <c r="Z232" s="8"/>
    </row>
    <row r="233" ht="15.75" customHeight="1">
      <c r="A233" s="3">
        <v>842.0</v>
      </c>
      <c r="B233" s="4">
        <v>40581.0</v>
      </c>
      <c r="C233" s="3">
        <v>1.0</v>
      </c>
      <c r="D233" s="3">
        <v>0.0</v>
      </c>
      <c r="E233" s="3">
        <v>2.0</v>
      </c>
      <c r="F233" s="3">
        <v>12.0</v>
      </c>
      <c r="G233" s="3" t="b">
        <f t="shared" si="1"/>
        <v>0</v>
      </c>
      <c r="H233" s="3">
        <v>1.0</v>
      </c>
      <c r="I233" s="3">
        <v>2.0</v>
      </c>
      <c r="J233" s="3">
        <v>0.32</v>
      </c>
      <c r="K233" s="3">
        <v>0.3485</v>
      </c>
      <c r="L233" s="3">
        <v>0.62</v>
      </c>
      <c r="M233" s="3">
        <v>0.0</v>
      </c>
      <c r="N233" s="3">
        <v>7.0</v>
      </c>
      <c r="O233" s="3">
        <v>59.0</v>
      </c>
      <c r="P233" s="3">
        <v>66.0</v>
      </c>
      <c r="Q233" s="8"/>
      <c r="R233" s="8">
        <f t="shared" si="2"/>
        <v>1</v>
      </c>
      <c r="S233" s="8">
        <f t="shared" si="3"/>
        <v>0</v>
      </c>
      <c r="T233" s="8" t="str">
        <f t="shared" si="4"/>
        <v>OK</v>
      </c>
      <c r="U233" s="8">
        <f t="shared" si="5"/>
        <v>0</v>
      </c>
      <c r="V233" s="8"/>
      <c r="W233" s="8"/>
      <c r="X233" s="8"/>
      <c r="Y233" s="8"/>
      <c r="Z233" s="8"/>
    </row>
    <row r="234" ht="15.75" customHeight="1">
      <c r="A234" s="3">
        <v>843.0</v>
      </c>
      <c r="B234" s="4">
        <v>40581.0</v>
      </c>
      <c r="C234" s="3">
        <v>1.0</v>
      </c>
      <c r="D234" s="3">
        <v>0.0</v>
      </c>
      <c r="E234" s="3">
        <v>2.0</v>
      </c>
      <c r="F234" s="3">
        <v>13.0</v>
      </c>
      <c r="G234" s="3" t="b">
        <f t="shared" si="1"/>
        <v>0</v>
      </c>
      <c r="H234" s="3">
        <v>1.0</v>
      </c>
      <c r="I234" s="3">
        <v>2.0</v>
      </c>
      <c r="J234" s="3">
        <v>0.36</v>
      </c>
      <c r="K234" s="3">
        <v>0.3636</v>
      </c>
      <c r="L234" s="3">
        <v>0.57</v>
      </c>
      <c r="M234" s="3">
        <v>0.0896</v>
      </c>
      <c r="N234" s="3">
        <v>10.0</v>
      </c>
      <c r="O234" s="3">
        <v>54.0</v>
      </c>
      <c r="P234" s="3">
        <v>64.0</v>
      </c>
      <c r="Q234" s="8"/>
      <c r="R234" s="8">
        <f t="shared" si="2"/>
        <v>1</v>
      </c>
      <c r="S234" s="8">
        <f t="shared" si="3"/>
        <v>0</v>
      </c>
      <c r="T234" s="8" t="str">
        <f t="shared" si="4"/>
        <v>OK</v>
      </c>
      <c r="U234" s="8">
        <f t="shared" si="5"/>
        <v>0</v>
      </c>
      <c r="V234" s="8"/>
      <c r="W234" s="8"/>
      <c r="X234" s="8"/>
      <c r="Y234" s="8"/>
      <c r="Z234" s="8"/>
    </row>
    <row r="235" ht="15.75" customHeight="1">
      <c r="A235" s="3">
        <v>844.0</v>
      </c>
      <c r="B235" s="4">
        <v>40581.0</v>
      </c>
      <c r="C235" s="3">
        <v>1.0</v>
      </c>
      <c r="D235" s="3">
        <v>0.0</v>
      </c>
      <c r="E235" s="3">
        <v>2.0</v>
      </c>
      <c r="F235" s="3">
        <v>14.0</v>
      </c>
      <c r="G235" s="3" t="b">
        <f t="shared" si="1"/>
        <v>0</v>
      </c>
      <c r="H235" s="3">
        <v>1.0</v>
      </c>
      <c r="I235" s="3">
        <v>2.0</v>
      </c>
      <c r="J235" s="3">
        <v>0.36</v>
      </c>
      <c r="K235" s="3">
        <v>0.3636</v>
      </c>
      <c r="L235" s="3">
        <v>0.57</v>
      </c>
      <c r="M235" s="3">
        <v>0.0896</v>
      </c>
      <c r="N235" s="3">
        <v>8.0</v>
      </c>
      <c r="O235" s="3">
        <v>52.0</v>
      </c>
      <c r="P235" s="3">
        <v>60.0</v>
      </c>
      <c r="Q235" s="8"/>
      <c r="R235" s="8">
        <f t="shared" si="2"/>
        <v>1</v>
      </c>
      <c r="S235" s="8">
        <f t="shared" si="3"/>
        <v>0</v>
      </c>
      <c r="T235" s="8" t="str">
        <f t="shared" si="4"/>
        <v>OK</v>
      </c>
      <c r="U235" s="8">
        <f t="shared" si="5"/>
        <v>0</v>
      </c>
      <c r="V235" s="8"/>
      <c r="W235" s="8"/>
      <c r="X235" s="8"/>
      <c r="Y235" s="8"/>
      <c r="Z235" s="8"/>
    </row>
    <row r="236" ht="15.75" customHeight="1">
      <c r="A236" s="3">
        <v>845.0</v>
      </c>
      <c r="B236" s="4">
        <v>40581.0</v>
      </c>
      <c r="C236" s="3">
        <v>1.0</v>
      </c>
      <c r="D236" s="3">
        <v>0.0</v>
      </c>
      <c r="E236" s="3">
        <v>2.0</v>
      </c>
      <c r="F236" s="3">
        <v>15.0</v>
      </c>
      <c r="G236" s="3" t="b">
        <f t="shared" si="1"/>
        <v>0</v>
      </c>
      <c r="H236" s="3">
        <v>1.0</v>
      </c>
      <c r="I236" s="3">
        <v>2.0</v>
      </c>
      <c r="J236" s="3">
        <v>0.38</v>
      </c>
      <c r="K236" s="3">
        <v>0.3939</v>
      </c>
      <c r="L236" s="3">
        <v>0.54</v>
      </c>
      <c r="M236" s="3">
        <v>0.0896</v>
      </c>
      <c r="N236" s="3">
        <v>4.0</v>
      </c>
      <c r="O236" s="3">
        <v>46.0</v>
      </c>
      <c r="P236" s="3">
        <v>50.0</v>
      </c>
      <c r="Q236" s="8"/>
      <c r="R236" s="8">
        <f t="shared" si="2"/>
        <v>1</v>
      </c>
      <c r="S236" s="8">
        <f t="shared" si="3"/>
        <v>0</v>
      </c>
      <c r="T236" s="8" t="str">
        <f t="shared" si="4"/>
        <v>OK</v>
      </c>
      <c r="U236" s="8">
        <f t="shared" si="5"/>
        <v>0</v>
      </c>
      <c r="V236" s="8"/>
      <c r="W236" s="8"/>
      <c r="X236" s="8"/>
      <c r="Y236" s="8"/>
      <c r="Z236" s="8"/>
    </row>
    <row r="237" ht="15.75" customHeight="1">
      <c r="A237" s="3">
        <v>846.0</v>
      </c>
      <c r="B237" s="4">
        <v>40581.0</v>
      </c>
      <c r="C237" s="3">
        <v>1.0</v>
      </c>
      <c r="D237" s="3">
        <v>0.0</v>
      </c>
      <c r="E237" s="3">
        <v>2.0</v>
      </c>
      <c r="F237" s="3">
        <v>16.0</v>
      </c>
      <c r="G237" s="3" t="b">
        <f t="shared" si="1"/>
        <v>0</v>
      </c>
      <c r="H237" s="3">
        <v>1.0</v>
      </c>
      <c r="I237" s="3">
        <v>2.0</v>
      </c>
      <c r="J237" s="3">
        <v>0.36</v>
      </c>
      <c r="K237" s="3">
        <v>0.3485</v>
      </c>
      <c r="L237" s="3">
        <v>0.57</v>
      </c>
      <c r="M237" s="3">
        <v>0.1343</v>
      </c>
      <c r="N237" s="3">
        <v>16.0</v>
      </c>
      <c r="O237" s="3">
        <v>98.0</v>
      </c>
      <c r="P237" s="3">
        <v>114.0</v>
      </c>
      <c r="Q237" s="8"/>
      <c r="R237" s="8">
        <f t="shared" si="2"/>
        <v>1</v>
      </c>
      <c r="S237" s="8">
        <f t="shared" si="3"/>
        <v>0</v>
      </c>
      <c r="T237" s="8" t="str">
        <f t="shared" si="4"/>
        <v>OK</v>
      </c>
      <c r="U237" s="8">
        <f t="shared" si="5"/>
        <v>0</v>
      </c>
      <c r="V237" s="8"/>
      <c r="W237" s="8"/>
      <c r="X237" s="8"/>
      <c r="Y237" s="8"/>
      <c r="Z237" s="8"/>
    </row>
    <row r="238" ht="15.75" customHeight="1">
      <c r="A238" s="3">
        <v>847.0</v>
      </c>
      <c r="B238" s="4">
        <v>40581.0</v>
      </c>
      <c r="C238" s="3">
        <v>1.0</v>
      </c>
      <c r="D238" s="3">
        <v>0.0</v>
      </c>
      <c r="E238" s="3">
        <v>2.0</v>
      </c>
      <c r="F238" s="3">
        <v>17.0</v>
      </c>
      <c r="G238" s="3" t="b">
        <f t="shared" si="1"/>
        <v>0</v>
      </c>
      <c r="H238" s="3">
        <v>1.0</v>
      </c>
      <c r="I238" s="3">
        <v>2.0</v>
      </c>
      <c r="J238" s="3">
        <v>0.32</v>
      </c>
      <c r="K238" s="3">
        <v>0.3182</v>
      </c>
      <c r="L238" s="3">
        <v>0.7</v>
      </c>
      <c r="M238" s="3">
        <v>0.1642</v>
      </c>
      <c r="N238" s="3">
        <v>9.0</v>
      </c>
      <c r="O238" s="3">
        <v>207.0</v>
      </c>
      <c r="P238" s="3">
        <v>216.0</v>
      </c>
      <c r="Q238" s="8"/>
      <c r="R238" s="8">
        <f t="shared" si="2"/>
        <v>1</v>
      </c>
      <c r="S238" s="8">
        <f t="shared" si="3"/>
        <v>0</v>
      </c>
      <c r="T238" s="8" t="str">
        <f t="shared" si="4"/>
        <v>OK</v>
      </c>
      <c r="U238" s="8">
        <f t="shared" si="5"/>
        <v>0</v>
      </c>
      <c r="V238" s="8"/>
      <c r="W238" s="8"/>
      <c r="X238" s="8"/>
      <c r="Y238" s="8"/>
      <c r="Z238" s="8"/>
    </row>
    <row r="239" ht="15.75" customHeight="1">
      <c r="A239" s="3">
        <v>848.0</v>
      </c>
      <c r="B239" s="4">
        <v>40581.0</v>
      </c>
      <c r="C239" s="3">
        <v>1.0</v>
      </c>
      <c r="D239" s="3">
        <v>0.0</v>
      </c>
      <c r="E239" s="3">
        <v>2.0</v>
      </c>
      <c r="F239" s="3">
        <v>18.0</v>
      </c>
      <c r="G239" s="3" t="b">
        <f t="shared" si="1"/>
        <v>0</v>
      </c>
      <c r="H239" s="3">
        <v>1.0</v>
      </c>
      <c r="I239" s="3">
        <v>2.0</v>
      </c>
      <c r="J239" s="3">
        <v>0.34</v>
      </c>
      <c r="K239" s="3">
        <v>0.3333</v>
      </c>
      <c r="L239" s="3">
        <v>0.66</v>
      </c>
      <c r="M239" s="3">
        <v>0.1343</v>
      </c>
      <c r="N239" s="3">
        <v>5.0</v>
      </c>
      <c r="O239" s="3">
        <v>170.0</v>
      </c>
      <c r="P239" s="3">
        <v>175.0</v>
      </c>
      <c r="Q239" s="8"/>
      <c r="R239" s="8">
        <f t="shared" si="2"/>
        <v>1</v>
      </c>
      <c r="S239" s="8">
        <f t="shared" si="3"/>
        <v>0</v>
      </c>
      <c r="T239" s="8" t="str">
        <f t="shared" si="4"/>
        <v>OK</v>
      </c>
      <c r="U239" s="8">
        <f t="shared" si="5"/>
        <v>0</v>
      </c>
      <c r="V239" s="8"/>
      <c r="W239" s="8"/>
      <c r="X239" s="8"/>
      <c r="Y239" s="8"/>
      <c r="Z239" s="8"/>
    </row>
    <row r="240" ht="15.75" customHeight="1">
      <c r="A240" s="3">
        <v>849.0</v>
      </c>
      <c r="B240" s="4">
        <v>40581.0</v>
      </c>
      <c r="C240" s="3">
        <v>1.0</v>
      </c>
      <c r="D240" s="3">
        <v>0.0</v>
      </c>
      <c r="E240" s="3">
        <v>2.0</v>
      </c>
      <c r="F240" s="3">
        <v>19.0</v>
      </c>
      <c r="G240" s="3" t="b">
        <f t="shared" si="1"/>
        <v>0</v>
      </c>
      <c r="H240" s="3">
        <v>1.0</v>
      </c>
      <c r="I240" s="3">
        <v>2.0</v>
      </c>
      <c r="J240" s="3">
        <v>0.32</v>
      </c>
      <c r="K240" s="3">
        <v>0.3485</v>
      </c>
      <c r="L240" s="3">
        <v>0.7</v>
      </c>
      <c r="M240" s="3">
        <v>0.0</v>
      </c>
      <c r="N240" s="3">
        <v>5.0</v>
      </c>
      <c r="O240" s="3">
        <v>123.0</v>
      </c>
      <c r="P240" s="3">
        <v>128.0</v>
      </c>
      <c r="Q240" s="8"/>
      <c r="R240" s="8">
        <f t="shared" si="2"/>
        <v>1</v>
      </c>
      <c r="S240" s="8">
        <f t="shared" si="3"/>
        <v>0</v>
      </c>
      <c r="T240" s="8" t="str">
        <f t="shared" si="4"/>
        <v>OK</v>
      </c>
      <c r="U240" s="8">
        <f t="shared" si="5"/>
        <v>0</v>
      </c>
      <c r="V240" s="8"/>
      <c r="W240" s="8"/>
      <c r="X240" s="8"/>
      <c r="Y240" s="8"/>
      <c r="Z240" s="8"/>
    </row>
    <row r="241" ht="15.75" customHeight="1">
      <c r="A241" s="3">
        <v>850.0</v>
      </c>
      <c r="B241" s="4">
        <v>40581.0</v>
      </c>
      <c r="C241" s="3">
        <v>1.0</v>
      </c>
      <c r="D241" s="3">
        <v>0.0</v>
      </c>
      <c r="E241" s="3">
        <v>2.0</v>
      </c>
      <c r="F241" s="3">
        <v>20.0</v>
      </c>
      <c r="G241" s="3" t="b">
        <f t="shared" si="1"/>
        <v>0</v>
      </c>
      <c r="H241" s="3">
        <v>1.0</v>
      </c>
      <c r="I241" s="3">
        <v>2.0</v>
      </c>
      <c r="J241" s="3">
        <v>0.32</v>
      </c>
      <c r="K241" s="3">
        <v>0.3333</v>
      </c>
      <c r="L241" s="3">
        <v>0.7</v>
      </c>
      <c r="M241" s="3">
        <v>0.1045</v>
      </c>
      <c r="N241" s="3">
        <v>6.0</v>
      </c>
      <c r="O241" s="3">
        <v>82.0</v>
      </c>
      <c r="P241" s="3">
        <v>88.0</v>
      </c>
      <c r="Q241" s="8"/>
      <c r="R241" s="8">
        <f t="shared" si="2"/>
        <v>1</v>
      </c>
      <c r="S241" s="8">
        <f t="shared" si="3"/>
        <v>0</v>
      </c>
      <c r="T241" s="8" t="str">
        <f t="shared" si="4"/>
        <v>OK</v>
      </c>
      <c r="U241" s="8">
        <f t="shared" si="5"/>
        <v>0</v>
      </c>
      <c r="V241" s="8"/>
      <c r="W241" s="8"/>
      <c r="X241" s="8"/>
      <c r="Y241" s="8"/>
      <c r="Z241" s="8"/>
    </row>
    <row r="242" ht="15.75" customHeight="1">
      <c r="A242" s="3">
        <v>851.0</v>
      </c>
      <c r="B242" s="4">
        <v>40581.0</v>
      </c>
      <c r="C242" s="3">
        <v>1.0</v>
      </c>
      <c r="D242" s="3">
        <v>0.0</v>
      </c>
      <c r="E242" s="3">
        <v>2.0</v>
      </c>
      <c r="F242" s="3">
        <v>21.0</v>
      </c>
      <c r="G242" s="3" t="b">
        <f t="shared" si="1"/>
        <v>0</v>
      </c>
      <c r="H242" s="3">
        <v>1.0</v>
      </c>
      <c r="I242" s="3">
        <v>1.0</v>
      </c>
      <c r="J242" s="3">
        <v>0.32</v>
      </c>
      <c r="K242" s="3">
        <v>0.3485</v>
      </c>
      <c r="L242" s="3">
        <v>0.7</v>
      </c>
      <c r="M242" s="3">
        <v>0.0</v>
      </c>
      <c r="N242" s="3">
        <v>3.0</v>
      </c>
      <c r="O242" s="3">
        <v>75.0</v>
      </c>
      <c r="P242" s="3">
        <v>78.0</v>
      </c>
      <c r="Q242" s="8"/>
      <c r="R242" s="8">
        <f t="shared" si="2"/>
        <v>1</v>
      </c>
      <c r="S242" s="8">
        <f t="shared" si="3"/>
        <v>0</v>
      </c>
      <c r="T242" s="8" t="str">
        <f t="shared" si="4"/>
        <v>OK</v>
      </c>
      <c r="U242" s="8">
        <f t="shared" si="5"/>
        <v>0</v>
      </c>
      <c r="V242" s="8"/>
      <c r="W242" s="8"/>
      <c r="X242" s="8"/>
      <c r="Y242" s="8"/>
      <c r="Z242" s="8"/>
    </row>
    <row r="243" ht="15.75" customHeight="1">
      <c r="A243" s="3">
        <v>852.0</v>
      </c>
      <c r="B243" s="4">
        <v>40581.0</v>
      </c>
      <c r="C243" s="3">
        <v>1.0</v>
      </c>
      <c r="D243" s="3">
        <v>0.0</v>
      </c>
      <c r="E243" s="3">
        <v>2.0</v>
      </c>
      <c r="F243" s="3">
        <v>22.0</v>
      </c>
      <c r="G243" s="3" t="b">
        <f t="shared" si="1"/>
        <v>0</v>
      </c>
      <c r="H243" s="3">
        <v>1.0</v>
      </c>
      <c r="I243" s="3">
        <v>1.0</v>
      </c>
      <c r="J243" s="3">
        <v>0.28</v>
      </c>
      <c r="K243" s="3">
        <v>0.303</v>
      </c>
      <c r="L243" s="3">
        <v>0.81</v>
      </c>
      <c r="M243" s="3">
        <v>0.0896</v>
      </c>
      <c r="N243" s="3">
        <v>3.0</v>
      </c>
      <c r="O243" s="3">
        <v>34.0</v>
      </c>
      <c r="P243" s="3">
        <v>37.0</v>
      </c>
      <c r="Q243" s="8"/>
      <c r="R243" s="8">
        <f t="shared" si="2"/>
        <v>1</v>
      </c>
      <c r="S243" s="8">
        <f t="shared" si="3"/>
        <v>0</v>
      </c>
      <c r="T243" s="8" t="str">
        <f t="shared" si="4"/>
        <v>OK</v>
      </c>
      <c r="U243" s="8">
        <f t="shared" si="5"/>
        <v>0</v>
      </c>
      <c r="V243" s="8"/>
      <c r="W243" s="8"/>
      <c r="X243" s="8"/>
      <c r="Y243" s="8"/>
      <c r="Z243" s="8"/>
    </row>
    <row r="244" ht="15.75" customHeight="1">
      <c r="A244" s="3">
        <v>853.0</v>
      </c>
      <c r="B244" s="4">
        <v>40581.0</v>
      </c>
      <c r="C244" s="3">
        <v>1.0</v>
      </c>
      <c r="D244" s="3">
        <v>0.0</v>
      </c>
      <c r="E244" s="3">
        <v>2.0</v>
      </c>
      <c r="F244" s="3">
        <v>23.0</v>
      </c>
      <c r="G244" s="3" t="b">
        <f t="shared" si="1"/>
        <v>0</v>
      </c>
      <c r="H244" s="3">
        <v>1.0</v>
      </c>
      <c r="I244" s="3">
        <v>2.0</v>
      </c>
      <c r="J244" s="3">
        <v>0.3</v>
      </c>
      <c r="K244" s="3">
        <v>0.3333</v>
      </c>
      <c r="L244" s="3">
        <v>0.81</v>
      </c>
      <c r="M244" s="3">
        <v>0.0</v>
      </c>
      <c r="N244" s="3">
        <v>6.0</v>
      </c>
      <c r="O244" s="3">
        <v>19.0</v>
      </c>
      <c r="P244" s="3">
        <v>25.0</v>
      </c>
      <c r="Q244" s="8"/>
      <c r="R244" s="8">
        <f t="shared" si="2"/>
        <v>1</v>
      </c>
      <c r="S244" s="8">
        <f t="shared" si="3"/>
        <v>0</v>
      </c>
      <c r="T244" s="8" t="str">
        <f t="shared" si="4"/>
        <v>OK</v>
      </c>
      <c r="U244" s="8">
        <f t="shared" si="5"/>
        <v>0</v>
      </c>
      <c r="V244" s="8"/>
      <c r="W244" s="8"/>
      <c r="X244" s="8"/>
      <c r="Y244" s="8"/>
      <c r="Z244" s="8"/>
    </row>
    <row r="245" ht="15.75" customHeight="1">
      <c r="A245" s="3">
        <v>854.0</v>
      </c>
      <c r="B245" s="4">
        <v>40582.0</v>
      </c>
      <c r="C245" s="3">
        <v>1.0</v>
      </c>
      <c r="D245" s="3">
        <v>0.0</v>
      </c>
      <c r="E245" s="3">
        <v>2.0</v>
      </c>
      <c r="F245" s="3">
        <v>0.0</v>
      </c>
      <c r="G245" s="3" t="b">
        <f t="shared" si="1"/>
        <v>0</v>
      </c>
      <c r="H245" s="3">
        <v>2.0</v>
      </c>
      <c r="I245" s="3">
        <v>2.0</v>
      </c>
      <c r="J245" s="3">
        <v>0.28</v>
      </c>
      <c r="K245" s="3">
        <v>0.3182</v>
      </c>
      <c r="L245" s="3">
        <v>0.87</v>
      </c>
      <c r="M245" s="3">
        <v>0.0</v>
      </c>
      <c r="N245" s="3">
        <v>4.0</v>
      </c>
      <c r="O245" s="3">
        <v>6.0</v>
      </c>
      <c r="P245" s="3">
        <v>10.0</v>
      </c>
      <c r="Q245" s="8"/>
      <c r="R245" s="8">
        <f t="shared" si="2"/>
        <v>1</v>
      </c>
      <c r="S245" s="8">
        <f t="shared" si="3"/>
        <v>0</v>
      </c>
      <c r="T245" s="8" t="str">
        <f t="shared" si="4"/>
        <v>OK</v>
      </c>
      <c r="U245" s="8">
        <f t="shared" si="5"/>
        <v>0</v>
      </c>
      <c r="V245" s="8"/>
      <c r="W245" s="8"/>
      <c r="X245" s="8"/>
      <c r="Y245" s="8"/>
      <c r="Z245" s="8"/>
    </row>
    <row r="246" ht="15.75" customHeight="1">
      <c r="A246" s="3">
        <v>855.0</v>
      </c>
      <c r="B246" s="4">
        <v>40582.0</v>
      </c>
      <c r="C246" s="3">
        <v>1.0</v>
      </c>
      <c r="D246" s="3">
        <v>0.0</v>
      </c>
      <c r="E246" s="3">
        <v>2.0</v>
      </c>
      <c r="F246" s="3">
        <v>1.0</v>
      </c>
      <c r="G246" s="3" t="b">
        <f t="shared" si="1"/>
        <v>0</v>
      </c>
      <c r="H246" s="3">
        <v>2.0</v>
      </c>
      <c r="I246" s="3">
        <v>2.0</v>
      </c>
      <c r="J246" s="3">
        <v>0.28</v>
      </c>
      <c r="K246" s="3">
        <v>0.3182</v>
      </c>
      <c r="L246" s="3">
        <v>0.87</v>
      </c>
      <c r="M246" s="3">
        <v>0.0</v>
      </c>
      <c r="N246" s="3">
        <v>0.0</v>
      </c>
      <c r="O246" s="3">
        <v>4.0</v>
      </c>
      <c r="P246" s="3">
        <v>4.0</v>
      </c>
      <c r="Q246" s="8"/>
      <c r="R246" s="8">
        <f t="shared" si="2"/>
        <v>1</v>
      </c>
      <c r="S246" s="8">
        <f t="shared" si="3"/>
        <v>0</v>
      </c>
      <c r="T246" s="8" t="str">
        <f t="shared" si="4"/>
        <v>OK</v>
      </c>
      <c r="U246" s="8">
        <f t="shared" si="5"/>
        <v>0</v>
      </c>
      <c r="V246" s="8"/>
      <c r="W246" s="8"/>
      <c r="X246" s="8"/>
      <c r="Y246" s="8"/>
      <c r="Z246" s="8"/>
    </row>
    <row r="247" ht="15.75" customHeight="1">
      <c r="A247" s="3">
        <v>856.0</v>
      </c>
      <c r="B247" s="4">
        <v>40582.0</v>
      </c>
      <c r="C247" s="3">
        <v>1.0</v>
      </c>
      <c r="D247" s="3">
        <v>0.0</v>
      </c>
      <c r="E247" s="3">
        <v>2.0</v>
      </c>
      <c r="F247" s="3">
        <v>2.0</v>
      </c>
      <c r="G247" s="3" t="b">
        <f t="shared" si="1"/>
        <v>0</v>
      </c>
      <c r="H247" s="3">
        <v>2.0</v>
      </c>
      <c r="I247" s="3">
        <v>2.0</v>
      </c>
      <c r="J247" s="3">
        <v>0.26</v>
      </c>
      <c r="K247" s="3">
        <v>0.2727</v>
      </c>
      <c r="L247" s="3">
        <v>0.93</v>
      </c>
      <c r="M247" s="3">
        <v>0.1045</v>
      </c>
      <c r="N247" s="3">
        <v>1.0</v>
      </c>
      <c r="O247" s="3">
        <v>1.0</v>
      </c>
      <c r="P247" s="3">
        <v>2.0</v>
      </c>
      <c r="Q247" s="8"/>
      <c r="R247" s="8">
        <f t="shared" si="2"/>
        <v>1</v>
      </c>
      <c r="S247" s="8">
        <f t="shared" si="3"/>
        <v>0</v>
      </c>
      <c r="T247" s="8" t="str">
        <f t="shared" si="4"/>
        <v>OK</v>
      </c>
      <c r="U247" s="8">
        <f t="shared" si="5"/>
        <v>0</v>
      </c>
      <c r="V247" s="8"/>
      <c r="W247" s="8"/>
      <c r="X247" s="8"/>
      <c r="Y247" s="8"/>
      <c r="Z247" s="8"/>
    </row>
    <row r="248" ht="15.75" customHeight="1">
      <c r="A248" s="3">
        <v>857.0</v>
      </c>
      <c r="B248" s="4">
        <v>40582.0</v>
      </c>
      <c r="C248" s="3">
        <v>1.0</v>
      </c>
      <c r="D248" s="3">
        <v>0.0</v>
      </c>
      <c r="E248" s="3">
        <v>2.0</v>
      </c>
      <c r="F248" s="3">
        <v>3.0</v>
      </c>
      <c r="G248" s="3" t="b">
        <f t="shared" si="1"/>
        <v>0</v>
      </c>
      <c r="H248" s="3">
        <v>2.0</v>
      </c>
      <c r="I248" s="3">
        <v>3.0</v>
      </c>
      <c r="J248" s="3">
        <v>0.28</v>
      </c>
      <c r="K248" s="3">
        <v>0.2727</v>
      </c>
      <c r="L248" s="3">
        <v>0.93</v>
      </c>
      <c r="M248" s="3">
        <v>0.1642</v>
      </c>
      <c r="N248" s="3">
        <v>0.0</v>
      </c>
      <c r="O248" s="3">
        <v>1.0</v>
      </c>
      <c r="P248" s="3">
        <v>1.0</v>
      </c>
      <c r="Q248" s="8"/>
      <c r="R248" s="8">
        <f t="shared" si="2"/>
        <v>1</v>
      </c>
      <c r="S248" s="8">
        <f t="shared" si="3"/>
        <v>0</v>
      </c>
      <c r="T248" s="8" t="str">
        <f t="shared" si="4"/>
        <v>OK</v>
      </c>
      <c r="U248" s="8">
        <f t="shared" si="5"/>
        <v>0</v>
      </c>
      <c r="V248" s="8"/>
      <c r="W248" s="8"/>
      <c r="X248" s="8"/>
      <c r="Y248" s="8"/>
      <c r="Z248" s="8"/>
    </row>
    <row r="249" ht="15.75" customHeight="1">
      <c r="A249" s="3">
        <v>858.0</v>
      </c>
      <c r="B249" s="4">
        <v>40582.0</v>
      </c>
      <c r="C249" s="3">
        <v>1.0</v>
      </c>
      <c r="D249" s="3">
        <v>0.0</v>
      </c>
      <c r="E249" s="3">
        <v>2.0</v>
      </c>
      <c r="F249" s="3">
        <v>4.0</v>
      </c>
      <c r="G249" s="3" t="b">
        <f t="shared" si="1"/>
        <v>0</v>
      </c>
      <c r="H249" s="3">
        <v>2.0</v>
      </c>
      <c r="I249" s="3">
        <v>1.0</v>
      </c>
      <c r="J249" s="3">
        <v>0.26</v>
      </c>
      <c r="K249" s="3">
        <v>0.2576</v>
      </c>
      <c r="L249" s="3">
        <v>0.93</v>
      </c>
      <c r="M249" s="3">
        <v>0.1642</v>
      </c>
      <c r="N249" s="3">
        <v>0.0</v>
      </c>
      <c r="O249" s="3">
        <v>3.0</v>
      </c>
      <c r="P249" s="3">
        <v>3.0</v>
      </c>
      <c r="Q249" s="8"/>
      <c r="R249" s="8">
        <f t="shared" si="2"/>
        <v>1</v>
      </c>
      <c r="S249" s="8">
        <f t="shared" si="3"/>
        <v>0</v>
      </c>
      <c r="T249" s="8" t="str">
        <f t="shared" si="4"/>
        <v>OK</v>
      </c>
      <c r="U249" s="8">
        <f t="shared" si="5"/>
        <v>0</v>
      </c>
      <c r="V249" s="8"/>
      <c r="W249" s="8"/>
      <c r="X249" s="8"/>
      <c r="Y249" s="8"/>
      <c r="Z249" s="8"/>
    </row>
    <row r="250" ht="15.75" customHeight="1">
      <c r="A250" s="3">
        <v>859.0</v>
      </c>
      <c r="B250" s="4">
        <v>40582.0</v>
      </c>
      <c r="C250" s="3">
        <v>1.0</v>
      </c>
      <c r="D250" s="3">
        <v>0.0</v>
      </c>
      <c r="E250" s="3">
        <v>2.0</v>
      </c>
      <c r="F250" s="3">
        <v>5.0</v>
      </c>
      <c r="G250" s="3" t="b">
        <f t="shared" si="1"/>
        <v>0</v>
      </c>
      <c r="H250" s="3">
        <v>2.0</v>
      </c>
      <c r="I250" s="3">
        <v>1.0</v>
      </c>
      <c r="J250" s="3">
        <v>0.26</v>
      </c>
      <c r="K250" s="3">
        <v>0.2273</v>
      </c>
      <c r="L250" s="3">
        <v>0.81</v>
      </c>
      <c r="M250" s="3">
        <v>0.3284</v>
      </c>
      <c r="N250" s="3">
        <v>0.0</v>
      </c>
      <c r="O250" s="3">
        <v>2.0</v>
      </c>
      <c r="P250" s="3">
        <v>2.0</v>
      </c>
      <c r="Q250" s="8"/>
      <c r="R250" s="8">
        <f t="shared" si="2"/>
        <v>1</v>
      </c>
      <c r="S250" s="8">
        <f t="shared" si="3"/>
        <v>0</v>
      </c>
      <c r="T250" s="8" t="str">
        <f t="shared" si="4"/>
        <v>OK</v>
      </c>
      <c r="U250" s="8">
        <f t="shared" si="5"/>
        <v>0</v>
      </c>
      <c r="V250" s="8"/>
      <c r="W250" s="8"/>
      <c r="X250" s="8"/>
      <c r="Y250" s="8"/>
      <c r="Z250" s="8"/>
    </row>
    <row r="251" ht="15.75" customHeight="1">
      <c r="A251" s="3">
        <v>860.0</v>
      </c>
      <c r="B251" s="4">
        <v>40582.0</v>
      </c>
      <c r="C251" s="3">
        <v>1.0</v>
      </c>
      <c r="D251" s="3">
        <v>0.0</v>
      </c>
      <c r="E251" s="3">
        <v>2.0</v>
      </c>
      <c r="F251" s="3">
        <v>6.0</v>
      </c>
      <c r="G251" s="3" t="b">
        <f t="shared" si="1"/>
        <v>0</v>
      </c>
      <c r="H251" s="3">
        <v>2.0</v>
      </c>
      <c r="I251" s="3">
        <v>1.0</v>
      </c>
      <c r="J251" s="3">
        <v>0.26</v>
      </c>
      <c r="K251" s="3">
        <v>0.2273</v>
      </c>
      <c r="L251" s="3">
        <v>0.7</v>
      </c>
      <c r="M251" s="3">
        <v>0.3284</v>
      </c>
      <c r="N251" s="3">
        <v>0.0</v>
      </c>
      <c r="O251" s="3">
        <v>39.0</v>
      </c>
      <c r="P251" s="3">
        <v>39.0</v>
      </c>
      <c r="Q251" s="8"/>
      <c r="R251" s="8">
        <f t="shared" si="2"/>
        <v>1</v>
      </c>
      <c r="S251" s="8">
        <f t="shared" si="3"/>
        <v>0</v>
      </c>
      <c r="T251" s="8" t="str">
        <f t="shared" si="4"/>
        <v>OK</v>
      </c>
      <c r="U251" s="8">
        <f t="shared" si="5"/>
        <v>0</v>
      </c>
      <c r="V251" s="8"/>
      <c r="W251" s="8"/>
      <c r="X251" s="8"/>
      <c r="Y251" s="8"/>
      <c r="Z251" s="8"/>
    </row>
    <row r="252" ht="15.75" customHeight="1">
      <c r="A252" s="3">
        <v>861.0</v>
      </c>
      <c r="B252" s="4">
        <v>40582.0</v>
      </c>
      <c r="C252" s="3">
        <v>1.0</v>
      </c>
      <c r="D252" s="3">
        <v>0.0</v>
      </c>
      <c r="E252" s="3">
        <v>2.0</v>
      </c>
      <c r="F252" s="3">
        <v>7.0</v>
      </c>
      <c r="G252" s="3" t="b">
        <f t="shared" si="1"/>
        <v>0</v>
      </c>
      <c r="H252" s="3">
        <v>2.0</v>
      </c>
      <c r="I252" s="3">
        <v>1.0</v>
      </c>
      <c r="J252" s="3">
        <v>0.24</v>
      </c>
      <c r="K252" s="3">
        <v>0.197</v>
      </c>
      <c r="L252" s="3">
        <v>0.65</v>
      </c>
      <c r="M252" s="3">
        <v>0.4179</v>
      </c>
      <c r="N252" s="3">
        <v>3.0</v>
      </c>
      <c r="O252" s="3">
        <v>97.0</v>
      </c>
      <c r="P252" s="3">
        <v>100.0</v>
      </c>
      <c r="Q252" s="8"/>
      <c r="R252" s="8">
        <f t="shared" si="2"/>
        <v>1</v>
      </c>
      <c r="S252" s="8">
        <f t="shared" si="3"/>
        <v>0</v>
      </c>
      <c r="T252" s="8" t="str">
        <f t="shared" si="4"/>
        <v>OK</v>
      </c>
      <c r="U252" s="8">
        <f t="shared" si="5"/>
        <v>0</v>
      </c>
      <c r="V252" s="8"/>
      <c r="W252" s="8"/>
      <c r="X252" s="8"/>
      <c r="Y252" s="8"/>
      <c r="Z252" s="8"/>
    </row>
    <row r="253" ht="15.75" customHeight="1">
      <c r="A253" s="3">
        <v>862.0</v>
      </c>
      <c r="B253" s="4">
        <v>40582.0</v>
      </c>
      <c r="C253" s="3">
        <v>1.0</v>
      </c>
      <c r="D253" s="3">
        <v>0.0</v>
      </c>
      <c r="E253" s="3">
        <v>2.0</v>
      </c>
      <c r="F253" s="3">
        <v>8.0</v>
      </c>
      <c r="G253" s="3" t="b">
        <f t="shared" si="1"/>
        <v>0</v>
      </c>
      <c r="H253" s="3">
        <v>2.0</v>
      </c>
      <c r="I253" s="3">
        <v>1.0</v>
      </c>
      <c r="J253" s="3">
        <v>0.24</v>
      </c>
      <c r="K253" s="3">
        <v>0.197</v>
      </c>
      <c r="L253" s="3">
        <v>0.56</v>
      </c>
      <c r="M253" s="3">
        <v>0.4925</v>
      </c>
      <c r="N253" s="3">
        <v>7.0</v>
      </c>
      <c r="O253" s="3">
        <v>236.0</v>
      </c>
      <c r="P253" s="3">
        <v>243.0</v>
      </c>
      <c r="Q253" s="8"/>
      <c r="R253" s="8">
        <f t="shared" si="2"/>
        <v>1</v>
      </c>
      <c r="S253" s="8">
        <f t="shared" si="3"/>
        <v>0</v>
      </c>
      <c r="T253" s="8" t="str">
        <f t="shared" si="4"/>
        <v>OK</v>
      </c>
      <c r="U253" s="8">
        <f t="shared" si="5"/>
        <v>0</v>
      </c>
      <c r="V253" s="8"/>
      <c r="W253" s="8"/>
      <c r="X253" s="8"/>
      <c r="Y253" s="8"/>
      <c r="Z253" s="8"/>
    </row>
    <row r="254" ht="15.75" customHeight="1">
      <c r="A254" s="3">
        <v>863.0</v>
      </c>
      <c r="B254" s="4">
        <v>40582.0</v>
      </c>
      <c r="C254" s="3">
        <v>1.0</v>
      </c>
      <c r="D254" s="3">
        <v>0.0</v>
      </c>
      <c r="E254" s="3">
        <v>2.0</v>
      </c>
      <c r="F254" s="3">
        <v>9.0</v>
      </c>
      <c r="G254" s="3" t="b">
        <f t="shared" si="1"/>
        <v>0</v>
      </c>
      <c r="H254" s="3">
        <v>2.0</v>
      </c>
      <c r="I254" s="3">
        <v>1.0</v>
      </c>
      <c r="J254" s="3">
        <v>0.24</v>
      </c>
      <c r="K254" s="3">
        <v>0.197</v>
      </c>
      <c r="L254" s="3">
        <v>0.52</v>
      </c>
      <c r="M254" s="3">
        <v>0.4925</v>
      </c>
      <c r="N254" s="3">
        <v>7.0</v>
      </c>
      <c r="O254" s="3">
        <v>128.0</v>
      </c>
      <c r="P254" s="3">
        <v>135.0</v>
      </c>
      <c r="Q254" s="8"/>
      <c r="R254" s="8">
        <f t="shared" si="2"/>
        <v>1</v>
      </c>
      <c r="S254" s="8">
        <f t="shared" si="3"/>
        <v>0</v>
      </c>
      <c r="T254" s="8" t="str">
        <f t="shared" si="4"/>
        <v>OK</v>
      </c>
      <c r="U254" s="8">
        <f t="shared" si="5"/>
        <v>0</v>
      </c>
      <c r="V254" s="8"/>
      <c r="W254" s="8"/>
      <c r="X254" s="8"/>
      <c r="Y254" s="8"/>
      <c r="Z254" s="8"/>
    </row>
    <row r="255" ht="15.75" customHeight="1">
      <c r="A255" s="3">
        <v>864.0</v>
      </c>
      <c r="B255" s="4">
        <v>40582.0</v>
      </c>
      <c r="C255" s="3">
        <v>1.0</v>
      </c>
      <c r="D255" s="3">
        <v>0.0</v>
      </c>
      <c r="E255" s="3">
        <v>2.0</v>
      </c>
      <c r="F255" s="3">
        <v>10.0</v>
      </c>
      <c r="G255" s="3" t="b">
        <f t="shared" si="1"/>
        <v>0</v>
      </c>
      <c r="H255" s="3">
        <v>2.0</v>
      </c>
      <c r="I255" s="3">
        <v>1.0</v>
      </c>
      <c r="J255" s="3">
        <v>0.22</v>
      </c>
      <c r="K255" s="3">
        <v>0.1818</v>
      </c>
      <c r="L255" s="3">
        <v>0.47</v>
      </c>
      <c r="M255" s="3">
        <v>0.5522</v>
      </c>
      <c r="N255" s="3">
        <v>4.0</v>
      </c>
      <c r="O255" s="3">
        <v>44.0</v>
      </c>
      <c r="P255" s="3">
        <v>48.0</v>
      </c>
      <c r="Q255" s="8"/>
      <c r="R255" s="8">
        <f t="shared" si="2"/>
        <v>1</v>
      </c>
      <c r="S255" s="8">
        <f t="shared" si="3"/>
        <v>0</v>
      </c>
      <c r="T255" s="8" t="str">
        <f t="shared" si="4"/>
        <v>OK</v>
      </c>
      <c r="U255" s="8">
        <f t="shared" si="5"/>
        <v>0</v>
      </c>
      <c r="V255" s="8"/>
      <c r="W255" s="8"/>
      <c r="X255" s="8"/>
      <c r="Y255" s="8"/>
      <c r="Z255" s="8"/>
    </row>
    <row r="256" ht="15.75" customHeight="1">
      <c r="A256" s="3">
        <v>865.0</v>
      </c>
      <c r="B256" s="4">
        <v>40582.0</v>
      </c>
      <c r="C256" s="3">
        <v>1.0</v>
      </c>
      <c r="D256" s="3">
        <v>0.0</v>
      </c>
      <c r="E256" s="3">
        <v>2.0</v>
      </c>
      <c r="F256" s="3">
        <v>11.0</v>
      </c>
      <c r="G256" s="3" t="b">
        <f t="shared" si="1"/>
        <v>0</v>
      </c>
      <c r="H256" s="3">
        <v>2.0</v>
      </c>
      <c r="I256" s="3">
        <v>1.0</v>
      </c>
      <c r="J256" s="3">
        <v>0.22</v>
      </c>
      <c r="K256" s="3">
        <v>0.1818</v>
      </c>
      <c r="L256" s="3">
        <v>0.47</v>
      </c>
      <c r="M256" s="3">
        <v>0.4627</v>
      </c>
      <c r="N256" s="3">
        <v>1.0</v>
      </c>
      <c r="O256" s="3">
        <v>49.0</v>
      </c>
      <c r="P256" s="3">
        <v>50.0</v>
      </c>
      <c r="Q256" s="8"/>
      <c r="R256" s="8">
        <f t="shared" si="2"/>
        <v>1</v>
      </c>
      <c r="S256" s="8">
        <f t="shared" si="3"/>
        <v>0</v>
      </c>
      <c r="T256" s="8" t="str">
        <f t="shared" si="4"/>
        <v>OK</v>
      </c>
      <c r="U256" s="8">
        <f t="shared" si="5"/>
        <v>0</v>
      </c>
      <c r="V256" s="8"/>
      <c r="W256" s="8"/>
      <c r="X256" s="8"/>
      <c r="Y256" s="8"/>
      <c r="Z256" s="8"/>
    </row>
    <row r="257" ht="15.75" customHeight="1">
      <c r="A257" s="3">
        <v>866.0</v>
      </c>
      <c r="B257" s="4">
        <v>40582.0</v>
      </c>
      <c r="C257" s="3">
        <v>1.0</v>
      </c>
      <c r="D257" s="3">
        <v>0.0</v>
      </c>
      <c r="E257" s="3">
        <v>2.0</v>
      </c>
      <c r="F257" s="3">
        <v>12.0</v>
      </c>
      <c r="G257" s="3" t="b">
        <f t="shared" si="1"/>
        <v>0</v>
      </c>
      <c r="H257" s="3">
        <v>2.0</v>
      </c>
      <c r="I257" s="3">
        <v>1.0</v>
      </c>
      <c r="J257" s="3">
        <v>0.24</v>
      </c>
      <c r="K257" s="3">
        <v>0.197</v>
      </c>
      <c r="L257" s="3">
        <v>0.38</v>
      </c>
      <c r="M257" s="3">
        <v>0.4925</v>
      </c>
      <c r="N257" s="3">
        <v>2.0</v>
      </c>
      <c r="O257" s="3">
        <v>63.0</v>
      </c>
      <c r="P257" s="3">
        <v>65.0</v>
      </c>
      <c r="Q257" s="8"/>
      <c r="R257" s="8">
        <f t="shared" si="2"/>
        <v>1</v>
      </c>
      <c r="S257" s="8">
        <f t="shared" si="3"/>
        <v>0</v>
      </c>
      <c r="T257" s="8" t="str">
        <f t="shared" si="4"/>
        <v>OK</v>
      </c>
      <c r="U257" s="8">
        <f t="shared" si="5"/>
        <v>0</v>
      </c>
      <c r="V257" s="8"/>
      <c r="W257" s="8"/>
      <c r="X257" s="8"/>
      <c r="Y257" s="8"/>
      <c r="Z257" s="8"/>
    </row>
    <row r="258" ht="15.75" customHeight="1">
      <c r="A258" s="3">
        <v>867.0</v>
      </c>
      <c r="B258" s="4">
        <v>40582.0</v>
      </c>
      <c r="C258" s="3">
        <v>1.0</v>
      </c>
      <c r="D258" s="3">
        <v>0.0</v>
      </c>
      <c r="E258" s="3">
        <v>2.0</v>
      </c>
      <c r="F258" s="3">
        <v>13.0</v>
      </c>
      <c r="G258" s="3" t="b">
        <f t="shared" si="1"/>
        <v>0</v>
      </c>
      <c r="H258" s="3">
        <v>2.0</v>
      </c>
      <c r="I258" s="3">
        <v>2.0</v>
      </c>
      <c r="J258" s="3">
        <v>0.24</v>
      </c>
      <c r="K258" s="3">
        <v>0.197</v>
      </c>
      <c r="L258" s="3">
        <v>0.32</v>
      </c>
      <c r="M258" s="3">
        <v>0.4478</v>
      </c>
      <c r="N258" s="3">
        <v>2.0</v>
      </c>
      <c r="O258" s="3">
        <v>48.0</v>
      </c>
      <c r="P258" s="3">
        <v>50.0</v>
      </c>
      <c r="Q258" s="8"/>
      <c r="R258" s="8">
        <f t="shared" si="2"/>
        <v>1</v>
      </c>
      <c r="S258" s="8">
        <f t="shared" si="3"/>
        <v>0</v>
      </c>
      <c r="T258" s="8" t="str">
        <f t="shared" si="4"/>
        <v>OK</v>
      </c>
      <c r="U258" s="8">
        <f t="shared" si="5"/>
        <v>0</v>
      </c>
      <c r="V258" s="8"/>
      <c r="W258" s="8"/>
      <c r="X258" s="8"/>
      <c r="Y258" s="8"/>
      <c r="Z258" s="8"/>
    </row>
    <row r="259" ht="15.75" customHeight="1">
      <c r="A259" s="3">
        <v>868.0</v>
      </c>
      <c r="B259" s="4">
        <v>40582.0</v>
      </c>
      <c r="C259" s="3">
        <v>1.0</v>
      </c>
      <c r="D259" s="3">
        <v>0.0</v>
      </c>
      <c r="E259" s="3">
        <v>2.0</v>
      </c>
      <c r="F259" s="3">
        <v>14.0</v>
      </c>
      <c r="G259" s="3" t="b">
        <f t="shared" si="1"/>
        <v>0</v>
      </c>
      <c r="H259" s="3">
        <v>2.0</v>
      </c>
      <c r="I259" s="3">
        <v>1.0</v>
      </c>
      <c r="J259" s="3">
        <v>0.22</v>
      </c>
      <c r="K259" s="3">
        <v>0.197</v>
      </c>
      <c r="L259" s="3">
        <v>0.37</v>
      </c>
      <c r="M259" s="3">
        <v>0.4179</v>
      </c>
      <c r="N259" s="3">
        <v>3.0</v>
      </c>
      <c r="O259" s="3">
        <v>61.0</v>
      </c>
      <c r="P259" s="3">
        <v>64.0</v>
      </c>
      <c r="Q259" s="8"/>
      <c r="R259" s="8">
        <f t="shared" si="2"/>
        <v>1</v>
      </c>
      <c r="S259" s="8">
        <f t="shared" si="3"/>
        <v>0</v>
      </c>
      <c r="T259" s="8" t="str">
        <f t="shared" si="4"/>
        <v>OK</v>
      </c>
      <c r="U259" s="8">
        <f t="shared" si="5"/>
        <v>0</v>
      </c>
      <c r="V259" s="8"/>
      <c r="W259" s="8"/>
      <c r="X259" s="8"/>
      <c r="Y259" s="8"/>
      <c r="Z259" s="8"/>
    </row>
    <row r="260" ht="15.75" customHeight="1">
      <c r="A260" s="3">
        <v>869.0</v>
      </c>
      <c r="B260" s="4">
        <v>40582.0</v>
      </c>
      <c r="C260" s="3">
        <v>1.0</v>
      </c>
      <c r="D260" s="3">
        <v>0.0</v>
      </c>
      <c r="E260" s="3">
        <v>2.0</v>
      </c>
      <c r="F260" s="3">
        <v>15.0</v>
      </c>
      <c r="G260" s="3" t="b">
        <f t="shared" si="1"/>
        <v>0</v>
      </c>
      <c r="H260" s="3">
        <v>2.0</v>
      </c>
      <c r="I260" s="3">
        <v>1.0</v>
      </c>
      <c r="J260" s="3">
        <v>0.22</v>
      </c>
      <c r="K260" s="3">
        <v>0.197</v>
      </c>
      <c r="L260" s="3">
        <v>0.35</v>
      </c>
      <c r="M260" s="3">
        <v>0.3881</v>
      </c>
      <c r="N260" s="3">
        <v>6.0</v>
      </c>
      <c r="O260" s="3">
        <v>45.0</v>
      </c>
      <c r="P260" s="3">
        <v>51.0</v>
      </c>
      <c r="Q260" s="8"/>
      <c r="R260" s="8">
        <f t="shared" si="2"/>
        <v>1</v>
      </c>
      <c r="S260" s="8">
        <f t="shared" si="3"/>
        <v>0</v>
      </c>
      <c r="T260" s="8" t="str">
        <f t="shared" si="4"/>
        <v>OK</v>
      </c>
      <c r="U260" s="8">
        <f t="shared" si="5"/>
        <v>0</v>
      </c>
      <c r="V260" s="8"/>
      <c r="W260" s="8"/>
      <c r="X260" s="8"/>
      <c r="Y260" s="8"/>
      <c r="Z260" s="8"/>
    </row>
    <row r="261" ht="15.75" customHeight="1">
      <c r="A261" s="3">
        <v>870.0</v>
      </c>
      <c r="B261" s="4">
        <v>40582.0</v>
      </c>
      <c r="C261" s="3">
        <v>1.0</v>
      </c>
      <c r="D261" s="3">
        <v>0.0</v>
      </c>
      <c r="E261" s="3">
        <v>2.0</v>
      </c>
      <c r="F261" s="3">
        <v>16.0</v>
      </c>
      <c r="G261" s="3" t="b">
        <f t="shared" si="1"/>
        <v>0</v>
      </c>
      <c r="H261" s="3">
        <v>2.0</v>
      </c>
      <c r="I261" s="3">
        <v>1.0</v>
      </c>
      <c r="J261" s="3">
        <v>0.22</v>
      </c>
      <c r="K261" s="3">
        <v>0.1818</v>
      </c>
      <c r="L261" s="3">
        <v>0.35</v>
      </c>
      <c r="M261" s="3">
        <v>0.5224</v>
      </c>
      <c r="N261" s="3">
        <v>4.0</v>
      </c>
      <c r="O261" s="3">
        <v>79.0</v>
      </c>
      <c r="P261" s="3">
        <v>83.0</v>
      </c>
      <c r="Q261" s="8"/>
      <c r="R261" s="8">
        <f t="shared" si="2"/>
        <v>1</v>
      </c>
      <c r="S261" s="8">
        <f t="shared" si="3"/>
        <v>0</v>
      </c>
      <c r="T261" s="8" t="str">
        <f t="shared" si="4"/>
        <v>OK</v>
      </c>
      <c r="U261" s="8">
        <f t="shared" si="5"/>
        <v>0</v>
      </c>
      <c r="V261" s="8"/>
      <c r="W261" s="8"/>
      <c r="X261" s="8"/>
      <c r="Y261" s="8"/>
      <c r="Z261" s="8"/>
    </row>
    <row r="262" ht="15.75" customHeight="1">
      <c r="A262" s="3">
        <v>871.0</v>
      </c>
      <c r="B262" s="4">
        <v>40582.0</v>
      </c>
      <c r="C262" s="3">
        <v>1.0</v>
      </c>
      <c r="D262" s="3">
        <v>0.0</v>
      </c>
      <c r="E262" s="3">
        <v>2.0</v>
      </c>
      <c r="F262" s="3">
        <v>17.0</v>
      </c>
      <c r="G262" s="3" t="b">
        <f t="shared" si="1"/>
        <v>0</v>
      </c>
      <c r="H262" s="3">
        <v>2.0</v>
      </c>
      <c r="I262" s="3">
        <v>1.0</v>
      </c>
      <c r="J262" s="3">
        <v>0.22</v>
      </c>
      <c r="K262" s="3">
        <v>0.1818</v>
      </c>
      <c r="L262" s="3">
        <v>0.32</v>
      </c>
      <c r="M262" s="3">
        <v>0.5821</v>
      </c>
      <c r="N262" s="3">
        <v>4.0</v>
      </c>
      <c r="O262" s="3">
        <v>172.0</v>
      </c>
      <c r="P262" s="3">
        <v>176.0</v>
      </c>
      <c r="Q262" s="8"/>
      <c r="R262" s="8">
        <f t="shared" si="2"/>
        <v>1</v>
      </c>
      <c r="S262" s="8">
        <f t="shared" si="3"/>
        <v>0</v>
      </c>
      <c r="T262" s="8" t="str">
        <f t="shared" si="4"/>
        <v>OK</v>
      </c>
      <c r="U262" s="8">
        <f t="shared" si="5"/>
        <v>0</v>
      </c>
      <c r="V262" s="8"/>
      <c r="W262" s="8"/>
      <c r="X262" s="8"/>
      <c r="Y262" s="8"/>
      <c r="Z262" s="8"/>
    </row>
    <row r="263" ht="15.75" customHeight="1">
      <c r="A263" s="3">
        <v>872.0</v>
      </c>
      <c r="B263" s="4">
        <v>40582.0</v>
      </c>
      <c r="C263" s="3">
        <v>1.0</v>
      </c>
      <c r="D263" s="3">
        <v>0.0</v>
      </c>
      <c r="E263" s="3">
        <v>2.0</v>
      </c>
      <c r="F263" s="3">
        <v>18.0</v>
      </c>
      <c r="G263" s="3" t="b">
        <f t="shared" si="1"/>
        <v>0</v>
      </c>
      <c r="H263" s="3">
        <v>2.0</v>
      </c>
      <c r="I263" s="3">
        <v>1.0</v>
      </c>
      <c r="J263" s="3">
        <v>0.2</v>
      </c>
      <c r="K263" s="3">
        <v>0.1818</v>
      </c>
      <c r="L263" s="3">
        <v>0.32</v>
      </c>
      <c r="M263" s="3">
        <v>0.3881</v>
      </c>
      <c r="N263" s="3">
        <v>1.0</v>
      </c>
      <c r="O263" s="3">
        <v>151.0</v>
      </c>
      <c r="P263" s="3">
        <v>152.0</v>
      </c>
      <c r="Q263" s="8"/>
      <c r="R263" s="8">
        <f t="shared" si="2"/>
        <v>1</v>
      </c>
      <c r="S263" s="8">
        <f t="shared" si="3"/>
        <v>0</v>
      </c>
      <c r="T263" s="8" t="str">
        <f t="shared" si="4"/>
        <v>OK</v>
      </c>
      <c r="U263" s="8">
        <f t="shared" si="5"/>
        <v>0</v>
      </c>
      <c r="V263" s="8"/>
      <c r="W263" s="8"/>
      <c r="X263" s="8"/>
      <c r="Y263" s="8"/>
      <c r="Z263" s="8"/>
    </row>
    <row r="264" ht="15.75" customHeight="1">
      <c r="A264" s="3">
        <v>873.0</v>
      </c>
      <c r="B264" s="4">
        <v>40582.0</v>
      </c>
      <c r="C264" s="3">
        <v>1.0</v>
      </c>
      <c r="D264" s="3">
        <v>0.0</v>
      </c>
      <c r="E264" s="3">
        <v>2.0</v>
      </c>
      <c r="F264" s="3">
        <v>19.0</v>
      </c>
      <c r="G264" s="3" t="b">
        <f t="shared" si="1"/>
        <v>0</v>
      </c>
      <c r="H264" s="3">
        <v>2.0</v>
      </c>
      <c r="I264" s="3">
        <v>1.0</v>
      </c>
      <c r="J264" s="3">
        <v>0.16</v>
      </c>
      <c r="K264" s="3">
        <v>0.1212</v>
      </c>
      <c r="L264" s="3">
        <v>0.4</v>
      </c>
      <c r="M264" s="3">
        <v>0.4627</v>
      </c>
      <c r="N264" s="3">
        <v>1.0</v>
      </c>
      <c r="O264" s="3">
        <v>100.0</v>
      </c>
      <c r="P264" s="3">
        <v>101.0</v>
      </c>
      <c r="Q264" s="8"/>
      <c r="R264" s="8">
        <f t="shared" si="2"/>
        <v>1</v>
      </c>
      <c r="S264" s="8">
        <f t="shared" si="3"/>
        <v>0</v>
      </c>
      <c r="T264" s="8" t="str">
        <f t="shared" si="4"/>
        <v>OK</v>
      </c>
      <c r="U264" s="8">
        <f t="shared" si="5"/>
        <v>0</v>
      </c>
      <c r="V264" s="8"/>
      <c r="W264" s="8"/>
      <c r="X264" s="8"/>
      <c r="Y264" s="8"/>
      <c r="Z264" s="8"/>
    </row>
    <row r="265" ht="15.75" customHeight="1">
      <c r="A265" s="3">
        <v>874.0</v>
      </c>
      <c r="B265" s="4">
        <v>40582.0</v>
      </c>
      <c r="C265" s="3">
        <v>1.0</v>
      </c>
      <c r="D265" s="3">
        <v>0.0</v>
      </c>
      <c r="E265" s="3">
        <v>2.0</v>
      </c>
      <c r="F265" s="3">
        <v>20.0</v>
      </c>
      <c r="G265" s="3" t="b">
        <f t="shared" si="1"/>
        <v>0</v>
      </c>
      <c r="H265" s="3">
        <v>2.0</v>
      </c>
      <c r="I265" s="3">
        <v>1.0</v>
      </c>
      <c r="J265" s="3">
        <v>0.16</v>
      </c>
      <c r="K265" s="3">
        <v>0.1364</v>
      </c>
      <c r="L265" s="3">
        <v>0.4</v>
      </c>
      <c r="M265" s="3">
        <v>0.3284</v>
      </c>
      <c r="N265" s="3">
        <v>3.0</v>
      </c>
      <c r="O265" s="3">
        <v>53.0</v>
      </c>
      <c r="P265" s="3">
        <v>56.0</v>
      </c>
      <c r="Q265" s="8"/>
      <c r="R265" s="8">
        <f t="shared" si="2"/>
        <v>1</v>
      </c>
      <c r="S265" s="8">
        <f t="shared" si="3"/>
        <v>0</v>
      </c>
      <c r="T265" s="8" t="str">
        <f t="shared" si="4"/>
        <v>OK</v>
      </c>
      <c r="U265" s="8">
        <f t="shared" si="5"/>
        <v>0</v>
      </c>
      <c r="V265" s="8"/>
      <c r="W265" s="8"/>
      <c r="X265" s="8"/>
      <c r="Y265" s="8"/>
      <c r="Z265" s="8"/>
    </row>
    <row r="266" ht="15.75" customHeight="1">
      <c r="A266" s="3">
        <v>875.0</v>
      </c>
      <c r="B266" s="4">
        <v>40582.0</v>
      </c>
      <c r="C266" s="3">
        <v>1.0</v>
      </c>
      <c r="D266" s="3">
        <v>0.0</v>
      </c>
      <c r="E266" s="3">
        <v>2.0</v>
      </c>
      <c r="F266" s="3">
        <v>21.0</v>
      </c>
      <c r="G266" s="3" t="b">
        <f t="shared" si="1"/>
        <v>0</v>
      </c>
      <c r="H266" s="3">
        <v>2.0</v>
      </c>
      <c r="I266" s="3">
        <v>1.0</v>
      </c>
      <c r="J266" s="3">
        <v>0.14</v>
      </c>
      <c r="K266" s="3">
        <v>0.1061</v>
      </c>
      <c r="L266" s="3">
        <v>0.33</v>
      </c>
      <c r="M266" s="3">
        <v>0.4627</v>
      </c>
      <c r="N266" s="3">
        <v>8.0</v>
      </c>
      <c r="O266" s="3">
        <v>46.0</v>
      </c>
      <c r="P266" s="3">
        <v>54.0</v>
      </c>
      <c r="Q266" s="8"/>
      <c r="R266" s="8">
        <f t="shared" si="2"/>
        <v>1</v>
      </c>
      <c r="S266" s="8">
        <f t="shared" si="3"/>
        <v>0</v>
      </c>
      <c r="T266" s="8" t="str">
        <f t="shared" si="4"/>
        <v>OK</v>
      </c>
      <c r="U266" s="8">
        <f t="shared" si="5"/>
        <v>0</v>
      </c>
      <c r="V266" s="8"/>
      <c r="W266" s="8"/>
      <c r="X266" s="8"/>
      <c r="Y266" s="8"/>
      <c r="Z266" s="8"/>
    </row>
    <row r="267" ht="15.75" customHeight="1">
      <c r="A267" s="3">
        <v>876.0</v>
      </c>
      <c r="B267" s="4">
        <v>40582.0</v>
      </c>
      <c r="C267" s="3">
        <v>1.0</v>
      </c>
      <c r="D267" s="3">
        <v>0.0</v>
      </c>
      <c r="E267" s="3">
        <v>2.0</v>
      </c>
      <c r="F267" s="3">
        <v>22.0</v>
      </c>
      <c r="G267" s="3" t="b">
        <f t="shared" si="1"/>
        <v>0</v>
      </c>
      <c r="H267" s="3">
        <v>2.0</v>
      </c>
      <c r="I267" s="3">
        <v>1.0</v>
      </c>
      <c r="J267" s="3">
        <v>0.12</v>
      </c>
      <c r="K267" s="3">
        <v>0.1061</v>
      </c>
      <c r="L267" s="3">
        <v>0.33</v>
      </c>
      <c r="M267" s="3">
        <v>0.3582</v>
      </c>
      <c r="N267" s="3">
        <v>0.0</v>
      </c>
      <c r="O267" s="3">
        <v>29.0</v>
      </c>
      <c r="P267" s="3">
        <v>29.0</v>
      </c>
      <c r="Q267" s="8"/>
      <c r="R267" s="8">
        <f t="shared" si="2"/>
        <v>1</v>
      </c>
      <c r="S267" s="8">
        <f t="shared" si="3"/>
        <v>0</v>
      </c>
      <c r="T267" s="8" t="str">
        <f t="shared" si="4"/>
        <v>OK</v>
      </c>
      <c r="U267" s="8">
        <f t="shared" si="5"/>
        <v>0</v>
      </c>
      <c r="V267" s="8"/>
      <c r="W267" s="8"/>
      <c r="X267" s="8"/>
      <c r="Y267" s="8"/>
      <c r="Z267" s="8"/>
    </row>
    <row r="268" ht="15.75" customHeight="1">
      <c r="A268" s="3">
        <v>877.0</v>
      </c>
      <c r="B268" s="4">
        <v>40582.0</v>
      </c>
      <c r="C268" s="3">
        <v>1.0</v>
      </c>
      <c r="D268" s="3">
        <v>0.0</v>
      </c>
      <c r="E268" s="3">
        <v>2.0</v>
      </c>
      <c r="F268" s="3">
        <v>23.0</v>
      </c>
      <c r="G268" s="3" t="b">
        <f t="shared" si="1"/>
        <v>0</v>
      </c>
      <c r="H268" s="3">
        <v>2.0</v>
      </c>
      <c r="I268" s="3">
        <v>1.0</v>
      </c>
      <c r="J268" s="3">
        <v>0.12</v>
      </c>
      <c r="K268" s="3">
        <v>0.1061</v>
      </c>
      <c r="L268" s="3">
        <v>0.33</v>
      </c>
      <c r="M268" s="3">
        <v>0.3284</v>
      </c>
      <c r="N268" s="3">
        <v>3.0</v>
      </c>
      <c r="O268" s="3">
        <v>9.0</v>
      </c>
      <c r="P268" s="3">
        <v>12.0</v>
      </c>
      <c r="Q268" s="8"/>
      <c r="R268" s="8">
        <f t="shared" si="2"/>
        <v>1</v>
      </c>
      <c r="S268" s="8">
        <f t="shared" si="3"/>
        <v>0</v>
      </c>
      <c r="T268" s="8" t="str">
        <f t="shared" si="4"/>
        <v>OK</v>
      </c>
      <c r="U268" s="8">
        <f t="shared" si="5"/>
        <v>0</v>
      </c>
      <c r="V268" s="8"/>
      <c r="W268" s="8"/>
      <c r="X268" s="8"/>
      <c r="Y268" s="8"/>
      <c r="Z268" s="8"/>
    </row>
    <row r="269" ht="15.75" customHeight="1">
      <c r="A269" s="3">
        <v>878.0</v>
      </c>
      <c r="B269" s="4">
        <v>40583.0</v>
      </c>
      <c r="C269" s="3">
        <v>1.0</v>
      </c>
      <c r="D269" s="3">
        <v>0.0</v>
      </c>
      <c r="E269" s="3">
        <v>2.0</v>
      </c>
      <c r="F269" s="3">
        <v>0.0</v>
      </c>
      <c r="G269" s="3" t="b">
        <f t="shared" si="1"/>
        <v>0</v>
      </c>
      <c r="H269" s="3">
        <v>3.0</v>
      </c>
      <c r="I269" s="3">
        <v>1.0</v>
      </c>
      <c r="J269" s="3">
        <v>0.1</v>
      </c>
      <c r="K269" s="3">
        <v>0.0758</v>
      </c>
      <c r="L269" s="3">
        <v>0.36</v>
      </c>
      <c r="M269" s="3">
        <v>0.3582</v>
      </c>
      <c r="N269" s="3">
        <v>0.0</v>
      </c>
      <c r="O269" s="3">
        <v>17.0</v>
      </c>
      <c r="P269" s="3">
        <v>17.0</v>
      </c>
      <c r="Q269" s="8"/>
      <c r="R269" s="8">
        <f t="shared" si="2"/>
        <v>1</v>
      </c>
      <c r="S269" s="8">
        <f t="shared" si="3"/>
        <v>0</v>
      </c>
      <c r="T269" s="8" t="str">
        <f t="shared" si="4"/>
        <v>OK</v>
      </c>
      <c r="U269" s="8">
        <f t="shared" si="5"/>
        <v>0</v>
      </c>
      <c r="V269" s="8"/>
      <c r="W269" s="8"/>
      <c r="X269" s="8"/>
      <c r="Y269" s="8"/>
      <c r="Z269" s="8"/>
    </row>
    <row r="270" ht="15.75" customHeight="1">
      <c r="A270" s="3">
        <v>879.0</v>
      </c>
      <c r="B270" s="4">
        <v>40583.0</v>
      </c>
      <c r="C270" s="3">
        <v>1.0</v>
      </c>
      <c r="D270" s="3">
        <v>0.0</v>
      </c>
      <c r="E270" s="3">
        <v>2.0</v>
      </c>
      <c r="F270" s="3">
        <v>1.0</v>
      </c>
      <c r="G270" s="3" t="b">
        <f t="shared" si="1"/>
        <v>0</v>
      </c>
      <c r="H270" s="3">
        <v>3.0</v>
      </c>
      <c r="I270" s="3">
        <v>1.0</v>
      </c>
      <c r="J270" s="3">
        <v>0.1</v>
      </c>
      <c r="K270" s="3">
        <v>0.1061</v>
      </c>
      <c r="L270" s="3">
        <v>0.36</v>
      </c>
      <c r="M270" s="3">
        <v>0.2239</v>
      </c>
      <c r="N270" s="3">
        <v>0.0</v>
      </c>
      <c r="O270" s="3">
        <v>7.0</v>
      </c>
      <c r="P270" s="3">
        <v>7.0</v>
      </c>
      <c r="Q270" s="8"/>
      <c r="R270" s="8">
        <f t="shared" si="2"/>
        <v>1</v>
      </c>
      <c r="S270" s="8">
        <f t="shared" si="3"/>
        <v>0</v>
      </c>
      <c r="T270" s="8" t="str">
        <f t="shared" si="4"/>
        <v>OK</v>
      </c>
      <c r="U270" s="8">
        <f t="shared" si="5"/>
        <v>0</v>
      </c>
      <c r="V270" s="8"/>
      <c r="W270" s="8"/>
      <c r="X270" s="8"/>
      <c r="Y270" s="8"/>
      <c r="Z270" s="8"/>
    </row>
    <row r="271" ht="15.75" customHeight="1">
      <c r="A271" s="3">
        <v>880.0</v>
      </c>
      <c r="B271" s="4">
        <v>40583.0</v>
      </c>
      <c r="C271" s="3">
        <v>1.0</v>
      </c>
      <c r="D271" s="3">
        <v>0.0</v>
      </c>
      <c r="E271" s="3">
        <v>2.0</v>
      </c>
      <c r="F271" s="3">
        <v>2.0</v>
      </c>
      <c r="G271" s="3" t="b">
        <f t="shared" si="1"/>
        <v>0</v>
      </c>
      <c r="H271" s="3">
        <v>3.0</v>
      </c>
      <c r="I271" s="3">
        <v>1.0</v>
      </c>
      <c r="J271" s="3">
        <v>0.08</v>
      </c>
      <c r="K271" s="3">
        <v>0.0758</v>
      </c>
      <c r="L271" s="3">
        <v>0.38</v>
      </c>
      <c r="M271" s="3">
        <v>0.2836</v>
      </c>
      <c r="N271" s="3">
        <v>1.0</v>
      </c>
      <c r="O271" s="3">
        <v>2.0</v>
      </c>
      <c r="P271" s="3">
        <v>3.0</v>
      </c>
      <c r="Q271" s="8"/>
      <c r="R271" s="8">
        <f t="shared" si="2"/>
        <v>1</v>
      </c>
      <c r="S271" s="8">
        <f t="shared" si="3"/>
        <v>0</v>
      </c>
      <c r="T271" s="8" t="str">
        <f t="shared" si="4"/>
        <v>OK</v>
      </c>
      <c r="U271" s="8">
        <f t="shared" si="5"/>
        <v>0</v>
      </c>
      <c r="V271" s="8"/>
      <c r="W271" s="8"/>
      <c r="X271" s="8"/>
      <c r="Y271" s="8"/>
      <c r="Z271" s="8"/>
    </row>
    <row r="272" ht="15.75" customHeight="1">
      <c r="A272" s="3">
        <v>881.0</v>
      </c>
      <c r="B272" s="4">
        <v>40583.0</v>
      </c>
      <c r="C272" s="3">
        <v>1.0</v>
      </c>
      <c r="D272" s="3">
        <v>0.0</v>
      </c>
      <c r="E272" s="3">
        <v>2.0</v>
      </c>
      <c r="F272" s="3">
        <v>3.0</v>
      </c>
      <c r="G272" s="3" t="b">
        <f t="shared" si="1"/>
        <v>0</v>
      </c>
      <c r="H272" s="3">
        <v>3.0</v>
      </c>
      <c r="I272" s="3">
        <v>1.0</v>
      </c>
      <c r="J272" s="3">
        <v>0.06</v>
      </c>
      <c r="K272" s="3">
        <v>0.0758</v>
      </c>
      <c r="L272" s="3">
        <v>0.45</v>
      </c>
      <c r="M272" s="3">
        <v>0.1343</v>
      </c>
      <c r="N272" s="3">
        <v>0.0</v>
      </c>
      <c r="O272" s="3">
        <v>2.0</v>
      </c>
      <c r="P272" s="3">
        <v>2.0</v>
      </c>
      <c r="Q272" s="8"/>
      <c r="R272" s="8">
        <f t="shared" si="2"/>
        <v>1</v>
      </c>
      <c r="S272" s="8">
        <f t="shared" si="3"/>
        <v>0</v>
      </c>
      <c r="T272" s="8" t="str">
        <f t="shared" si="4"/>
        <v>OK</v>
      </c>
      <c r="U272" s="8">
        <f t="shared" si="5"/>
        <v>0</v>
      </c>
      <c r="V272" s="8"/>
      <c r="W272" s="8"/>
      <c r="X272" s="8"/>
      <c r="Y272" s="8"/>
      <c r="Z272" s="8"/>
    </row>
    <row r="273" ht="15.75" customHeight="1">
      <c r="A273" s="3">
        <v>882.0</v>
      </c>
      <c r="B273" s="4">
        <v>40583.0</v>
      </c>
      <c r="C273" s="3">
        <v>1.0</v>
      </c>
      <c r="D273" s="3">
        <v>0.0</v>
      </c>
      <c r="E273" s="3">
        <v>2.0</v>
      </c>
      <c r="F273" s="3">
        <v>5.0</v>
      </c>
      <c r="G273" s="3" t="b">
        <f t="shared" si="1"/>
        <v>0</v>
      </c>
      <c r="H273" s="3">
        <v>3.0</v>
      </c>
      <c r="I273" s="3">
        <v>1.0</v>
      </c>
      <c r="J273" s="3">
        <v>0.06</v>
      </c>
      <c r="K273" s="3">
        <v>0.1061</v>
      </c>
      <c r="L273" s="3">
        <v>0.45</v>
      </c>
      <c r="M273" s="3">
        <v>0.1045</v>
      </c>
      <c r="N273" s="3">
        <v>0.0</v>
      </c>
      <c r="O273" s="3">
        <v>7.0</v>
      </c>
      <c r="P273" s="3">
        <v>7.0</v>
      </c>
      <c r="Q273" s="8"/>
      <c r="R273" s="8">
        <f t="shared" si="2"/>
        <v>1</v>
      </c>
      <c r="S273" s="8">
        <f t="shared" si="3"/>
        <v>0</v>
      </c>
      <c r="T273" s="8" t="str">
        <f t="shared" si="4"/>
        <v>OK</v>
      </c>
      <c r="U273" s="8">
        <f t="shared" si="5"/>
        <v>0</v>
      </c>
      <c r="V273" s="8"/>
      <c r="W273" s="8"/>
      <c r="X273" s="8"/>
      <c r="Y273" s="8"/>
      <c r="Z273" s="8"/>
    </row>
    <row r="274" ht="15.75" customHeight="1">
      <c r="A274" s="3">
        <v>883.0</v>
      </c>
      <c r="B274" s="4">
        <v>40583.0</v>
      </c>
      <c r="C274" s="3">
        <v>1.0</v>
      </c>
      <c r="D274" s="3">
        <v>0.0</v>
      </c>
      <c r="E274" s="3">
        <v>2.0</v>
      </c>
      <c r="F274" s="3">
        <v>6.0</v>
      </c>
      <c r="G274" s="3" t="b">
        <f t="shared" si="1"/>
        <v>0</v>
      </c>
      <c r="H274" s="3">
        <v>3.0</v>
      </c>
      <c r="I274" s="3">
        <v>1.0</v>
      </c>
      <c r="J274" s="3">
        <v>0.06</v>
      </c>
      <c r="K274" s="3">
        <v>0.1515</v>
      </c>
      <c r="L274" s="3">
        <v>0.45</v>
      </c>
      <c r="M274" s="3">
        <v>0.0</v>
      </c>
      <c r="N274" s="3">
        <v>0.0</v>
      </c>
      <c r="O274" s="3">
        <v>43.0</v>
      </c>
      <c r="P274" s="3">
        <v>43.0</v>
      </c>
      <c r="Q274" s="8"/>
      <c r="R274" s="8">
        <f t="shared" si="2"/>
        <v>1</v>
      </c>
      <c r="S274" s="8">
        <f t="shared" si="3"/>
        <v>0</v>
      </c>
      <c r="T274" s="8" t="str">
        <f t="shared" si="4"/>
        <v>OK</v>
      </c>
      <c r="U274" s="8">
        <f t="shared" si="5"/>
        <v>0</v>
      </c>
      <c r="V274" s="8"/>
      <c r="W274" s="8"/>
      <c r="X274" s="8"/>
      <c r="Y274" s="8"/>
      <c r="Z274" s="8"/>
    </row>
    <row r="275" ht="15.75" customHeight="1">
      <c r="A275" s="3">
        <v>884.0</v>
      </c>
      <c r="B275" s="4">
        <v>40583.0</v>
      </c>
      <c r="C275" s="3">
        <v>1.0</v>
      </c>
      <c r="D275" s="3">
        <v>0.0</v>
      </c>
      <c r="E275" s="3">
        <v>2.0</v>
      </c>
      <c r="F275" s="3">
        <v>7.0</v>
      </c>
      <c r="G275" s="3" t="b">
        <f t="shared" si="1"/>
        <v>0</v>
      </c>
      <c r="H275" s="3">
        <v>3.0</v>
      </c>
      <c r="I275" s="3">
        <v>1.0</v>
      </c>
      <c r="J275" s="3">
        <v>0.06</v>
      </c>
      <c r="K275" s="3">
        <v>0.1061</v>
      </c>
      <c r="L275" s="3">
        <v>0.49</v>
      </c>
      <c r="M275" s="3">
        <v>0.1045</v>
      </c>
      <c r="N275" s="3">
        <v>4.0</v>
      </c>
      <c r="O275" s="3">
        <v>95.0</v>
      </c>
      <c r="P275" s="3">
        <v>99.0</v>
      </c>
      <c r="Q275" s="8"/>
      <c r="R275" s="8">
        <f t="shared" si="2"/>
        <v>1</v>
      </c>
      <c r="S275" s="8">
        <f t="shared" si="3"/>
        <v>0</v>
      </c>
      <c r="T275" s="8" t="str">
        <f t="shared" si="4"/>
        <v>OK</v>
      </c>
      <c r="U275" s="8">
        <f t="shared" si="5"/>
        <v>0</v>
      </c>
      <c r="V275" s="8"/>
      <c r="W275" s="8"/>
      <c r="X275" s="8"/>
      <c r="Y275" s="8"/>
      <c r="Z275" s="8"/>
    </row>
    <row r="276" ht="15.75" customHeight="1">
      <c r="A276" s="3">
        <v>885.0</v>
      </c>
      <c r="B276" s="4">
        <v>40583.0</v>
      </c>
      <c r="C276" s="3">
        <v>1.0</v>
      </c>
      <c r="D276" s="3">
        <v>0.0</v>
      </c>
      <c r="E276" s="3">
        <v>2.0</v>
      </c>
      <c r="F276" s="3">
        <v>8.0</v>
      </c>
      <c r="G276" s="3" t="b">
        <f t="shared" si="1"/>
        <v>0</v>
      </c>
      <c r="H276" s="3">
        <v>3.0</v>
      </c>
      <c r="I276" s="3">
        <v>1.0</v>
      </c>
      <c r="J276" s="3">
        <v>0.1</v>
      </c>
      <c r="K276" s="3">
        <v>0.1364</v>
      </c>
      <c r="L276" s="3">
        <v>0.42</v>
      </c>
      <c r="M276" s="3">
        <v>0.0</v>
      </c>
      <c r="N276" s="3">
        <v>1.0</v>
      </c>
      <c r="O276" s="3">
        <v>198.0</v>
      </c>
      <c r="P276" s="3">
        <v>199.0</v>
      </c>
      <c r="Q276" s="8"/>
      <c r="R276" s="8">
        <f t="shared" si="2"/>
        <v>1</v>
      </c>
      <c r="S276" s="8">
        <f t="shared" si="3"/>
        <v>0</v>
      </c>
      <c r="T276" s="8" t="str">
        <f t="shared" si="4"/>
        <v>OK</v>
      </c>
      <c r="U276" s="8">
        <f t="shared" si="5"/>
        <v>0</v>
      </c>
      <c r="V276" s="8"/>
      <c r="W276" s="8"/>
      <c r="X276" s="8"/>
      <c r="Y276" s="8"/>
      <c r="Z276" s="8"/>
    </row>
    <row r="277" ht="15.75" customHeight="1">
      <c r="A277" s="3">
        <v>886.0</v>
      </c>
      <c r="B277" s="4">
        <v>40583.0</v>
      </c>
      <c r="C277" s="3">
        <v>1.0</v>
      </c>
      <c r="D277" s="3">
        <v>0.0</v>
      </c>
      <c r="E277" s="3">
        <v>2.0</v>
      </c>
      <c r="F277" s="3">
        <v>9.0</v>
      </c>
      <c r="G277" s="3" t="b">
        <f t="shared" si="1"/>
        <v>0</v>
      </c>
      <c r="H277" s="3">
        <v>3.0</v>
      </c>
      <c r="I277" s="3">
        <v>1.0</v>
      </c>
      <c r="J277" s="3">
        <v>0.12</v>
      </c>
      <c r="K277" s="3">
        <v>0.1364</v>
      </c>
      <c r="L277" s="3">
        <v>0.39</v>
      </c>
      <c r="M277" s="3">
        <v>0.1642</v>
      </c>
      <c r="N277" s="3">
        <v>4.0</v>
      </c>
      <c r="O277" s="3">
        <v>119.0</v>
      </c>
      <c r="P277" s="3">
        <v>123.0</v>
      </c>
      <c r="Q277" s="8"/>
      <c r="R277" s="8">
        <f t="shared" si="2"/>
        <v>1</v>
      </c>
      <c r="S277" s="8">
        <f t="shared" si="3"/>
        <v>0</v>
      </c>
      <c r="T277" s="8" t="str">
        <f t="shared" si="4"/>
        <v>OK</v>
      </c>
      <c r="U277" s="8">
        <f t="shared" si="5"/>
        <v>0</v>
      </c>
      <c r="V277" s="8"/>
      <c r="W277" s="8"/>
      <c r="X277" s="8"/>
      <c r="Y277" s="8"/>
      <c r="Z277" s="8"/>
    </row>
    <row r="278" ht="15.75" customHeight="1">
      <c r="A278" s="3">
        <v>887.0</v>
      </c>
      <c r="B278" s="4">
        <v>40583.0</v>
      </c>
      <c r="C278" s="3">
        <v>1.0</v>
      </c>
      <c r="D278" s="3">
        <v>0.0</v>
      </c>
      <c r="E278" s="3">
        <v>2.0</v>
      </c>
      <c r="F278" s="3">
        <v>10.0</v>
      </c>
      <c r="G278" s="3" t="b">
        <f t="shared" si="1"/>
        <v>0</v>
      </c>
      <c r="H278" s="3">
        <v>3.0</v>
      </c>
      <c r="I278" s="3">
        <v>1.0</v>
      </c>
      <c r="J278" s="3">
        <v>0.14</v>
      </c>
      <c r="K278" s="3">
        <v>0.1818</v>
      </c>
      <c r="L278" s="3">
        <v>0.36</v>
      </c>
      <c r="M278" s="3">
        <v>0.0</v>
      </c>
      <c r="N278" s="3">
        <v>8.0</v>
      </c>
      <c r="O278" s="3">
        <v>51.0</v>
      </c>
      <c r="P278" s="3">
        <v>59.0</v>
      </c>
      <c r="Q278" s="8"/>
      <c r="R278" s="8">
        <f t="shared" si="2"/>
        <v>1</v>
      </c>
      <c r="S278" s="8">
        <f t="shared" si="3"/>
        <v>0</v>
      </c>
      <c r="T278" s="8" t="str">
        <f t="shared" si="4"/>
        <v>OK</v>
      </c>
      <c r="U278" s="8">
        <f t="shared" si="5"/>
        <v>0</v>
      </c>
      <c r="V278" s="8"/>
      <c r="W278" s="8"/>
      <c r="X278" s="8"/>
      <c r="Y278" s="8"/>
      <c r="Z278" s="8"/>
    </row>
    <row r="279" ht="15.75" customHeight="1">
      <c r="A279" s="3">
        <v>888.0</v>
      </c>
      <c r="B279" s="4">
        <v>40583.0</v>
      </c>
      <c r="C279" s="3">
        <v>1.0</v>
      </c>
      <c r="D279" s="3">
        <v>0.0</v>
      </c>
      <c r="E279" s="3">
        <v>2.0</v>
      </c>
      <c r="F279" s="3">
        <v>11.0</v>
      </c>
      <c r="G279" s="3" t="b">
        <f t="shared" si="1"/>
        <v>0</v>
      </c>
      <c r="H279" s="3">
        <v>3.0</v>
      </c>
      <c r="I279" s="3">
        <v>2.0</v>
      </c>
      <c r="J279" s="3">
        <v>0.14</v>
      </c>
      <c r="K279" s="3">
        <v>0.1515</v>
      </c>
      <c r="L279" s="3">
        <v>0.43</v>
      </c>
      <c r="M279" s="3">
        <v>0.1642</v>
      </c>
      <c r="N279" s="3">
        <v>1.0</v>
      </c>
      <c r="O279" s="3">
        <v>40.0</v>
      </c>
      <c r="P279" s="3">
        <v>41.0</v>
      </c>
      <c r="Q279" s="8"/>
      <c r="R279" s="8">
        <f t="shared" si="2"/>
        <v>1</v>
      </c>
      <c r="S279" s="8">
        <f t="shared" si="3"/>
        <v>0</v>
      </c>
      <c r="T279" s="8" t="str">
        <f t="shared" si="4"/>
        <v>OK</v>
      </c>
      <c r="U279" s="8">
        <f t="shared" si="5"/>
        <v>0</v>
      </c>
      <c r="V279" s="8"/>
      <c r="W279" s="8"/>
      <c r="X279" s="8"/>
      <c r="Y279" s="8"/>
      <c r="Z279" s="8"/>
    </row>
    <row r="280" ht="15.75" customHeight="1">
      <c r="A280" s="3">
        <v>889.0</v>
      </c>
      <c r="B280" s="4">
        <v>40583.0</v>
      </c>
      <c r="C280" s="3">
        <v>1.0</v>
      </c>
      <c r="D280" s="3">
        <v>0.0</v>
      </c>
      <c r="E280" s="3">
        <v>2.0</v>
      </c>
      <c r="F280" s="3">
        <v>12.0</v>
      </c>
      <c r="G280" s="3" t="b">
        <f t="shared" si="1"/>
        <v>0</v>
      </c>
      <c r="H280" s="3">
        <v>3.0</v>
      </c>
      <c r="I280" s="3">
        <v>2.0</v>
      </c>
      <c r="J280" s="3">
        <v>0.18</v>
      </c>
      <c r="K280" s="3">
        <v>0.1818</v>
      </c>
      <c r="L280" s="3">
        <v>0.4</v>
      </c>
      <c r="M280" s="3">
        <v>0.2239</v>
      </c>
      <c r="N280" s="3">
        <v>4.0</v>
      </c>
      <c r="O280" s="3">
        <v>57.0</v>
      </c>
      <c r="P280" s="3">
        <v>61.0</v>
      </c>
      <c r="Q280" s="8"/>
      <c r="R280" s="8">
        <f t="shared" si="2"/>
        <v>1</v>
      </c>
      <c r="S280" s="8">
        <f t="shared" si="3"/>
        <v>0</v>
      </c>
      <c r="T280" s="8" t="str">
        <f t="shared" si="4"/>
        <v>OK</v>
      </c>
      <c r="U280" s="8">
        <f t="shared" si="5"/>
        <v>0</v>
      </c>
      <c r="V280" s="8"/>
      <c r="W280" s="8"/>
      <c r="X280" s="8"/>
      <c r="Y280" s="8"/>
      <c r="Z280" s="8"/>
    </row>
    <row r="281" ht="15.75" customHeight="1">
      <c r="A281" s="3">
        <v>890.0</v>
      </c>
      <c r="B281" s="4">
        <v>40583.0</v>
      </c>
      <c r="C281" s="3">
        <v>1.0</v>
      </c>
      <c r="D281" s="3">
        <v>0.0</v>
      </c>
      <c r="E281" s="3">
        <v>2.0</v>
      </c>
      <c r="F281" s="3">
        <v>13.0</v>
      </c>
      <c r="G281" s="3" t="b">
        <f t="shared" si="1"/>
        <v>0</v>
      </c>
      <c r="H281" s="3">
        <v>3.0</v>
      </c>
      <c r="I281" s="3">
        <v>1.0</v>
      </c>
      <c r="J281" s="3">
        <v>0.18</v>
      </c>
      <c r="K281" s="3">
        <v>0.1667</v>
      </c>
      <c r="L281" s="3">
        <v>0.4</v>
      </c>
      <c r="M281" s="3">
        <v>0.2537</v>
      </c>
      <c r="N281" s="3">
        <v>2.0</v>
      </c>
      <c r="O281" s="3">
        <v>67.0</v>
      </c>
      <c r="P281" s="3">
        <v>69.0</v>
      </c>
      <c r="Q281" s="8"/>
      <c r="R281" s="8">
        <f t="shared" si="2"/>
        <v>1</v>
      </c>
      <c r="S281" s="8">
        <f t="shared" si="3"/>
        <v>0</v>
      </c>
      <c r="T281" s="8" t="str">
        <f t="shared" si="4"/>
        <v>OK</v>
      </c>
      <c r="U281" s="8">
        <f t="shared" si="5"/>
        <v>0</v>
      </c>
      <c r="V281" s="8"/>
      <c r="W281" s="8"/>
      <c r="X281" s="8"/>
      <c r="Y281" s="8"/>
      <c r="Z281" s="8"/>
    </row>
    <row r="282" ht="15.75" customHeight="1">
      <c r="A282" s="3">
        <v>891.0</v>
      </c>
      <c r="B282" s="4">
        <v>40583.0</v>
      </c>
      <c r="C282" s="3">
        <v>1.0</v>
      </c>
      <c r="D282" s="3">
        <v>0.0</v>
      </c>
      <c r="E282" s="3">
        <v>2.0</v>
      </c>
      <c r="F282" s="3">
        <v>14.0</v>
      </c>
      <c r="G282" s="3" t="b">
        <f t="shared" si="1"/>
        <v>0</v>
      </c>
      <c r="H282" s="3">
        <v>3.0</v>
      </c>
      <c r="I282" s="3">
        <v>1.0</v>
      </c>
      <c r="J282" s="3">
        <v>0.2</v>
      </c>
      <c r="K282" s="3">
        <v>0.1818</v>
      </c>
      <c r="L282" s="3">
        <v>0.34</v>
      </c>
      <c r="M282" s="3">
        <v>0.2985</v>
      </c>
      <c r="N282" s="3">
        <v>2.0</v>
      </c>
      <c r="O282" s="3">
        <v>56.0</v>
      </c>
      <c r="P282" s="3">
        <v>58.0</v>
      </c>
      <c r="Q282" s="8"/>
      <c r="R282" s="8">
        <f t="shared" si="2"/>
        <v>1</v>
      </c>
      <c r="S282" s="8">
        <f t="shared" si="3"/>
        <v>0</v>
      </c>
      <c r="T282" s="8" t="str">
        <f t="shared" si="4"/>
        <v>OK</v>
      </c>
      <c r="U282" s="8">
        <f t="shared" si="5"/>
        <v>0</v>
      </c>
      <c r="V282" s="8"/>
      <c r="W282" s="8"/>
      <c r="X282" s="8"/>
      <c r="Y282" s="8"/>
      <c r="Z282" s="8"/>
    </row>
    <row r="283" ht="15.75" customHeight="1">
      <c r="A283" s="3">
        <v>892.0</v>
      </c>
      <c r="B283" s="4">
        <v>40583.0</v>
      </c>
      <c r="C283" s="3">
        <v>1.0</v>
      </c>
      <c r="D283" s="3">
        <v>0.0</v>
      </c>
      <c r="E283" s="3">
        <v>2.0</v>
      </c>
      <c r="F283" s="3">
        <v>15.0</v>
      </c>
      <c r="G283" s="3" t="b">
        <f t="shared" si="1"/>
        <v>0</v>
      </c>
      <c r="H283" s="3">
        <v>3.0</v>
      </c>
      <c r="I283" s="3">
        <v>2.0</v>
      </c>
      <c r="J283" s="3">
        <v>0.2</v>
      </c>
      <c r="K283" s="3">
        <v>0.1818</v>
      </c>
      <c r="L283" s="3">
        <v>0.34</v>
      </c>
      <c r="M283" s="3">
        <v>0.2836</v>
      </c>
      <c r="N283" s="3">
        <v>3.0</v>
      </c>
      <c r="O283" s="3">
        <v>61.0</v>
      </c>
      <c r="P283" s="3">
        <v>64.0</v>
      </c>
      <c r="Q283" s="8"/>
      <c r="R283" s="8">
        <f t="shared" si="2"/>
        <v>1</v>
      </c>
      <c r="S283" s="8">
        <f t="shared" si="3"/>
        <v>0</v>
      </c>
      <c r="T283" s="8" t="str">
        <f t="shared" si="4"/>
        <v>OK</v>
      </c>
      <c r="U283" s="8">
        <f t="shared" si="5"/>
        <v>0</v>
      </c>
      <c r="V283" s="8"/>
      <c r="W283" s="8"/>
      <c r="X283" s="8"/>
      <c r="Y283" s="8"/>
      <c r="Z283" s="8"/>
    </row>
    <row r="284" ht="15.75" customHeight="1">
      <c r="A284" s="3">
        <v>893.0</v>
      </c>
      <c r="B284" s="4">
        <v>40583.0</v>
      </c>
      <c r="C284" s="3">
        <v>1.0</v>
      </c>
      <c r="D284" s="3">
        <v>0.0</v>
      </c>
      <c r="E284" s="3">
        <v>2.0</v>
      </c>
      <c r="F284" s="3">
        <v>16.0</v>
      </c>
      <c r="G284" s="3" t="b">
        <f t="shared" si="1"/>
        <v>0</v>
      </c>
      <c r="H284" s="3">
        <v>3.0</v>
      </c>
      <c r="I284" s="3">
        <v>2.0</v>
      </c>
      <c r="J284" s="3">
        <v>0.2</v>
      </c>
      <c r="K284" s="3">
        <v>0.197</v>
      </c>
      <c r="L284" s="3">
        <v>0.37</v>
      </c>
      <c r="M284" s="3">
        <v>0.2537</v>
      </c>
      <c r="N284" s="3">
        <v>7.0</v>
      </c>
      <c r="O284" s="3">
        <v>72.0</v>
      </c>
      <c r="P284" s="3">
        <v>79.0</v>
      </c>
      <c r="Q284" s="8"/>
      <c r="R284" s="8">
        <f t="shared" si="2"/>
        <v>1</v>
      </c>
      <c r="S284" s="8">
        <f t="shared" si="3"/>
        <v>0</v>
      </c>
      <c r="T284" s="8" t="str">
        <f t="shared" si="4"/>
        <v>OK</v>
      </c>
      <c r="U284" s="8">
        <f t="shared" si="5"/>
        <v>0</v>
      </c>
      <c r="V284" s="8"/>
      <c r="W284" s="8"/>
      <c r="X284" s="8"/>
      <c r="Y284" s="8"/>
      <c r="Z284" s="8"/>
    </row>
    <row r="285" ht="15.75" customHeight="1">
      <c r="A285" s="3">
        <v>894.0</v>
      </c>
      <c r="B285" s="4">
        <v>40583.0</v>
      </c>
      <c r="C285" s="3">
        <v>1.0</v>
      </c>
      <c r="D285" s="3">
        <v>0.0</v>
      </c>
      <c r="E285" s="3">
        <v>2.0</v>
      </c>
      <c r="F285" s="3">
        <v>17.0</v>
      </c>
      <c r="G285" s="3" t="b">
        <f t="shared" si="1"/>
        <v>0</v>
      </c>
      <c r="H285" s="3">
        <v>3.0</v>
      </c>
      <c r="I285" s="3">
        <v>2.0</v>
      </c>
      <c r="J285" s="3">
        <v>0.2</v>
      </c>
      <c r="K285" s="3">
        <v>0.197</v>
      </c>
      <c r="L285" s="3">
        <v>0.34</v>
      </c>
      <c r="M285" s="3">
        <v>0.2537</v>
      </c>
      <c r="N285" s="3">
        <v>9.0</v>
      </c>
      <c r="O285" s="3">
        <v>157.0</v>
      </c>
      <c r="P285" s="3">
        <v>166.0</v>
      </c>
      <c r="Q285" s="8"/>
      <c r="R285" s="8">
        <f t="shared" si="2"/>
        <v>1</v>
      </c>
      <c r="S285" s="8">
        <f t="shared" si="3"/>
        <v>0</v>
      </c>
      <c r="T285" s="8" t="str">
        <f t="shared" si="4"/>
        <v>OK</v>
      </c>
      <c r="U285" s="8">
        <f t="shared" si="5"/>
        <v>0</v>
      </c>
      <c r="V285" s="8"/>
      <c r="W285" s="8"/>
      <c r="X285" s="8"/>
      <c r="Y285" s="8"/>
      <c r="Z285" s="8"/>
    </row>
    <row r="286" ht="15.75" customHeight="1">
      <c r="A286" s="3">
        <v>895.0</v>
      </c>
      <c r="B286" s="4">
        <v>40583.0</v>
      </c>
      <c r="C286" s="3">
        <v>1.0</v>
      </c>
      <c r="D286" s="3">
        <v>0.0</v>
      </c>
      <c r="E286" s="3">
        <v>2.0</v>
      </c>
      <c r="F286" s="3">
        <v>18.0</v>
      </c>
      <c r="G286" s="3" t="b">
        <f t="shared" si="1"/>
        <v>0</v>
      </c>
      <c r="H286" s="3">
        <v>3.0</v>
      </c>
      <c r="I286" s="3">
        <v>2.0</v>
      </c>
      <c r="J286" s="3">
        <v>0.18</v>
      </c>
      <c r="K286" s="3">
        <v>0.1667</v>
      </c>
      <c r="L286" s="3">
        <v>0.47</v>
      </c>
      <c r="M286" s="3">
        <v>0.2985</v>
      </c>
      <c r="N286" s="3">
        <v>2.0</v>
      </c>
      <c r="O286" s="3">
        <v>168.0</v>
      </c>
      <c r="P286" s="3">
        <v>170.0</v>
      </c>
      <c r="Q286" s="8"/>
      <c r="R286" s="8">
        <f t="shared" si="2"/>
        <v>1</v>
      </c>
      <c r="S286" s="8">
        <f t="shared" si="3"/>
        <v>0</v>
      </c>
      <c r="T286" s="8" t="str">
        <f t="shared" si="4"/>
        <v>OK</v>
      </c>
      <c r="U286" s="8">
        <f t="shared" si="5"/>
        <v>0</v>
      </c>
      <c r="V286" s="8"/>
      <c r="W286" s="8"/>
      <c r="X286" s="8"/>
      <c r="Y286" s="8"/>
      <c r="Z286" s="8"/>
    </row>
    <row r="287" ht="15.75" customHeight="1">
      <c r="A287" s="3">
        <v>896.0</v>
      </c>
      <c r="B287" s="4">
        <v>40583.0</v>
      </c>
      <c r="C287" s="3">
        <v>1.0</v>
      </c>
      <c r="D287" s="3">
        <v>0.0</v>
      </c>
      <c r="E287" s="3">
        <v>2.0</v>
      </c>
      <c r="F287" s="3">
        <v>19.0</v>
      </c>
      <c r="G287" s="3" t="b">
        <f t="shared" si="1"/>
        <v>0</v>
      </c>
      <c r="H287" s="3">
        <v>3.0</v>
      </c>
      <c r="I287" s="3">
        <v>3.0</v>
      </c>
      <c r="J287" s="3">
        <v>0.14</v>
      </c>
      <c r="K287" s="3">
        <v>0.1212</v>
      </c>
      <c r="L287" s="3">
        <v>0.86</v>
      </c>
      <c r="M287" s="3">
        <v>0.2537</v>
      </c>
      <c r="N287" s="3">
        <v>1.0</v>
      </c>
      <c r="O287" s="3">
        <v>87.0</v>
      </c>
      <c r="P287" s="3">
        <v>88.0</v>
      </c>
      <c r="Q287" s="8"/>
      <c r="R287" s="8">
        <f t="shared" si="2"/>
        <v>1</v>
      </c>
      <c r="S287" s="8">
        <f t="shared" si="3"/>
        <v>0</v>
      </c>
      <c r="T287" s="8" t="str">
        <f t="shared" si="4"/>
        <v>OK</v>
      </c>
      <c r="U287" s="8">
        <f t="shared" si="5"/>
        <v>0</v>
      </c>
      <c r="V287" s="8"/>
      <c r="W287" s="8"/>
      <c r="X287" s="8"/>
      <c r="Y287" s="8"/>
      <c r="Z287" s="8"/>
    </row>
    <row r="288" ht="15.75" customHeight="1">
      <c r="A288" s="3">
        <v>897.0</v>
      </c>
      <c r="B288" s="4">
        <v>40583.0</v>
      </c>
      <c r="C288" s="3">
        <v>1.0</v>
      </c>
      <c r="D288" s="3">
        <v>0.0</v>
      </c>
      <c r="E288" s="3">
        <v>2.0</v>
      </c>
      <c r="F288" s="3">
        <v>20.0</v>
      </c>
      <c r="G288" s="3" t="b">
        <f t="shared" si="1"/>
        <v>0</v>
      </c>
      <c r="H288" s="3">
        <v>3.0</v>
      </c>
      <c r="I288" s="3">
        <v>3.0</v>
      </c>
      <c r="J288" s="3">
        <v>0.14</v>
      </c>
      <c r="K288" s="3">
        <v>0.1515</v>
      </c>
      <c r="L288" s="3">
        <v>0.86</v>
      </c>
      <c r="M288" s="3">
        <v>0.1642</v>
      </c>
      <c r="N288" s="3">
        <v>0.0</v>
      </c>
      <c r="O288" s="3">
        <v>84.0</v>
      </c>
      <c r="P288" s="3">
        <v>84.0</v>
      </c>
      <c r="Q288" s="8"/>
      <c r="R288" s="8">
        <f t="shared" si="2"/>
        <v>1</v>
      </c>
      <c r="S288" s="8">
        <f t="shared" si="3"/>
        <v>0</v>
      </c>
      <c r="T288" s="8" t="str">
        <f t="shared" si="4"/>
        <v>OK</v>
      </c>
      <c r="U288" s="8">
        <f t="shared" si="5"/>
        <v>0</v>
      </c>
      <c r="V288" s="8"/>
      <c r="W288" s="8"/>
      <c r="X288" s="8"/>
      <c r="Y288" s="8"/>
      <c r="Z288" s="8"/>
    </row>
    <row r="289" ht="15.75" customHeight="1">
      <c r="A289" s="3">
        <v>898.0</v>
      </c>
      <c r="B289" s="4">
        <v>40583.0</v>
      </c>
      <c r="C289" s="3">
        <v>1.0</v>
      </c>
      <c r="D289" s="3">
        <v>0.0</v>
      </c>
      <c r="E289" s="3">
        <v>2.0</v>
      </c>
      <c r="F289" s="3">
        <v>21.0</v>
      </c>
      <c r="G289" s="3" t="b">
        <f t="shared" si="1"/>
        <v>0</v>
      </c>
      <c r="H289" s="3">
        <v>3.0</v>
      </c>
      <c r="I289" s="3">
        <v>2.0</v>
      </c>
      <c r="J289" s="3">
        <v>0.14</v>
      </c>
      <c r="K289" s="3">
        <v>0.1515</v>
      </c>
      <c r="L289" s="3">
        <v>0.86</v>
      </c>
      <c r="M289" s="3">
        <v>0.1642</v>
      </c>
      <c r="N289" s="3">
        <v>0.0</v>
      </c>
      <c r="O289" s="3">
        <v>83.0</v>
      </c>
      <c r="P289" s="3">
        <v>83.0</v>
      </c>
      <c r="Q289" s="8"/>
      <c r="R289" s="8">
        <f t="shared" si="2"/>
        <v>1</v>
      </c>
      <c r="S289" s="8">
        <f t="shared" si="3"/>
        <v>0</v>
      </c>
      <c r="T289" s="8" t="str">
        <f t="shared" si="4"/>
        <v>OK</v>
      </c>
      <c r="U289" s="8">
        <f t="shared" si="5"/>
        <v>0</v>
      </c>
      <c r="V289" s="8"/>
      <c r="W289" s="8"/>
      <c r="X289" s="8"/>
      <c r="Y289" s="8"/>
      <c r="Z289" s="8"/>
    </row>
    <row r="290" ht="15.75" customHeight="1">
      <c r="A290" s="3">
        <v>899.0</v>
      </c>
      <c r="B290" s="4">
        <v>40583.0</v>
      </c>
      <c r="C290" s="3">
        <v>1.0</v>
      </c>
      <c r="D290" s="3">
        <v>0.0</v>
      </c>
      <c r="E290" s="3">
        <v>2.0</v>
      </c>
      <c r="F290" s="3">
        <v>22.0</v>
      </c>
      <c r="G290" s="3" t="b">
        <f t="shared" si="1"/>
        <v>0</v>
      </c>
      <c r="H290" s="3">
        <v>3.0</v>
      </c>
      <c r="I290" s="3">
        <v>3.0</v>
      </c>
      <c r="J290" s="3">
        <v>0.16</v>
      </c>
      <c r="K290" s="3">
        <v>0.1667</v>
      </c>
      <c r="L290" s="3">
        <v>0.8</v>
      </c>
      <c r="M290" s="3">
        <v>0.1642</v>
      </c>
      <c r="N290" s="3">
        <v>4.0</v>
      </c>
      <c r="O290" s="3">
        <v>42.0</v>
      </c>
      <c r="P290" s="3">
        <v>46.0</v>
      </c>
      <c r="Q290" s="8"/>
      <c r="R290" s="8">
        <f t="shared" si="2"/>
        <v>1</v>
      </c>
      <c r="S290" s="8">
        <f t="shared" si="3"/>
        <v>0</v>
      </c>
      <c r="T290" s="8" t="str">
        <f t="shared" si="4"/>
        <v>OK</v>
      </c>
      <c r="U290" s="8">
        <f t="shared" si="5"/>
        <v>0</v>
      </c>
      <c r="V290" s="8"/>
      <c r="W290" s="8"/>
      <c r="X290" s="8"/>
      <c r="Y290" s="8"/>
      <c r="Z290" s="8"/>
    </row>
    <row r="291" ht="15.75" customHeight="1">
      <c r="A291" s="3">
        <v>900.0</v>
      </c>
      <c r="B291" s="4">
        <v>40583.0</v>
      </c>
      <c r="C291" s="3">
        <v>1.0</v>
      </c>
      <c r="D291" s="3">
        <v>0.0</v>
      </c>
      <c r="E291" s="3">
        <v>2.0</v>
      </c>
      <c r="F291" s="3">
        <v>23.0</v>
      </c>
      <c r="G291" s="3" t="b">
        <f t="shared" si="1"/>
        <v>0</v>
      </c>
      <c r="H291" s="3">
        <v>3.0</v>
      </c>
      <c r="I291" s="3">
        <v>3.0</v>
      </c>
      <c r="J291" s="3">
        <v>0.16</v>
      </c>
      <c r="K291" s="3">
        <v>0.1515</v>
      </c>
      <c r="L291" s="3">
        <v>0.8</v>
      </c>
      <c r="M291" s="3">
        <v>0.194</v>
      </c>
      <c r="N291" s="3">
        <v>0.0</v>
      </c>
      <c r="O291" s="3">
        <v>37.0</v>
      </c>
      <c r="P291" s="3">
        <v>37.0</v>
      </c>
      <c r="Q291" s="8"/>
      <c r="R291" s="8">
        <f t="shared" si="2"/>
        <v>1</v>
      </c>
      <c r="S291" s="8">
        <f t="shared" si="3"/>
        <v>0</v>
      </c>
      <c r="T291" s="8" t="str">
        <f t="shared" si="4"/>
        <v>OK</v>
      </c>
      <c r="U291" s="8">
        <f t="shared" si="5"/>
        <v>0</v>
      </c>
      <c r="V291" s="8"/>
      <c r="W291" s="8"/>
      <c r="X291" s="8"/>
      <c r="Y291" s="8"/>
      <c r="Z291" s="8"/>
    </row>
    <row r="292" ht="15.75" customHeight="1">
      <c r="A292" s="3">
        <v>901.0</v>
      </c>
      <c r="B292" s="4">
        <v>40584.0</v>
      </c>
      <c r="C292" s="3">
        <v>1.0</v>
      </c>
      <c r="D292" s="3">
        <v>0.0</v>
      </c>
      <c r="E292" s="3">
        <v>2.0</v>
      </c>
      <c r="F292" s="3">
        <v>0.0</v>
      </c>
      <c r="G292" s="3" t="b">
        <f t="shared" si="1"/>
        <v>0</v>
      </c>
      <c r="H292" s="3">
        <v>4.0</v>
      </c>
      <c r="I292" s="3">
        <v>3.0</v>
      </c>
      <c r="J292" s="3">
        <v>0.14</v>
      </c>
      <c r="K292" s="3">
        <v>0.1364</v>
      </c>
      <c r="L292" s="3">
        <v>0.86</v>
      </c>
      <c r="M292" s="3">
        <v>0.194</v>
      </c>
      <c r="N292" s="3">
        <v>0.0</v>
      </c>
      <c r="O292" s="3">
        <v>16.0</v>
      </c>
      <c r="P292" s="3">
        <v>16.0</v>
      </c>
      <c r="Q292" s="8"/>
      <c r="R292" s="8">
        <f t="shared" si="2"/>
        <v>1</v>
      </c>
      <c r="S292" s="8">
        <f t="shared" si="3"/>
        <v>0</v>
      </c>
      <c r="T292" s="8" t="str">
        <f t="shared" si="4"/>
        <v>OK</v>
      </c>
      <c r="U292" s="8">
        <f t="shared" si="5"/>
        <v>0</v>
      </c>
      <c r="V292" s="8"/>
      <c r="W292" s="8"/>
      <c r="X292" s="8"/>
      <c r="Y292" s="8"/>
      <c r="Z292" s="8"/>
    </row>
    <row r="293" ht="15.75" customHeight="1">
      <c r="A293" s="3">
        <v>902.0</v>
      </c>
      <c r="B293" s="4">
        <v>40584.0</v>
      </c>
      <c r="C293" s="3">
        <v>1.0</v>
      </c>
      <c r="D293" s="3">
        <v>0.0</v>
      </c>
      <c r="E293" s="3">
        <v>2.0</v>
      </c>
      <c r="F293" s="3">
        <v>1.0</v>
      </c>
      <c r="G293" s="3" t="b">
        <f t="shared" si="1"/>
        <v>0</v>
      </c>
      <c r="H293" s="3">
        <v>4.0</v>
      </c>
      <c r="I293" s="3">
        <v>3.0</v>
      </c>
      <c r="J293" s="3">
        <v>0.14</v>
      </c>
      <c r="K293" s="3">
        <v>0.1515</v>
      </c>
      <c r="L293" s="3">
        <v>0.8</v>
      </c>
      <c r="M293" s="3">
        <v>0.1343</v>
      </c>
      <c r="N293" s="3">
        <v>0.0</v>
      </c>
      <c r="O293" s="3">
        <v>7.0</v>
      </c>
      <c r="P293" s="3">
        <v>7.0</v>
      </c>
      <c r="Q293" s="8"/>
      <c r="R293" s="8">
        <f t="shared" si="2"/>
        <v>1</v>
      </c>
      <c r="S293" s="8">
        <f t="shared" si="3"/>
        <v>0</v>
      </c>
      <c r="T293" s="8" t="str">
        <f t="shared" si="4"/>
        <v>OK</v>
      </c>
      <c r="U293" s="8">
        <f t="shared" si="5"/>
        <v>0</v>
      </c>
      <c r="V293" s="8"/>
      <c r="W293" s="8"/>
      <c r="X293" s="8"/>
      <c r="Y293" s="8"/>
      <c r="Z293" s="8"/>
    </row>
    <row r="294" ht="15.75" customHeight="1">
      <c r="A294" s="3">
        <v>903.0</v>
      </c>
      <c r="B294" s="4">
        <v>40584.0</v>
      </c>
      <c r="C294" s="3">
        <v>1.0</v>
      </c>
      <c r="D294" s="3">
        <v>0.0</v>
      </c>
      <c r="E294" s="3">
        <v>2.0</v>
      </c>
      <c r="F294" s="3">
        <v>2.0</v>
      </c>
      <c r="G294" s="3" t="b">
        <f t="shared" si="1"/>
        <v>0</v>
      </c>
      <c r="H294" s="3">
        <v>4.0</v>
      </c>
      <c r="I294" s="3">
        <v>3.0</v>
      </c>
      <c r="J294" s="3">
        <v>0.14</v>
      </c>
      <c r="K294" s="3">
        <v>0.1515</v>
      </c>
      <c r="L294" s="3">
        <v>0.8</v>
      </c>
      <c r="M294" s="3">
        <v>0.1343</v>
      </c>
      <c r="N294" s="3">
        <v>0.0</v>
      </c>
      <c r="O294" s="3">
        <v>3.0</v>
      </c>
      <c r="P294" s="3">
        <v>3.0</v>
      </c>
      <c r="Q294" s="8"/>
      <c r="R294" s="8">
        <f t="shared" si="2"/>
        <v>1</v>
      </c>
      <c r="S294" s="8">
        <f t="shared" si="3"/>
        <v>0</v>
      </c>
      <c r="T294" s="8" t="str">
        <f t="shared" si="4"/>
        <v>OK</v>
      </c>
      <c r="U294" s="8">
        <f t="shared" si="5"/>
        <v>0</v>
      </c>
      <c r="V294" s="8"/>
      <c r="W294" s="8"/>
      <c r="X294" s="8"/>
      <c r="Y294" s="8"/>
      <c r="Z294" s="8"/>
    </row>
    <row r="295" ht="15.75" customHeight="1">
      <c r="A295" s="3">
        <v>904.0</v>
      </c>
      <c r="B295" s="4">
        <v>40584.0</v>
      </c>
      <c r="C295" s="3">
        <v>1.0</v>
      </c>
      <c r="D295" s="3">
        <v>0.0</v>
      </c>
      <c r="E295" s="3">
        <v>2.0</v>
      </c>
      <c r="F295" s="3">
        <v>4.0</v>
      </c>
      <c r="G295" s="3" t="b">
        <f t="shared" si="1"/>
        <v>0</v>
      </c>
      <c r="H295" s="3">
        <v>4.0</v>
      </c>
      <c r="I295" s="3">
        <v>2.0</v>
      </c>
      <c r="J295" s="3">
        <v>0.14</v>
      </c>
      <c r="K295" s="3">
        <v>0.1364</v>
      </c>
      <c r="L295" s="3">
        <v>0.59</v>
      </c>
      <c r="M295" s="3">
        <v>0.2239</v>
      </c>
      <c r="N295" s="3">
        <v>0.0</v>
      </c>
      <c r="O295" s="3">
        <v>1.0</v>
      </c>
      <c r="P295" s="3">
        <v>1.0</v>
      </c>
      <c r="Q295" s="8"/>
      <c r="R295" s="8">
        <f t="shared" si="2"/>
        <v>1</v>
      </c>
      <c r="S295" s="8">
        <f t="shared" si="3"/>
        <v>0</v>
      </c>
      <c r="T295" s="8" t="str">
        <f t="shared" si="4"/>
        <v>OK</v>
      </c>
      <c r="U295" s="8">
        <f t="shared" si="5"/>
        <v>0</v>
      </c>
      <c r="V295" s="8"/>
      <c r="W295" s="8"/>
      <c r="X295" s="8"/>
      <c r="Y295" s="8"/>
      <c r="Z295" s="8"/>
    </row>
    <row r="296" ht="15.75" customHeight="1">
      <c r="A296" s="3">
        <v>905.0</v>
      </c>
      <c r="B296" s="4">
        <v>40584.0</v>
      </c>
      <c r="C296" s="3">
        <v>1.0</v>
      </c>
      <c r="D296" s="3">
        <v>0.0</v>
      </c>
      <c r="E296" s="3">
        <v>2.0</v>
      </c>
      <c r="F296" s="3">
        <v>5.0</v>
      </c>
      <c r="G296" s="3" t="b">
        <f t="shared" si="1"/>
        <v>0</v>
      </c>
      <c r="H296" s="3">
        <v>4.0</v>
      </c>
      <c r="I296" s="3">
        <v>2.0</v>
      </c>
      <c r="J296" s="3">
        <v>0.12</v>
      </c>
      <c r="K296" s="3">
        <v>0.1212</v>
      </c>
      <c r="L296" s="3">
        <v>0.5</v>
      </c>
      <c r="M296" s="3">
        <v>0.2239</v>
      </c>
      <c r="N296" s="3">
        <v>0.0</v>
      </c>
      <c r="O296" s="3">
        <v>6.0</v>
      </c>
      <c r="P296" s="3">
        <v>6.0</v>
      </c>
      <c r="Q296" s="8"/>
      <c r="R296" s="8">
        <f t="shared" si="2"/>
        <v>1</v>
      </c>
      <c r="S296" s="8">
        <f t="shared" si="3"/>
        <v>0</v>
      </c>
      <c r="T296" s="8" t="str">
        <f t="shared" si="4"/>
        <v>OK</v>
      </c>
      <c r="U296" s="8">
        <f t="shared" si="5"/>
        <v>0</v>
      </c>
      <c r="V296" s="8"/>
      <c r="W296" s="8"/>
      <c r="X296" s="8"/>
      <c r="Y296" s="8"/>
      <c r="Z296" s="8"/>
    </row>
    <row r="297" ht="15.75" customHeight="1">
      <c r="A297" s="3">
        <v>906.0</v>
      </c>
      <c r="B297" s="4">
        <v>40584.0</v>
      </c>
      <c r="C297" s="3">
        <v>1.0</v>
      </c>
      <c r="D297" s="3">
        <v>0.0</v>
      </c>
      <c r="E297" s="3">
        <v>2.0</v>
      </c>
      <c r="F297" s="3">
        <v>6.0</v>
      </c>
      <c r="G297" s="3" t="b">
        <f t="shared" si="1"/>
        <v>0</v>
      </c>
      <c r="H297" s="3">
        <v>4.0</v>
      </c>
      <c r="I297" s="3">
        <v>2.0</v>
      </c>
      <c r="J297" s="3">
        <v>0.12</v>
      </c>
      <c r="K297" s="3">
        <v>0.1212</v>
      </c>
      <c r="L297" s="3">
        <v>0.54</v>
      </c>
      <c r="M297" s="3">
        <v>0.2836</v>
      </c>
      <c r="N297" s="3">
        <v>0.0</v>
      </c>
      <c r="O297" s="3">
        <v>26.0</v>
      </c>
      <c r="P297" s="3">
        <v>26.0</v>
      </c>
      <c r="Q297" s="8"/>
      <c r="R297" s="8">
        <f t="shared" si="2"/>
        <v>1</v>
      </c>
      <c r="S297" s="8">
        <f t="shared" si="3"/>
        <v>0</v>
      </c>
      <c r="T297" s="8" t="str">
        <f t="shared" si="4"/>
        <v>OK</v>
      </c>
      <c r="U297" s="8">
        <f t="shared" si="5"/>
        <v>0</v>
      </c>
      <c r="V297" s="8"/>
      <c r="W297" s="8"/>
      <c r="X297" s="8"/>
      <c r="Y297" s="8"/>
      <c r="Z297" s="8"/>
    </row>
    <row r="298" ht="15.75" customHeight="1">
      <c r="A298" s="3">
        <v>907.0</v>
      </c>
      <c r="B298" s="4">
        <v>40584.0</v>
      </c>
      <c r="C298" s="3">
        <v>1.0</v>
      </c>
      <c r="D298" s="3">
        <v>0.0</v>
      </c>
      <c r="E298" s="3">
        <v>2.0</v>
      </c>
      <c r="F298" s="3">
        <v>7.0</v>
      </c>
      <c r="G298" s="3" t="b">
        <f t="shared" si="1"/>
        <v>0</v>
      </c>
      <c r="H298" s="3">
        <v>4.0</v>
      </c>
      <c r="I298" s="3">
        <v>1.0</v>
      </c>
      <c r="J298" s="3">
        <v>0.1</v>
      </c>
      <c r="K298" s="3">
        <v>0.0758</v>
      </c>
      <c r="L298" s="3">
        <v>0.5</v>
      </c>
      <c r="M298" s="3">
        <v>0.4179</v>
      </c>
      <c r="N298" s="3">
        <v>0.0</v>
      </c>
      <c r="O298" s="3">
        <v>99.0</v>
      </c>
      <c r="P298" s="3">
        <v>99.0</v>
      </c>
      <c r="Q298" s="8"/>
      <c r="R298" s="8">
        <f t="shared" si="2"/>
        <v>1</v>
      </c>
      <c r="S298" s="8">
        <f t="shared" si="3"/>
        <v>0</v>
      </c>
      <c r="T298" s="8" t="str">
        <f t="shared" si="4"/>
        <v>OK</v>
      </c>
      <c r="U298" s="8">
        <f t="shared" si="5"/>
        <v>0</v>
      </c>
      <c r="V298" s="8"/>
      <c r="W298" s="8"/>
      <c r="X298" s="8"/>
      <c r="Y298" s="8"/>
      <c r="Z298" s="8"/>
    </row>
    <row r="299" ht="15.75" customHeight="1">
      <c r="A299" s="3">
        <v>908.0</v>
      </c>
      <c r="B299" s="4">
        <v>40584.0</v>
      </c>
      <c r="C299" s="3">
        <v>1.0</v>
      </c>
      <c r="D299" s="3">
        <v>0.0</v>
      </c>
      <c r="E299" s="3">
        <v>2.0</v>
      </c>
      <c r="F299" s="3">
        <v>8.0</v>
      </c>
      <c r="G299" s="3" t="b">
        <f t="shared" si="1"/>
        <v>0</v>
      </c>
      <c r="H299" s="3">
        <v>4.0</v>
      </c>
      <c r="I299" s="3">
        <v>1.0</v>
      </c>
      <c r="J299" s="3">
        <v>0.1</v>
      </c>
      <c r="K299" s="3">
        <v>0.0758</v>
      </c>
      <c r="L299" s="3">
        <v>0.49</v>
      </c>
      <c r="M299" s="3">
        <v>0.3284</v>
      </c>
      <c r="N299" s="3">
        <v>5.0</v>
      </c>
      <c r="O299" s="3">
        <v>173.0</v>
      </c>
      <c r="P299" s="3">
        <v>178.0</v>
      </c>
      <c r="Q299" s="8"/>
      <c r="R299" s="8">
        <f t="shared" si="2"/>
        <v>1</v>
      </c>
      <c r="S299" s="8">
        <f t="shared" si="3"/>
        <v>0</v>
      </c>
      <c r="T299" s="8" t="str">
        <f t="shared" si="4"/>
        <v>OK</v>
      </c>
      <c r="U299" s="8">
        <f t="shared" si="5"/>
        <v>0</v>
      </c>
      <c r="V299" s="8"/>
      <c r="W299" s="8"/>
      <c r="X299" s="8"/>
      <c r="Y299" s="8"/>
      <c r="Z299" s="8"/>
    </row>
    <row r="300" ht="15.75" customHeight="1">
      <c r="A300" s="3">
        <v>909.0</v>
      </c>
      <c r="B300" s="4">
        <v>40584.0</v>
      </c>
      <c r="C300" s="3">
        <v>1.0</v>
      </c>
      <c r="D300" s="3">
        <v>0.0</v>
      </c>
      <c r="E300" s="3">
        <v>2.0</v>
      </c>
      <c r="F300" s="3">
        <v>9.0</v>
      </c>
      <c r="G300" s="3" t="b">
        <f t="shared" si="1"/>
        <v>0</v>
      </c>
      <c r="H300" s="3">
        <v>4.0</v>
      </c>
      <c r="I300" s="3">
        <v>1.0</v>
      </c>
      <c r="J300" s="3">
        <v>0.12</v>
      </c>
      <c r="K300" s="3">
        <v>0.1061</v>
      </c>
      <c r="L300" s="3">
        <v>0.42</v>
      </c>
      <c r="M300" s="3">
        <v>0.3582</v>
      </c>
      <c r="N300" s="3">
        <v>1.0</v>
      </c>
      <c r="O300" s="3">
        <v>121.0</v>
      </c>
      <c r="P300" s="3">
        <v>122.0</v>
      </c>
      <c r="Q300" s="8"/>
      <c r="R300" s="8">
        <f t="shared" si="2"/>
        <v>1</v>
      </c>
      <c r="S300" s="8">
        <f t="shared" si="3"/>
        <v>0</v>
      </c>
      <c r="T300" s="8" t="str">
        <f t="shared" si="4"/>
        <v>OK</v>
      </c>
      <c r="U300" s="8">
        <f t="shared" si="5"/>
        <v>0</v>
      </c>
      <c r="V300" s="8"/>
      <c r="W300" s="8"/>
      <c r="X300" s="8"/>
      <c r="Y300" s="8"/>
      <c r="Z300" s="8"/>
    </row>
    <row r="301" ht="15.75" customHeight="1">
      <c r="A301" s="3">
        <v>910.0</v>
      </c>
      <c r="B301" s="4">
        <v>40584.0</v>
      </c>
      <c r="C301" s="3">
        <v>1.0</v>
      </c>
      <c r="D301" s="3">
        <v>0.0</v>
      </c>
      <c r="E301" s="3">
        <v>2.0</v>
      </c>
      <c r="F301" s="3">
        <v>10.0</v>
      </c>
      <c r="G301" s="3" t="b">
        <f t="shared" si="1"/>
        <v>0</v>
      </c>
      <c r="H301" s="3">
        <v>4.0</v>
      </c>
      <c r="I301" s="3">
        <v>1.0</v>
      </c>
      <c r="J301" s="3">
        <v>0.12</v>
      </c>
      <c r="K301" s="3">
        <v>0.1061</v>
      </c>
      <c r="L301" s="3">
        <v>0.42</v>
      </c>
      <c r="M301" s="3">
        <v>0.2985</v>
      </c>
      <c r="N301" s="3">
        <v>1.0</v>
      </c>
      <c r="O301" s="3">
        <v>34.0</v>
      </c>
      <c r="P301" s="3">
        <v>35.0</v>
      </c>
      <c r="Q301" s="8"/>
      <c r="R301" s="8">
        <f t="shared" si="2"/>
        <v>1</v>
      </c>
      <c r="S301" s="8">
        <f t="shared" si="3"/>
        <v>0</v>
      </c>
      <c r="T301" s="8" t="str">
        <f t="shared" si="4"/>
        <v>OK</v>
      </c>
      <c r="U301" s="8">
        <f t="shared" si="5"/>
        <v>0</v>
      </c>
      <c r="V301" s="8"/>
      <c r="W301" s="8"/>
      <c r="X301" s="8"/>
      <c r="Y301" s="8"/>
      <c r="Z301" s="8"/>
    </row>
    <row r="302" ht="15.75" customHeight="1">
      <c r="A302" s="3">
        <v>911.0</v>
      </c>
      <c r="B302" s="4">
        <v>40584.0</v>
      </c>
      <c r="C302" s="3">
        <v>1.0</v>
      </c>
      <c r="D302" s="3">
        <v>0.0</v>
      </c>
      <c r="E302" s="3">
        <v>2.0</v>
      </c>
      <c r="F302" s="3">
        <v>11.0</v>
      </c>
      <c r="G302" s="3" t="b">
        <f t="shared" si="1"/>
        <v>0</v>
      </c>
      <c r="H302" s="3">
        <v>4.0</v>
      </c>
      <c r="I302" s="3">
        <v>1.0</v>
      </c>
      <c r="J302" s="3">
        <v>0.14</v>
      </c>
      <c r="K302" s="3">
        <v>0.1212</v>
      </c>
      <c r="L302" s="3">
        <v>0.39</v>
      </c>
      <c r="M302" s="3">
        <v>0.3582</v>
      </c>
      <c r="N302" s="3">
        <v>1.0</v>
      </c>
      <c r="O302" s="3">
        <v>44.0</v>
      </c>
      <c r="P302" s="3">
        <v>45.0</v>
      </c>
      <c r="Q302" s="8"/>
      <c r="R302" s="8">
        <f t="shared" si="2"/>
        <v>1</v>
      </c>
      <c r="S302" s="8">
        <f t="shared" si="3"/>
        <v>0</v>
      </c>
      <c r="T302" s="8" t="str">
        <f t="shared" si="4"/>
        <v>OK</v>
      </c>
      <c r="U302" s="8">
        <f t="shared" si="5"/>
        <v>0</v>
      </c>
      <c r="V302" s="8"/>
      <c r="W302" s="8"/>
      <c r="X302" s="8"/>
      <c r="Y302" s="8"/>
      <c r="Z302" s="8"/>
    </row>
    <row r="303" ht="15.75" customHeight="1">
      <c r="A303" s="3">
        <v>912.0</v>
      </c>
      <c r="B303" s="4">
        <v>40584.0</v>
      </c>
      <c r="C303" s="3">
        <v>1.0</v>
      </c>
      <c r="D303" s="3">
        <v>0.0</v>
      </c>
      <c r="E303" s="3">
        <v>2.0</v>
      </c>
      <c r="F303" s="3">
        <v>12.0</v>
      </c>
      <c r="G303" s="3" t="b">
        <f t="shared" si="1"/>
        <v>0</v>
      </c>
      <c r="H303" s="3">
        <v>4.0</v>
      </c>
      <c r="I303" s="3">
        <v>1.0</v>
      </c>
      <c r="J303" s="3">
        <v>0.16</v>
      </c>
      <c r="K303" s="3">
        <v>0.1364</v>
      </c>
      <c r="L303" s="3">
        <v>0.34</v>
      </c>
      <c r="M303" s="3">
        <v>0.3881</v>
      </c>
      <c r="N303" s="3">
        <v>4.0</v>
      </c>
      <c r="O303" s="3">
        <v>65.0</v>
      </c>
      <c r="P303" s="3">
        <v>69.0</v>
      </c>
      <c r="Q303" s="8"/>
      <c r="R303" s="8">
        <f t="shared" si="2"/>
        <v>1</v>
      </c>
      <c r="S303" s="8">
        <f t="shared" si="3"/>
        <v>0</v>
      </c>
      <c r="T303" s="8" t="str">
        <f t="shared" si="4"/>
        <v>OK</v>
      </c>
      <c r="U303" s="8">
        <f t="shared" si="5"/>
        <v>0</v>
      </c>
      <c r="V303" s="8"/>
      <c r="W303" s="8"/>
      <c r="X303" s="8"/>
      <c r="Y303" s="8"/>
      <c r="Z303" s="8"/>
    </row>
    <row r="304" ht="15.75" customHeight="1">
      <c r="A304" s="3">
        <v>913.0</v>
      </c>
      <c r="B304" s="4">
        <v>40584.0</v>
      </c>
      <c r="C304" s="3">
        <v>1.0</v>
      </c>
      <c r="D304" s="3">
        <v>0.0</v>
      </c>
      <c r="E304" s="3">
        <v>2.0</v>
      </c>
      <c r="F304" s="3">
        <v>13.0</v>
      </c>
      <c r="G304" s="3" t="b">
        <f t="shared" si="1"/>
        <v>0</v>
      </c>
      <c r="H304" s="3">
        <v>4.0</v>
      </c>
      <c r="I304" s="3">
        <v>1.0</v>
      </c>
      <c r="J304" s="3">
        <v>0.18</v>
      </c>
      <c r="K304" s="3">
        <v>0.1667</v>
      </c>
      <c r="L304" s="3">
        <v>0.29</v>
      </c>
      <c r="M304" s="3">
        <v>0.2985</v>
      </c>
      <c r="N304" s="3">
        <v>3.0</v>
      </c>
      <c r="O304" s="3">
        <v>59.0</v>
      </c>
      <c r="P304" s="3">
        <v>62.0</v>
      </c>
      <c r="Q304" s="8"/>
      <c r="R304" s="8">
        <f t="shared" si="2"/>
        <v>1</v>
      </c>
      <c r="S304" s="8">
        <f t="shared" si="3"/>
        <v>0</v>
      </c>
      <c r="T304" s="8" t="str">
        <f t="shared" si="4"/>
        <v>OK</v>
      </c>
      <c r="U304" s="8">
        <f t="shared" si="5"/>
        <v>0</v>
      </c>
      <c r="V304" s="8"/>
      <c r="W304" s="8"/>
      <c r="X304" s="8"/>
      <c r="Y304" s="8"/>
      <c r="Z304" s="8"/>
    </row>
    <row r="305" ht="15.75" customHeight="1">
      <c r="A305" s="3">
        <v>914.0</v>
      </c>
      <c r="B305" s="4">
        <v>40584.0</v>
      </c>
      <c r="C305" s="3">
        <v>1.0</v>
      </c>
      <c r="D305" s="3">
        <v>0.0</v>
      </c>
      <c r="E305" s="3">
        <v>2.0</v>
      </c>
      <c r="F305" s="3">
        <v>14.0</v>
      </c>
      <c r="G305" s="3" t="b">
        <f t="shared" si="1"/>
        <v>0</v>
      </c>
      <c r="H305" s="3">
        <v>4.0</v>
      </c>
      <c r="I305" s="3">
        <v>1.0</v>
      </c>
      <c r="J305" s="3">
        <v>0.2</v>
      </c>
      <c r="K305" s="3">
        <v>0.1818</v>
      </c>
      <c r="L305" s="3">
        <v>0.27</v>
      </c>
      <c r="M305" s="3">
        <v>0.2836</v>
      </c>
      <c r="N305" s="3">
        <v>6.0</v>
      </c>
      <c r="O305" s="3">
        <v>42.0</v>
      </c>
      <c r="P305" s="3">
        <v>48.0</v>
      </c>
      <c r="Q305" s="8"/>
      <c r="R305" s="8">
        <f t="shared" si="2"/>
        <v>1</v>
      </c>
      <c r="S305" s="8">
        <f t="shared" si="3"/>
        <v>0</v>
      </c>
      <c r="T305" s="8" t="str">
        <f t="shared" si="4"/>
        <v>OK</v>
      </c>
      <c r="U305" s="8">
        <f t="shared" si="5"/>
        <v>0</v>
      </c>
      <c r="V305" s="8"/>
      <c r="W305" s="8"/>
      <c r="X305" s="8"/>
      <c r="Y305" s="8"/>
      <c r="Z305" s="8"/>
    </row>
    <row r="306" ht="15.75" customHeight="1">
      <c r="A306" s="3">
        <v>915.0</v>
      </c>
      <c r="B306" s="4">
        <v>40584.0</v>
      </c>
      <c r="C306" s="3">
        <v>1.0</v>
      </c>
      <c r="D306" s="3">
        <v>0.0</v>
      </c>
      <c r="E306" s="3">
        <v>2.0</v>
      </c>
      <c r="F306" s="3">
        <v>15.0</v>
      </c>
      <c r="G306" s="3" t="b">
        <f t="shared" si="1"/>
        <v>0</v>
      </c>
      <c r="H306" s="3">
        <v>4.0</v>
      </c>
      <c r="I306" s="3">
        <v>1.0</v>
      </c>
      <c r="J306" s="3">
        <v>0.2</v>
      </c>
      <c r="K306" s="3">
        <v>0.197</v>
      </c>
      <c r="L306" s="3">
        <v>0.25</v>
      </c>
      <c r="M306" s="3">
        <v>0.2537</v>
      </c>
      <c r="N306" s="3">
        <v>0.0</v>
      </c>
      <c r="O306" s="3">
        <v>50.0</v>
      </c>
      <c r="P306" s="3">
        <v>50.0</v>
      </c>
      <c r="Q306" s="8"/>
      <c r="R306" s="8">
        <f t="shared" si="2"/>
        <v>1</v>
      </c>
      <c r="S306" s="8">
        <f t="shared" si="3"/>
        <v>0</v>
      </c>
      <c r="T306" s="8" t="str">
        <f t="shared" si="4"/>
        <v>OK</v>
      </c>
      <c r="U306" s="8">
        <f t="shared" si="5"/>
        <v>0</v>
      </c>
      <c r="V306" s="8"/>
      <c r="W306" s="8"/>
      <c r="X306" s="8"/>
      <c r="Y306" s="8"/>
      <c r="Z306" s="8"/>
    </row>
    <row r="307" ht="15.75" customHeight="1">
      <c r="A307" s="3">
        <v>916.0</v>
      </c>
      <c r="B307" s="4">
        <v>40584.0</v>
      </c>
      <c r="C307" s="3">
        <v>1.0</v>
      </c>
      <c r="D307" s="3">
        <v>0.0</v>
      </c>
      <c r="E307" s="3">
        <v>2.0</v>
      </c>
      <c r="F307" s="3">
        <v>16.0</v>
      </c>
      <c r="G307" s="3" t="b">
        <f t="shared" si="1"/>
        <v>0</v>
      </c>
      <c r="H307" s="3">
        <v>4.0</v>
      </c>
      <c r="I307" s="3">
        <v>1.0</v>
      </c>
      <c r="J307" s="3">
        <v>0.2</v>
      </c>
      <c r="K307" s="3">
        <v>0.1818</v>
      </c>
      <c r="L307" s="3">
        <v>0.27</v>
      </c>
      <c r="M307" s="3">
        <v>0.2985</v>
      </c>
      <c r="N307" s="3">
        <v>4.0</v>
      </c>
      <c r="O307" s="3">
        <v>76.0</v>
      </c>
      <c r="P307" s="3">
        <v>80.0</v>
      </c>
      <c r="Q307" s="8"/>
      <c r="R307" s="8">
        <f t="shared" si="2"/>
        <v>1</v>
      </c>
      <c r="S307" s="8">
        <f t="shared" si="3"/>
        <v>0</v>
      </c>
      <c r="T307" s="8" t="str">
        <f t="shared" si="4"/>
        <v>OK</v>
      </c>
      <c r="U307" s="8">
        <f t="shared" si="5"/>
        <v>0</v>
      </c>
      <c r="V307" s="8"/>
      <c r="W307" s="8"/>
      <c r="X307" s="8"/>
      <c r="Y307" s="8"/>
      <c r="Z307" s="8"/>
    </row>
    <row r="308" ht="15.75" customHeight="1">
      <c r="A308" s="3">
        <v>917.0</v>
      </c>
      <c r="B308" s="4">
        <v>40584.0</v>
      </c>
      <c r="C308" s="3">
        <v>1.0</v>
      </c>
      <c r="D308" s="3">
        <v>0.0</v>
      </c>
      <c r="E308" s="3">
        <v>2.0</v>
      </c>
      <c r="F308" s="3">
        <v>17.0</v>
      </c>
      <c r="G308" s="3" t="b">
        <f t="shared" si="1"/>
        <v>0</v>
      </c>
      <c r="H308" s="3">
        <v>4.0</v>
      </c>
      <c r="I308" s="3">
        <v>1.0</v>
      </c>
      <c r="J308" s="3">
        <v>0.18</v>
      </c>
      <c r="K308" s="3">
        <v>0.1818</v>
      </c>
      <c r="L308" s="3">
        <v>0.26</v>
      </c>
      <c r="M308" s="3">
        <v>0.194</v>
      </c>
      <c r="N308" s="3">
        <v>6.0</v>
      </c>
      <c r="O308" s="3">
        <v>159.0</v>
      </c>
      <c r="P308" s="3">
        <v>165.0</v>
      </c>
      <c r="Q308" s="8"/>
      <c r="R308" s="8">
        <f t="shared" si="2"/>
        <v>1</v>
      </c>
      <c r="S308" s="8">
        <f t="shared" si="3"/>
        <v>0</v>
      </c>
      <c r="T308" s="8" t="str">
        <f t="shared" si="4"/>
        <v>OK</v>
      </c>
      <c r="U308" s="8">
        <f t="shared" si="5"/>
        <v>0</v>
      </c>
      <c r="V308" s="8"/>
      <c r="W308" s="8"/>
      <c r="X308" s="8"/>
      <c r="Y308" s="8"/>
      <c r="Z308" s="8"/>
    </row>
    <row r="309" ht="15.75" customHeight="1">
      <c r="A309" s="3">
        <v>918.0</v>
      </c>
      <c r="B309" s="4">
        <v>40584.0</v>
      </c>
      <c r="C309" s="3">
        <v>1.0</v>
      </c>
      <c r="D309" s="3">
        <v>0.0</v>
      </c>
      <c r="E309" s="3">
        <v>2.0</v>
      </c>
      <c r="F309" s="3">
        <v>18.0</v>
      </c>
      <c r="G309" s="3" t="b">
        <f t="shared" si="1"/>
        <v>0</v>
      </c>
      <c r="H309" s="3">
        <v>4.0</v>
      </c>
      <c r="I309" s="3">
        <v>1.0</v>
      </c>
      <c r="J309" s="3">
        <v>0.16</v>
      </c>
      <c r="K309" s="3">
        <v>0.1818</v>
      </c>
      <c r="L309" s="3">
        <v>0.28</v>
      </c>
      <c r="M309" s="3">
        <v>0.1343</v>
      </c>
      <c r="N309" s="3">
        <v>3.0</v>
      </c>
      <c r="O309" s="3">
        <v>157.0</v>
      </c>
      <c r="P309" s="3">
        <v>160.0</v>
      </c>
      <c r="Q309" s="8"/>
      <c r="R309" s="8">
        <f t="shared" si="2"/>
        <v>1</v>
      </c>
      <c r="S309" s="8">
        <f t="shared" si="3"/>
        <v>0</v>
      </c>
      <c r="T309" s="8" t="str">
        <f t="shared" si="4"/>
        <v>OK</v>
      </c>
      <c r="U309" s="8">
        <f t="shared" si="5"/>
        <v>0</v>
      </c>
      <c r="V309" s="8"/>
      <c r="W309" s="8"/>
      <c r="X309" s="8"/>
      <c r="Y309" s="8"/>
      <c r="Z309" s="8"/>
    </row>
    <row r="310" ht="15.75" customHeight="1">
      <c r="A310" s="3">
        <v>919.0</v>
      </c>
      <c r="B310" s="4">
        <v>40584.0</v>
      </c>
      <c r="C310" s="3">
        <v>1.0</v>
      </c>
      <c r="D310" s="3">
        <v>0.0</v>
      </c>
      <c r="E310" s="3">
        <v>2.0</v>
      </c>
      <c r="F310" s="3">
        <v>19.0</v>
      </c>
      <c r="G310" s="3" t="b">
        <f t="shared" si="1"/>
        <v>0</v>
      </c>
      <c r="H310" s="3">
        <v>4.0</v>
      </c>
      <c r="I310" s="3">
        <v>1.0</v>
      </c>
      <c r="J310" s="3">
        <v>0.14</v>
      </c>
      <c r="K310" s="3">
        <v>0.1667</v>
      </c>
      <c r="L310" s="3">
        <v>0.28</v>
      </c>
      <c r="M310" s="3">
        <v>0.1045</v>
      </c>
      <c r="N310" s="3">
        <v>2.0</v>
      </c>
      <c r="O310" s="3">
        <v>110.0</v>
      </c>
      <c r="P310" s="3">
        <v>112.0</v>
      </c>
      <c r="Q310" s="8"/>
      <c r="R310" s="8">
        <f t="shared" si="2"/>
        <v>1</v>
      </c>
      <c r="S310" s="8">
        <f t="shared" si="3"/>
        <v>0</v>
      </c>
      <c r="T310" s="8" t="str">
        <f t="shared" si="4"/>
        <v>OK</v>
      </c>
      <c r="U310" s="8">
        <f t="shared" si="5"/>
        <v>0</v>
      </c>
      <c r="V310" s="8"/>
      <c r="W310" s="8"/>
      <c r="X310" s="8"/>
      <c r="Y310" s="8"/>
      <c r="Z310" s="8"/>
    </row>
    <row r="311" ht="15.75" customHeight="1">
      <c r="A311" s="3">
        <v>920.0</v>
      </c>
      <c r="B311" s="4">
        <v>40584.0</v>
      </c>
      <c r="C311" s="3">
        <v>1.0</v>
      </c>
      <c r="D311" s="3">
        <v>0.0</v>
      </c>
      <c r="E311" s="3">
        <v>2.0</v>
      </c>
      <c r="F311" s="3">
        <v>20.0</v>
      </c>
      <c r="G311" s="3" t="b">
        <f t="shared" si="1"/>
        <v>0</v>
      </c>
      <c r="H311" s="3">
        <v>4.0</v>
      </c>
      <c r="I311" s="3">
        <v>1.0</v>
      </c>
      <c r="J311" s="3">
        <v>0.14</v>
      </c>
      <c r="K311" s="3">
        <v>0.1818</v>
      </c>
      <c r="L311" s="3">
        <v>0.31</v>
      </c>
      <c r="M311" s="3">
        <v>0.0896</v>
      </c>
      <c r="N311" s="3">
        <v>4.0</v>
      </c>
      <c r="O311" s="3">
        <v>93.0</v>
      </c>
      <c r="P311" s="3">
        <v>97.0</v>
      </c>
      <c r="Q311" s="8"/>
      <c r="R311" s="8">
        <f t="shared" si="2"/>
        <v>1</v>
      </c>
      <c r="S311" s="8">
        <f t="shared" si="3"/>
        <v>0</v>
      </c>
      <c r="T311" s="8" t="str">
        <f t="shared" si="4"/>
        <v>OK</v>
      </c>
      <c r="U311" s="8">
        <f t="shared" si="5"/>
        <v>0</v>
      </c>
      <c r="V311" s="8"/>
      <c r="W311" s="8"/>
      <c r="X311" s="8"/>
      <c r="Y311" s="8"/>
      <c r="Z311" s="8"/>
    </row>
    <row r="312" ht="15.75" customHeight="1">
      <c r="A312" s="3">
        <v>921.0</v>
      </c>
      <c r="B312" s="4">
        <v>40584.0</v>
      </c>
      <c r="C312" s="3">
        <v>1.0</v>
      </c>
      <c r="D312" s="3">
        <v>0.0</v>
      </c>
      <c r="E312" s="3">
        <v>2.0</v>
      </c>
      <c r="F312" s="3">
        <v>21.0</v>
      </c>
      <c r="G312" s="3" t="b">
        <f t="shared" si="1"/>
        <v>0</v>
      </c>
      <c r="H312" s="3">
        <v>4.0</v>
      </c>
      <c r="I312" s="3">
        <v>1.0</v>
      </c>
      <c r="J312" s="3">
        <v>0.14</v>
      </c>
      <c r="K312" s="3">
        <v>0.2121</v>
      </c>
      <c r="L312" s="3">
        <v>0.39</v>
      </c>
      <c r="M312" s="3">
        <v>0.0</v>
      </c>
      <c r="N312" s="3">
        <v>2.0</v>
      </c>
      <c r="O312" s="3">
        <v>70.0</v>
      </c>
      <c r="P312" s="3">
        <v>72.0</v>
      </c>
      <c r="Q312" s="8"/>
      <c r="R312" s="8">
        <f t="shared" si="2"/>
        <v>1</v>
      </c>
      <c r="S312" s="8">
        <f t="shared" si="3"/>
        <v>0</v>
      </c>
      <c r="T312" s="8" t="str">
        <f t="shared" si="4"/>
        <v>OK</v>
      </c>
      <c r="U312" s="8">
        <f t="shared" si="5"/>
        <v>0</v>
      </c>
      <c r="V312" s="8"/>
      <c r="W312" s="8"/>
      <c r="X312" s="8"/>
      <c r="Y312" s="8"/>
      <c r="Z312" s="8"/>
    </row>
    <row r="313" ht="15.75" customHeight="1">
      <c r="A313" s="3">
        <v>922.0</v>
      </c>
      <c r="B313" s="4">
        <v>40584.0</v>
      </c>
      <c r="C313" s="3">
        <v>1.0</v>
      </c>
      <c r="D313" s="3">
        <v>0.0</v>
      </c>
      <c r="E313" s="3">
        <v>2.0</v>
      </c>
      <c r="F313" s="3">
        <v>22.0</v>
      </c>
      <c r="G313" s="3" t="b">
        <f t="shared" si="1"/>
        <v>0</v>
      </c>
      <c r="H313" s="3">
        <v>4.0</v>
      </c>
      <c r="I313" s="3">
        <v>1.0</v>
      </c>
      <c r="J313" s="3">
        <v>0.12</v>
      </c>
      <c r="K313" s="3">
        <v>0.197</v>
      </c>
      <c r="L313" s="3">
        <v>0.39</v>
      </c>
      <c r="M313" s="3">
        <v>0.0</v>
      </c>
      <c r="N313" s="3">
        <v>4.0</v>
      </c>
      <c r="O313" s="3">
        <v>47.0</v>
      </c>
      <c r="P313" s="3">
        <v>51.0</v>
      </c>
      <c r="Q313" s="8"/>
      <c r="R313" s="8">
        <f t="shared" si="2"/>
        <v>1</v>
      </c>
      <c r="S313" s="8">
        <f t="shared" si="3"/>
        <v>0</v>
      </c>
      <c r="T313" s="8" t="str">
        <f t="shared" si="4"/>
        <v>OK</v>
      </c>
      <c r="U313" s="8">
        <f t="shared" si="5"/>
        <v>0</v>
      </c>
      <c r="V313" s="8"/>
      <c r="W313" s="8"/>
      <c r="X313" s="8"/>
      <c r="Y313" s="8"/>
      <c r="Z313" s="8"/>
    </row>
    <row r="314" ht="15.75" customHeight="1">
      <c r="A314" s="3">
        <v>923.0</v>
      </c>
      <c r="B314" s="4">
        <v>40584.0</v>
      </c>
      <c r="C314" s="3">
        <v>1.0</v>
      </c>
      <c r="D314" s="3">
        <v>0.0</v>
      </c>
      <c r="E314" s="3">
        <v>2.0</v>
      </c>
      <c r="F314" s="3">
        <v>23.0</v>
      </c>
      <c r="G314" s="3" t="b">
        <f t="shared" si="1"/>
        <v>0</v>
      </c>
      <c r="H314" s="3">
        <v>4.0</v>
      </c>
      <c r="I314" s="3">
        <v>1.0</v>
      </c>
      <c r="J314" s="3">
        <v>0.12</v>
      </c>
      <c r="K314" s="3">
        <v>0.1515</v>
      </c>
      <c r="L314" s="3">
        <v>0.42</v>
      </c>
      <c r="M314" s="3">
        <v>0.1045</v>
      </c>
      <c r="N314" s="3">
        <v>1.0</v>
      </c>
      <c r="O314" s="3">
        <v>33.0</v>
      </c>
      <c r="P314" s="3">
        <v>34.0</v>
      </c>
      <c r="Q314" s="8"/>
      <c r="R314" s="8">
        <f t="shared" si="2"/>
        <v>1</v>
      </c>
      <c r="S314" s="8">
        <f t="shared" si="3"/>
        <v>0</v>
      </c>
      <c r="T314" s="8" t="str">
        <f t="shared" si="4"/>
        <v>OK</v>
      </c>
      <c r="U314" s="8">
        <f t="shared" si="5"/>
        <v>0</v>
      </c>
      <c r="V314" s="8"/>
      <c r="W314" s="8"/>
      <c r="X314" s="8"/>
      <c r="Y314" s="8"/>
      <c r="Z314" s="8"/>
    </row>
    <row r="315" ht="15.75" customHeight="1">
      <c r="A315" s="3">
        <v>924.0</v>
      </c>
      <c r="B315" s="4">
        <v>40585.0</v>
      </c>
      <c r="C315" s="3">
        <v>1.0</v>
      </c>
      <c r="D315" s="3">
        <v>0.0</v>
      </c>
      <c r="E315" s="3">
        <v>2.0</v>
      </c>
      <c r="F315" s="3">
        <v>0.0</v>
      </c>
      <c r="G315" s="3" t="b">
        <f t="shared" si="1"/>
        <v>0</v>
      </c>
      <c r="H315" s="3">
        <v>5.0</v>
      </c>
      <c r="I315" s="3">
        <v>1.0</v>
      </c>
      <c r="J315" s="3">
        <v>0.1</v>
      </c>
      <c r="K315" s="3">
        <v>0.1364</v>
      </c>
      <c r="L315" s="3">
        <v>0.49</v>
      </c>
      <c r="M315" s="3">
        <v>0.1045</v>
      </c>
      <c r="N315" s="3">
        <v>2.0</v>
      </c>
      <c r="O315" s="3">
        <v>12.0</v>
      </c>
      <c r="P315" s="3">
        <v>14.0</v>
      </c>
      <c r="Q315" s="8"/>
      <c r="R315" s="8">
        <f t="shared" si="2"/>
        <v>1</v>
      </c>
      <c r="S315" s="8">
        <f t="shared" si="3"/>
        <v>0</v>
      </c>
      <c r="T315" s="8" t="str">
        <f t="shared" si="4"/>
        <v>OK</v>
      </c>
      <c r="U315" s="8">
        <f t="shared" si="5"/>
        <v>0</v>
      </c>
      <c r="V315" s="8"/>
      <c r="W315" s="8"/>
      <c r="X315" s="8"/>
      <c r="Y315" s="8"/>
      <c r="Z315" s="8"/>
    </row>
    <row r="316" ht="15.75" customHeight="1">
      <c r="A316" s="3">
        <v>925.0</v>
      </c>
      <c r="B316" s="4">
        <v>40585.0</v>
      </c>
      <c r="C316" s="3">
        <v>1.0</v>
      </c>
      <c r="D316" s="3">
        <v>0.0</v>
      </c>
      <c r="E316" s="3">
        <v>2.0</v>
      </c>
      <c r="F316" s="3">
        <v>1.0</v>
      </c>
      <c r="G316" s="3" t="b">
        <f t="shared" si="1"/>
        <v>0</v>
      </c>
      <c r="H316" s="3">
        <v>5.0</v>
      </c>
      <c r="I316" s="3">
        <v>1.0</v>
      </c>
      <c r="J316" s="3">
        <v>0.1</v>
      </c>
      <c r="K316" s="3">
        <v>0.1364</v>
      </c>
      <c r="L316" s="3">
        <v>0.54</v>
      </c>
      <c r="M316" s="3">
        <v>0.0896</v>
      </c>
      <c r="N316" s="3">
        <v>1.0</v>
      </c>
      <c r="O316" s="3">
        <v>6.0</v>
      </c>
      <c r="P316" s="3">
        <v>7.0</v>
      </c>
      <c r="Q316" s="8"/>
      <c r="R316" s="8">
        <f t="shared" si="2"/>
        <v>1</v>
      </c>
      <c r="S316" s="8">
        <f t="shared" si="3"/>
        <v>0</v>
      </c>
      <c r="T316" s="8" t="str">
        <f t="shared" si="4"/>
        <v>OK</v>
      </c>
      <c r="U316" s="8">
        <f t="shared" si="5"/>
        <v>0</v>
      </c>
      <c r="V316" s="8"/>
      <c r="W316" s="8"/>
      <c r="X316" s="8"/>
      <c r="Y316" s="8"/>
      <c r="Z316" s="8"/>
    </row>
    <row r="317" ht="15.75" customHeight="1">
      <c r="A317" s="3">
        <v>926.0</v>
      </c>
      <c r="B317" s="4">
        <v>40585.0</v>
      </c>
      <c r="C317" s="3">
        <v>1.0</v>
      </c>
      <c r="D317" s="3">
        <v>0.0</v>
      </c>
      <c r="E317" s="3">
        <v>2.0</v>
      </c>
      <c r="F317" s="3">
        <v>2.0</v>
      </c>
      <c r="G317" s="3" t="b">
        <f t="shared" si="1"/>
        <v>0</v>
      </c>
      <c r="H317" s="3">
        <v>5.0</v>
      </c>
      <c r="I317" s="3">
        <v>1.0</v>
      </c>
      <c r="J317" s="3">
        <v>0.1</v>
      </c>
      <c r="K317" s="3">
        <v>0.1364</v>
      </c>
      <c r="L317" s="3">
        <v>0.54</v>
      </c>
      <c r="M317" s="3">
        <v>0.0896</v>
      </c>
      <c r="N317" s="3">
        <v>0.0</v>
      </c>
      <c r="O317" s="3">
        <v>3.0</v>
      </c>
      <c r="P317" s="3">
        <v>3.0</v>
      </c>
      <c r="Q317" s="8"/>
      <c r="R317" s="8">
        <f t="shared" si="2"/>
        <v>1</v>
      </c>
      <c r="S317" s="8">
        <f t="shared" si="3"/>
        <v>0</v>
      </c>
      <c r="T317" s="8" t="str">
        <f t="shared" si="4"/>
        <v>OK</v>
      </c>
      <c r="U317" s="8">
        <f t="shared" si="5"/>
        <v>0</v>
      </c>
      <c r="V317" s="8"/>
      <c r="W317" s="8"/>
      <c r="X317" s="8"/>
      <c r="Y317" s="8"/>
      <c r="Z317" s="8"/>
    </row>
    <row r="318" ht="15.75" customHeight="1">
      <c r="A318" s="3">
        <v>927.0</v>
      </c>
      <c r="B318" s="4">
        <v>40585.0</v>
      </c>
      <c r="C318" s="3">
        <v>1.0</v>
      </c>
      <c r="D318" s="3">
        <v>0.0</v>
      </c>
      <c r="E318" s="3">
        <v>2.0</v>
      </c>
      <c r="F318" s="3">
        <v>5.0</v>
      </c>
      <c r="G318" s="3" t="b">
        <f t="shared" si="1"/>
        <v>0</v>
      </c>
      <c r="H318" s="3">
        <v>5.0</v>
      </c>
      <c r="I318" s="3">
        <v>1.0</v>
      </c>
      <c r="J318" s="3">
        <v>0.08</v>
      </c>
      <c r="K318" s="3">
        <v>0.1212</v>
      </c>
      <c r="L318" s="3">
        <v>0.63</v>
      </c>
      <c r="M318" s="3">
        <v>0.0896</v>
      </c>
      <c r="N318" s="3">
        <v>0.0</v>
      </c>
      <c r="O318" s="3">
        <v>4.0</v>
      </c>
      <c r="P318" s="3">
        <v>4.0</v>
      </c>
      <c r="Q318" s="8"/>
      <c r="R318" s="8">
        <f t="shared" si="2"/>
        <v>1</v>
      </c>
      <c r="S318" s="8">
        <f t="shared" si="3"/>
        <v>0</v>
      </c>
      <c r="T318" s="8" t="str">
        <f t="shared" si="4"/>
        <v>OK</v>
      </c>
      <c r="U318" s="8">
        <f t="shared" si="5"/>
        <v>0</v>
      </c>
      <c r="V318" s="8"/>
      <c r="W318" s="8"/>
      <c r="X318" s="8"/>
      <c r="Y318" s="8"/>
      <c r="Z318" s="8"/>
    </row>
    <row r="319" ht="15.75" customHeight="1">
      <c r="A319" s="3">
        <v>928.0</v>
      </c>
      <c r="B319" s="4">
        <v>40585.0</v>
      </c>
      <c r="C319" s="3">
        <v>1.0</v>
      </c>
      <c r="D319" s="3">
        <v>0.0</v>
      </c>
      <c r="E319" s="3">
        <v>2.0</v>
      </c>
      <c r="F319" s="3">
        <v>6.0</v>
      </c>
      <c r="G319" s="3" t="b">
        <f t="shared" si="1"/>
        <v>0</v>
      </c>
      <c r="H319" s="3">
        <v>5.0</v>
      </c>
      <c r="I319" s="3">
        <v>1.0</v>
      </c>
      <c r="J319" s="3">
        <v>0.1</v>
      </c>
      <c r="K319" s="3">
        <v>0.1818</v>
      </c>
      <c r="L319" s="3">
        <v>0.68</v>
      </c>
      <c r="M319" s="3">
        <v>0.0</v>
      </c>
      <c r="N319" s="3">
        <v>1.0</v>
      </c>
      <c r="O319" s="3">
        <v>23.0</v>
      </c>
      <c r="P319" s="3">
        <v>24.0</v>
      </c>
      <c r="Q319" s="8"/>
      <c r="R319" s="8">
        <f t="shared" si="2"/>
        <v>1</v>
      </c>
      <c r="S319" s="8">
        <f t="shared" si="3"/>
        <v>0</v>
      </c>
      <c r="T319" s="8" t="str">
        <f t="shared" si="4"/>
        <v>OK</v>
      </c>
      <c r="U319" s="8">
        <f t="shared" si="5"/>
        <v>0</v>
      </c>
      <c r="V319" s="8"/>
      <c r="W319" s="8"/>
      <c r="X319" s="8"/>
      <c r="Y319" s="8"/>
      <c r="Z319" s="8"/>
    </row>
    <row r="320" ht="15.75" customHeight="1">
      <c r="A320" s="3">
        <v>929.0</v>
      </c>
      <c r="B320" s="4">
        <v>40585.0</v>
      </c>
      <c r="C320" s="3">
        <v>1.0</v>
      </c>
      <c r="D320" s="3">
        <v>0.0</v>
      </c>
      <c r="E320" s="3">
        <v>2.0</v>
      </c>
      <c r="F320" s="3">
        <v>7.0</v>
      </c>
      <c r="G320" s="3" t="b">
        <f t="shared" si="1"/>
        <v>0</v>
      </c>
      <c r="H320" s="3">
        <v>5.0</v>
      </c>
      <c r="I320" s="3">
        <v>1.0</v>
      </c>
      <c r="J320" s="3">
        <v>0.08</v>
      </c>
      <c r="K320" s="3">
        <v>0.1667</v>
      </c>
      <c r="L320" s="3">
        <v>0.73</v>
      </c>
      <c r="M320" s="3">
        <v>0.0</v>
      </c>
      <c r="N320" s="3">
        <v>1.0</v>
      </c>
      <c r="O320" s="3">
        <v>73.0</v>
      </c>
      <c r="P320" s="3">
        <v>74.0</v>
      </c>
      <c r="Q320" s="8"/>
      <c r="R320" s="8">
        <f t="shared" si="2"/>
        <v>1</v>
      </c>
      <c r="S320" s="8">
        <f t="shared" si="3"/>
        <v>0</v>
      </c>
      <c r="T320" s="8" t="str">
        <f t="shared" si="4"/>
        <v>OK</v>
      </c>
      <c r="U320" s="8">
        <f t="shared" si="5"/>
        <v>0</v>
      </c>
      <c r="V320" s="8"/>
      <c r="W320" s="8"/>
      <c r="X320" s="8"/>
      <c r="Y320" s="8"/>
      <c r="Z320" s="8"/>
    </row>
    <row r="321" ht="15.75" customHeight="1">
      <c r="A321" s="3">
        <v>930.0</v>
      </c>
      <c r="B321" s="4">
        <v>40585.0</v>
      </c>
      <c r="C321" s="3">
        <v>1.0</v>
      </c>
      <c r="D321" s="3">
        <v>0.0</v>
      </c>
      <c r="E321" s="3">
        <v>2.0</v>
      </c>
      <c r="F321" s="3">
        <v>8.0</v>
      </c>
      <c r="G321" s="3" t="b">
        <f t="shared" si="1"/>
        <v>0</v>
      </c>
      <c r="H321" s="3">
        <v>5.0</v>
      </c>
      <c r="I321" s="3">
        <v>1.0</v>
      </c>
      <c r="J321" s="3">
        <v>0.1</v>
      </c>
      <c r="K321" s="3">
        <v>0.1212</v>
      </c>
      <c r="L321" s="3">
        <v>0.74</v>
      </c>
      <c r="M321" s="3">
        <v>0.1642</v>
      </c>
      <c r="N321" s="3">
        <v>4.0</v>
      </c>
      <c r="O321" s="3">
        <v>212.0</v>
      </c>
      <c r="P321" s="3">
        <v>216.0</v>
      </c>
      <c r="Q321" s="8"/>
      <c r="R321" s="8">
        <f t="shared" si="2"/>
        <v>1</v>
      </c>
      <c r="S321" s="8">
        <f t="shared" si="3"/>
        <v>0</v>
      </c>
      <c r="T321" s="8" t="str">
        <f t="shared" si="4"/>
        <v>OK</v>
      </c>
      <c r="U321" s="8">
        <f t="shared" si="5"/>
        <v>0</v>
      </c>
      <c r="V321" s="8"/>
      <c r="W321" s="8"/>
      <c r="X321" s="8"/>
      <c r="Y321" s="8"/>
      <c r="Z321" s="8"/>
    </row>
    <row r="322" ht="15.75" customHeight="1">
      <c r="A322" s="3">
        <v>931.0</v>
      </c>
      <c r="B322" s="4">
        <v>40585.0</v>
      </c>
      <c r="C322" s="3">
        <v>1.0</v>
      </c>
      <c r="D322" s="3">
        <v>0.0</v>
      </c>
      <c r="E322" s="3">
        <v>2.0</v>
      </c>
      <c r="F322" s="3">
        <v>9.0</v>
      </c>
      <c r="G322" s="3" t="b">
        <f t="shared" si="1"/>
        <v>0</v>
      </c>
      <c r="H322" s="3">
        <v>5.0</v>
      </c>
      <c r="I322" s="3">
        <v>1.0</v>
      </c>
      <c r="J322" s="3">
        <v>0.12</v>
      </c>
      <c r="K322" s="3">
        <v>0.1212</v>
      </c>
      <c r="L322" s="3">
        <v>0.74</v>
      </c>
      <c r="M322" s="3">
        <v>0.2239</v>
      </c>
      <c r="N322" s="3">
        <v>8.0</v>
      </c>
      <c r="O322" s="3">
        <v>132.0</v>
      </c>
      <c r="P322" s="3">
        <v>140.0</v>
      </c>
      <c r="Q322" s="8"/>
      <c r="R322" s="8">
        <f t="shared" si="2"/>
        <v>1</v>
      </c>
      <c r="S322" s="8">
        <f t="shared" si="3"/>
        <v>0</v>
      </c>
      <c r="T322" s="8" t="str">
        <f t="shared" si="4"/>
        <v>OK</v>
      </c>
      <c r="U322" s="8">
        <f t="shared" si="5"/>
        <v>0</v>
      </c>
      <c r="V322" s="8"/>
      <c r="W322" s="8"/>
      <c r="X322" s="8"/>
      <c r="Y322" s="8"/>
      <c r="Z322" s="8"/>
    </row>
    <row r="323" ht="15.75" customHeight="1">
      <c r="A323" s="3">
        <v>932.0</v>
      </c>
      <c r="B323" s="4">
        <v>40585.0</v>
      </c>
      <c r="C323" s="3">
        <v>1.0</v>
      </c>
      <c r="D323" s="3">
        <v>0.0</v>
      </c>
      <c r="E323" s="3">
        <v>2.0</v>
      </c>
      <c r="F323" s="3">
        <v>10.0</v>
      </c>
      <c r="G323" s="3" t="b">
        <f t="shared" si="1"/>
        <v>0</v>
      </c>
      <c r="H323" s="3">
        <v>5.0</v>
      </c>
      <c r="I323" s="3">
        <v>1.0</v>
      </c>
      <c r="J323" s="3">
        <v>0.14</v>
      </c>
      <c r="K323" s="3">
        <v>0.1364</v>
      </c>
      <c r="L323" s="3">
        <v>0.69</v>
      </c>
      <c r="M323" s="3">
        <v>0.194</v>
      </c>
      <c r="N323" s="3">
        <v>5.0</v>
      </c>
      <c r="O323" s="3">
        <v>39.0</v>
      </c>
      <c r="P323" s="3">
        <v>44.0</v>
      </c>
      <c r="Q323" s="8"/>
      <c r="R323" s="8">
        <f t="shared" si="2"/>
        <v>1</v>
      </c>
      <c r="S323" s="8">
        <f t="shared" si="3"/>
        <v>0</v>
      </c>
      <c r="T323" s="8" t="str">
        <f t="shared" si="4"/>
        <v>OK</v>
      </c>
      <c r="U323" s="8">
        <f t="shared" si="5"/>
        <v>0</v>
      </c>
      <c r="V323" s="8"/>
      <c r="W323" s="8"/>
      <c r="X323" s="8"/>
      <c r="Y323" s="8"/>
      <c r="Z323" s="8"/>
    </row>
    <row r="324" ht="15.75" customHeight="1">
      <c r="A324" s="3">
        <v>933.0</v>
      </c>
      <c r="B324" s="4">
        <v>40585.0</v>
      </c>
      <c r="C324" s="3">
        <v>1.0</v>
      </c>
      <c r="D324" s="3">
        <v>0.0</v>
      </c>
      <c r="E324" s="3">
        <v>2.0</v>
      </c>
      <c r="F324" s="3">
        <v>11.0</v>
      </c>
      <c r="G324" s="3" t="b">
        <f t="shared" si="1"/>
        <v>0</v>
      </c>
      <c r="H324" s="3">
        <v>5.0</v>
      </c>
      <c r="I324" s="3">
        <v>1.0</v>
      </c>
      <c r="J324" s="3">
        <v>0.22</v>
      </c>
      <c r="K324" s="3">
        <v>0.2273</v>
      </c>
      <c r="L324" s="3">
        <v>0.47</v>
      </c>
      <c r="M324" s="3">
        <v>0.1343</v>
      </c>
      <c r="N324" s="3">
        <v>12.0</v>
      </c>
      <c r="O324" s="3">
        <v>52.0</v>
      </c>
      <c r="P324" s="3">
        <v>64.0</v>
      </c>
      <c r="Q324" s="8"/>
      <c r="R324" s="8">
        <f t="shared" si="2"/>
        <v>1</v>
      </c>
      <c r="S324" s="8">
        <f t="shared" si="3"/>
        <v>0</v>
      </c>
      <c r="T324" s="8" t="str">
        <f t="shared" si="4"/>
        <v>OK</v>
      </c>
      <c r="U324" s="8">
        <f t="shared" si="5"/>
        <v>0</v>
      </c>
      <c r="V324" s="8"/>
      <c r="W324" s="8"/>
      <c r="X324" s="8"/>
      <c r="Y324" s="8"/>
      <c r="Z324" s="8"/>
    </row>
    <row r="325" ht="15.75" customHeight="1">
      <c r="A325" s="3">
        <v>934.0</v>
      </c>
      <c r="B325" s="4">
        <v>40585.0</v>
      </c>
      <c r="C325" s="3">
        <v>1.0</v>
      </c>
      <c r="D325" s="3">
        <v>0.0</v>
      </c>
      <c r="E325" s="3">
        <v>2.0</v>
      </c>
      <c r="F325" s="3">
        <v>12.0</v>
      </c>
      <c r="G325" s="3" t="b">
        <f t="shared" si="1"/>
        <v>0</v>
      </c>
      <c r="H325" s="3">
        <v>5.0</v>
      </c>
      <c r="I325" s="3">
        <v>1.0</v>
      </c>
      <c r="J325" s="3">
        <v>0.22</v>
      </c>
      <c r="K325" s="3">
        <v>0.2273</v>
      </c>
      <c r="L325" s="3">
        <v>0.47</v>
      </c>
      <c r="M325" s="3">
        <v>0.1343</v>
      </c>
      <c r="N325" s="3">
        <v>7.0</v>
      </c>
      <c r="O325" s="3">
        <v>64.0</v>
      </c>
      <c r="P325" s="3">
        <v>71.0</v>
      </c>
      <c r="Q325" s="8"/>
      <c r="R325" s="8">
        <f t="shared" si="2"/>
        <v>1</v>
      </c>
      <c r="S325" s="8">
        <f t="shared" si="3"/>
        <v>0</v>
      </c>
      <c r="T325" s="8" t="str">
        <f t="shared" si="4"/>
        <v>OK</v>
      </c>
      <c r="U325" s="8">
        <f t="shared" si="5"/>
        <v>0</v>
      </c>
      <c r="V325" s="8"/>
      <c r="W325" s="8"/>
      <c r="X325" s="8"/>
      <c r="Y325" s="8"/>
      <c r="Z325" s="8"/>
    </row>
    <row r="326" ht="15.75" customHeight="1">
      <c r="A326" s="3">
        <v>935.0</v>
      </c>
      <c r="B326" s="4">
        <v>40585.0</v>
      </c>
      <c r="C326" s="3">
        <v>1.0</v>
      </c>
      <c r="D326" s="3">
        <v>0.0</v>
      </c>
      <c r="E326" s="3">
        <v>2.0</v>
      </c>
      <c r="F326" s="3">
        <v>13.0</v>
      </c>
      <c r="G326" s="3" t="b">
        <f t="shared" si="1"/>
        <v>0</v>
      </c>
      <c r="H326" s="3">
        <v>5.0</v>
      </c>
      <c r="I326" s="3">
        <v>1.0</v>
      </c>
      <c r="J326" s="3">
        <v>0.24</v>
      </c>
      <c r="K326" s="3">
        <v>0.2273</v>
      </c>
      <c r="L326" s="3">
        <v>0.35</v>
      </c>
      <c r="M326" s="3">
        <v>0.194</v>
      </c>
      <c r="N326" s="3">
        <v>21.0</v>
      </c>
      <c r="O326" s="3">
        <v>89.0</v>
      </c>
      <c r="P326" s="3">
        <v>110.0</v>
      </c>
      <c r="Q326" s="8"/>
      <c r="R326" s="8">
        <f t="shared" si="2"/>
        <v>1</v>
      </c>
      <c r="S326" s="8">
        <f t="shared" si="3"/>
        <v>0</v>
      </c>
      <c r="T326" s="8" t="str">
        <f t="shared" si="4"/>
        <v>OK</v>
      </c>
      <c r="U326" s="8">
        <f t="shared" si="5"/>
        <v>0</v>
      </c>
      <c r="V326" s="8"/>
      <c r="W326" s="8"/>
      <c r="X326" s="8"/>
      <c r="Y326" s="8"/>
      <c r="Z326" s="8"/>
    </row>
    <row r="327" ht="15.75" customHeight="1">
      <c r="A327" s="3">
        <v>936.0</v>
      </c>
      <c r="B327" s="4">
        <v>40585.0</v>
      </c>
      <c r="C327" s="3">
        <v>1.0</v>
      </c>
      <c r="D327" s="3">
        <v>0.0</v>
      </c>
      <c r="E327" s="3">
        <v>2.0</v>
      </c>
      <c r="F327" s="3">
        <v>14.0</v>
      </c>
      <c r="G327" s="3" t="b">
        <f t="shared" si="1"/>
        <v>0</v>
      </c>
      <c r="H327" s="3">
        <v>5.0</v>
      </c>
      <c r="I327" s="3">
        <v>1.0</v>
      </c>
      <c r="J327" s="3">
        <v>0.3</v>
      </c>
      <c r="K327" s="3">
        <v>0.2879</v>
      </c>
      <c r="L327" s="3">
        <v>0.26</v>
      </c>
      <c r="M327" s="3">
        <v>0.2537</v>
      </c>
      <c r="N327" s="3">
        <v>17.0</v>
      </c>
      <c r="O327" s="3">
        <v>67.0</v>
      </c>
      <c r="P327" s="3">
        <v>84.0</v>
      </c>
      <c r="Q327" s="8"/>
      <c r="R327" s="8">
        <f t="shared" si="2"/>
        <v>1</v>
      </c>
      <c r="S327" s="8">
        <f t="shared" si="3"/>
        <v>0</v>
      </c>
      <c r="T327" s="8" t="str">
        <f t="shared" si="4"/>
        <v>OK</v>
      </c>
      <c r="U327" s="8">
        <f t="shared" si="5"/>
        <v>0</v>
      </c>
      <c r="V327" s="8"/>
      <c r="W327" s="8"/>
      <c r="X327" s="8"/>
      <c r="Y327" s="8"/>
      <c r="Z327" s="8"/>
    </row>
    <row r="328" ht="15.75" customHeight="1">
      <c r="A328" s="3">
        <v>937.0</v>
      </c>
      <c r="B328" s="4">
        <v>40585.0</v>
      </c>
      <c r="C328" s="3">
        <v>1.0</v>
      </c>
      <c r="D328" s="3">
        <v>0.0</v>
      </c>
      <c r="E328" s="3">
        <v>2.0</v>
      </c>
      <c r="F328" s="3">
        <v>15.0</v>
      </c>
      <c r="G328" s="3" t="b">
        <f t="shared" si="1"/>
        <v>0</v>
      </c>
      <c r="H328" s="3">
        <v>5.0</v>
      </c>
      <c r="I328" s="3">
        <v>1.0</v>
      </c>
      <c r="J328" s="3">
        <v>0.32</v>
      </c>
      <c r="K328" s="3">
        <v>0.3182</v>
      </c>
      <c r="L328" s="3">
        <v>0.21</v>
      </c>
      <c r="M328" s="3">
        <v>0.1642</v>
      </c>
      <c r="N328" s="3">
        <v>12.0</v>
      </c>
      <c r="O328" s="3">
        <v>62.0</v>
      </c>
      <c r="P328" s="3">
        <v>74.0</v>
      </c>
      <c r="Q328" s="8"/>
      <c r="R328" s="8">
        <f t="shared" si="2"/>
        <v>1</v>
      </c>
      <c r="S328" s="8">
        <f t="shared" si="3"/>
        <v>0</v>
      </c>
      <c r="T328" s="8" t="str">
        <f t="shared" si="4"/>
        <v>OK</v>
      </c>
      <c r="U328" s="8">
        <f t="shared" si="5"/>
        <v>0</v>
      </c>
      <c r="V328" s="8"/>
      <c r="W328" s="8"/>
      <c r="X328" s="8"/>
      <c r="Y328" s="8"/>
      <c r="Z328" s="8"/>
    </row>
    <row r="329" ht="15.75" customHeight="1">
      <c r="A329" s="3">
        <v>938.0</v>
      </c>
      <c r="B329" s="4">
        <v>40585.0</v>
      </c>
      <c r="C329" s="3">
        <v>1.0</v>
      </c>
      <c r="D329" s="3">
        <v>0.0</v>
      </c>
      <c r="E329" s="3">
        <v>2.0</v>
      </c>
      <c r="F329" s="3">
        <v>16.0</v>
      </c>
      <c r="G329" s="3" t="b">
        <f t="shared" si="1"/>
        <v>0</v>
      </c>
      <c r="H329" s="3">
        <v>5.0</v>
      </c>
      <c r="I329" s="3">
        <v>1.0</v>
      </c>
      <c r="J329" s="3">
        <v>0.3</v>
      </c>
      <c r="K329" s="3">
        <v>0.2879</v>
      </c>
      <c r="L329" s="3">
        <v>0.28</v>
      </c>
      <c r="M329" s="3">
        <v>0.194</v>
      </c>
      <c r="N329" s="3">
        <v>14.0</v>
      </c>
      <c r="O329" s="3">
        <v>111.0</v>
      </c>
      <c r="P329" s="3">
        <v>125.0</v>
      </c>
      <c r="Q329" s="8"/>
      <c r="R329" s="8">
        <f t="shared" si="2"/>
        <v>1</v>
      </c>
      <c r="S329" s="8">
        <f t="shared" si="3"/>
        <v>0</v>
      </c>
      <c r="T329" s="8" t="str">
        <f t="shared" si="4"/>
        <v>OK</v>
      </c>
      <c r="U329" s="8">
        <f t="shared" si="5"/>
        <v>0</v>
      </c>
      <c r="V329" s="8"/>
      <c r="W329" s="8"/>
      <c r="X329" s="8"/>
      <c r="Y329" s="8"/>
      <c r="Z329" s="8"/>
    </row>
    <row r="330" ht="15.75" customHeight="1">
      <c r="A330" s="3">
        <v>939.0</v>
      </c>
      <c r="B330" s="4">
        <v>40585.0</v>
      </c>
      <c r="C330" s="3">
        <v>1.0</v>
      </c>
      <c r="D330" s="3">
        <v>0.0</v>
      </c>
      <c r="E330" s="3">
        <v>2.0</v>
      </c>
      <c r="F330" s="3">
        <v>17.0</v>
      </c>
      <c r="G330" s="3" t="b">
        <f t="shared" si="1"/>
        <v>0</v>
      </c>
      <c r="H330" s="3">
        <v>5.0</v>
      </c>
      <c r="I330" s="3">
        <v>1.0</v>
      </c>
      <c r="J330" s="3">
        <v>0.3</v>
      </c>
      <c r="K330" s="3">
        <v>0.3333</v>
      </c>
      <c r="L330" s="3">
        <v>0.24</v>
      </c>
      <c r="M330" s="3">
        <v>0.0</v>
      </c>
      <c r="N330" s="3">
        <v>18.0</v>
      </c>
      <c r="O330" s="3">
        <v>193.0</v>
      </c>
      <c r="P330" s="3">
        <v>211.0</v>
      </c>
      <c r="Q330" s="8"/>
      <c r="R330" s="8">
        <f t="shared" si="2"/>
        <v>1</v>
      </c>
      <c r="S330" s="8">
        <f t="shared" si="3"/>
        <v>0</v>
      </c>
      <c r="T330" s="8" t="str">
        <f t="shared" si="4"/>
        <v>OK</v>
      </c>
      <c r="U330" s="8">
        <f t="shared" si="5"/>
        <v>0</v>
      </c>
      <c r="V330" s="8"/>
      <c r="W330" s="8"/>
      <c r="X330" s="8"/>
      <c r="Y330" s="8"/>
      <c r="Z330" s="8"/>
    </row>
    <row r="331" ht="15.75" customHeight="1">
      <c r="A331" s="3">
        <v>940.0</v>
      </c>
      <c r="B331" s="4">
        <v>40585.0</v>
      </c>
      <c r="C331" s="3">
        <v>1.0</v>
      </c>
      <c r="D331" s="3">
        <v>0.0</v>
      </c>
      <c r="E331" s="3">
        <v>2.0</v>
      </c>
      <c r="F331" s="3">
        <v>18.0</v>
      </c>
      <c r="G331" s="3" t="b">
        <f t="shared" si="1"/>
        <v>0</v>
      </c>
      <c r="H331" s="3">
        <v>5.0</v>
      </c>
      <c r="I331" s="3">
        <v>1.0</v>
      </c>
      <c r="J331" s="3">
        <v>0.28</v>
      </c>
      <c r="K331" s="3">
        <v>0.3182</v>
      </c>
      <c r="L331" s="3">
        <v>0.28</v>
      </c>
      <c r="M331" s="3">
        <v>0.0</v>
      </c>
      <c r="N331" s="3">
        <v>9.0</v>
      </c>
      <c r="O331" s="3">
        <v>165.0</v>
      </c>
      <c r="P331" s="3">
        <v>174.0</v>
      </c>
      <c r="Q331" s="8"/>
      <c r="R331" s="8">
        <f t="shared" si="2"/>
        <v>1</v>
      </c>
      <c r="S331" s="8">
        <f t="shared" si="3"/>
        <v>0</v>
      </c>
      <c r="T331" s="8" t="str">
        <f t="shared" si="4"/>
        <v>OK</v>
      </c>
      <c r="U331" s="8">
        <f t="shared" si="5"/>
        <v>0</v>
      </c>
      <c r="V331" s="8"/>
      <c r="W331" s="8"/>
      <c r="X331" s="8"/>
      <c r="Y331" s="8"/>
      <c r="Z331" s="8"/>
    </row>
    <row r="332" ht="15.75" customHeight="1">
      <c r="A332" s="3">
        <v>941.0</v>
      </c>
      <c r="B332" s="4">
        <v>40585.0</v>
      </c>
      <c r="C332" s="3">
        <v>1.0</v>
      </c>
      <c r="D332" s="3">
        <v>0.0</v>
      </c>
      <c r="E332" s="3">
        <v>2.0</v>
      </c>
      <c r="F332" s="3">
        <v>19.0</v>
      </c>
      <c r="G332" s="3" t="b">
        <f t="shared" si="1"/>
        <v>0</v>
      </c>
      <c r="H332" s="3">
        <v>5.0</v>
      </c>
      <c r="I332" s="3">
        <v>1.0</v>
      </c>
      <c r="J332" s="3">
        <v>0.26</v>
      </c>
      <c r="K332" s="3">
        <v>0.303</v>
      </c>
      <c r="L332" s="3">
        <v>0.33</v>
      </c>
      <c r="M332" s="3">
        <v>0.0</v>
      </c>
      <c r="N332" s="3">
        <v>7.0</v>
      </c>
      <c r="O332" s="3">
        <v>94.0</v>
      </c>
      <c r="P332" s="3">
        <v>101.0</v>
      </c>
      <c r="Q332" s="8"/>
      <c r="R332" s="8">
        <f t="shared" si="2"/>
        <v>1</v>
      </c>
      <c r="S332" s="8">
        <f t="shared" si="3"/>
        <v>0</v>
      </c>
      <c r="T332" s="8" t="str">
        <f t="shared" si="4"/>
        <v>OK</v>
      </c>
      <c r="U332" s="8">
        <f t="shared" si="5"/>
        <v>0</v>
      </c>
      <c r="V332" s="8"/>
      <c r="W332" s="8"/>
      <c r="X332" s="8"/>
      <c r="Y332" s="8"/>
      <c r="Z332" s="8"/>
    </row>
    <row r="333" ht="15.75" customHeight="1">
      <c r="A333" s="3">
        <v>942.0</v>
      </c>
      <c r="B333" s="4">
        <v>40585.0</v>
      </c>
      <c r="C333" s="3">
        <v>1.0</v>
      </c>
      <c r="D333" s="3">
        <v>0.0</v>
      </c>
      <c r="E333" s="3">
        <v>2.0</v>
      </c>
      <c r="F333" s="3">
        <v>20.0</v>
      </c>
      <c r="G333" s="3" t="b">
        <f t="shared" si="1"/>
        <v>0</v>
      </c>
      <c r="H333" s="3">
        <v>5.0</v>
      </c>
      <c r="I333" s="3">
        <v>1.0</v>
      </c>
      <c r="J333" s="3">
        <v>0.22</v>
      </c>
      <c r="K333" s="3">
        <v>0.2273</v>
      </c>
      <c r="L333" s="3">
        <v>0.55</v>
      </c>
      <c r="M333" s="3">
        <v>0.1343</v>
      </c>
      <c r="N333" s="3">
        <v>2.0</v>
      </c>
      <c r="O333" s="3">
        <v>61.0</v>
      </c>
      <c r="P333" s="3">
        <v>63.0</v>
      </c>
      <c r="Q333" s="8"/>
      <c r="R333" s="8">
        <f t="shared" si="2"/>
        <v>1</v>
      </c>
      <c r="S333" s="8">
        <f t="shared" si="3"/>
        <v>0</v>
      </c>
      <c r="T333" s="8" t="str">
        <f t="shared" si="4"/>
        <v>OK</v>
      </c>
      <c r="U333" s="8">
        <f t="shared" si="5"/>
        <v>0</v>
      </c>
      <c r="V333" s="8"/>
      <c r="W333" s="8"/>
      <c r="X333" s="8"/>
      <c r="Y333" s="8"/>
      <c r="Z333" s="8"/>
    </row>
    <row r="334" ht="15.75" customHeight="1">
      <c r="A334" s="3">
        <v>943.0</v>
      </c>
      <c r="B334" s="4">
        <v>40585.0</v>
      </c>
      <c r="C334" s="3">
        <v>1.0</v>
      </c>
      <c r="D334" s="3">
        <v>0.0</v>
      </c>
      <c r="E334" s="3">
        <v>2.0</v>
      </c>
      <c r="F334" s="3">
        <v>21.0</v>
      </c>
      <c r="G334" s="3" t="b">
        <f t="shared" si="1"/>
        <v>0</v>
      </c>
      <c r="H334" s="3">
        <v>5.0</v>
      </c>
      <c r="I334" s="3">
        <v>1.0</v>
      </c>
      <c r="J334" s="3">
        <v>0.2</v>
      </c>
      <c r="K334" s="3">
        <v>0.2121</v>
      </c>
      <c r="L334" s="3">
        <v>0.59</v>
      </c>
      <c r="M334" s="3">
        <v>0.1343</v>
      </c>
      <c r="N334" s="3">
        <v>1.0</v>
      </c>
      <c r="O334" s="3">
        <v>46.0</v>
      </c>
      <c r="P334" s="3">
        <v>47.0</v>
      </c>
      <c r="Q334" s="8"/>
      <c r="R334" s="8">
        <f t="shared" si="2"/>
        <v>1</v>
      </c>
      <c r="S334" s="8">
        <f t="shared" si="3"/>
        <v>0</v>
      </c>
      <c r="T334" s="8" t="str">
        <f t="shared" si="4"/>
        <v>OK</v>
      </c>
      <c r="U334" s="8">
        <f t="shared" si="5"/>
        <v>0</v>
      </c>
      <c r="V334" s="8"/>
      <c r="W334" s="8"/>
      <c r="X334" s="8"/>
      <c r="Y334" s="8"/>
      <c r="Z334" s="8"/>
    </row>
    <row r="335" ht="15.75" customHeight="1">
      <c r="A335" s="3">
        <v>944.0</v>
      </c>
      <c r="B335" s="4">
        <v>40585.0</v>
      </c>
      <c r="C335" s="3">
        <v>1.0</v>
      </c>
      <c r="D335" s="3">
        <v>0.0</v>
      </c>
      <c r="E335" s="3">
        <v>2.0</v>
      </c>
      <c r="F335" s="3">
        <v>22.0</v>
      </c>
      <c r="G335" s="3" t="b">
        <f t="shared" si="1"/>
        <v>0</v>
      </c>
      <c r="H335" s="3">
        <v>5.0</v>
      </c>
      <c r="I335" s="3">
        <v>1.0</v>
      </c>
      <c r="J335" s="3">
        <v>0.2</v>
      </c>
      <c r="K335" s="3">
        <v>0.2273</v>
      </c>
      <c r="L335" s="3">
        <v>0.64</v>
      </c>
      <c r="M335" s="3">
        <v>0.0896</v>
      </c>
      <c r="N335" s="3">
        <v>2.0</v>
      </c>
      <c r="O335" s="3">
        <v>41.0</v>
      </c>
      <c r="P335" s="3">
        <v>43.0</v>
      </c>
      <c r="Q335" s="8"/>
      <c r="R335" s="8">
        <f t="shared" si="2"/>
        <v>1</v>
      </c>
      <c r="S335" s="8">
        <f t="shared" si="3"/>
        <v>0</v>
      </c>
      <c r="T335" s="8" t="str">
        <f t="shared" si="4"/>
        <v>OK</v>
      </c>
      <c r="U335" s="8">
        <f t="shared" si="5"/>
        <v>0</v>
      </c>
      <c r="V335" s="8"/>
      <c r="W335" s="8"/>
      <c r="X335" s="8"/>
      <c r="Y335" s="8"/>
      <c r="Z335" s="8"/>
    </row>
    <row r="336" ht="15.75" customHeight="1">
      <c r="A336" s="3">
        <v>945.0</v>
      </c>
      <c r="B336" s="4">
        <v>40585.0</v>
      </c>
      <c r="C336" s="3">
        <v>1.0</v>
      </c>
      <c r="D336" s="3">
        <v>0.0</v>
      </c>
      <c r="E336" s="3">
        <v>2.0</v>
      </c>
      <c r="F336" s="3">
        <v>23.0</v>
      </c>
      <c r="G336" s="3" t="b">
        <f t="shared" si="1"/>
        <v>0</v>
      </c>
      <c r="H336" s="3">
        <v>5.0</v>
      </c>
      <c r="I336" s="3">
        <v>1.0</v>
      </c>
      <c r="J336" s="3">
        <v>0.18</v>
      </c>
      <c r="K336" s="3">
        <v>0.2424</v>
      </c>
      <c r="L336" s="3">
        <v>0.69</v>
      </c>
      <c r="M336" s="3">
        <v>0.0</v>
      </c>
      <c r="N336" s="3">
        <v>5.0</v>
      </c>
      <c r="O336" s="3">
        <v>48.0</v>
      </c>
      <c r="P336" s="3">
        <v>53.0</v>
      </c>
      <c r="Q336" s="8"/>
      <c r="R336" s="8">
        <f t="shared" si="2"/>
        <v>1</v>
      </c>
      <c r="S336" s="8">
        <f t="shared" si="3"/>
        <v>0</v>
      </c>
      <c r="T336" s="8" t="str">
        <f t="shared" si="4"/>
        <v>OK</v>
      </c>
      <c r="U336" s="8">
        <f t="shared" si="5"/>
        <v>0</v>
      </c>
      <c r="V336" s="8"/>
      <c r="W336" s="8"/>
      <c r="X336" s="8"/>
      <c r="Y336" s="8"/>
      <c r="Z336" s="8"/>
    </row>
    <row r="337" ht="15.75" customHeight="1">
      <c r="A337" s="3">
        <v>946.0</v>
      </c>
      <c r="B337" s="4">
        <v>40586.0</v>
      </c>
      <c r="C337" s="3">
        <v>1.0</v>
      </c>
      <c r="D337" s="3">
        <v>0.0</v>
      </c>
      <c r="E337" s="3">
        <v>2.0</v>
      </c>
      <c r="F337" s="3">
        <v>0.0</v>
      </c>
      <c r="G337" s="3" t="b">
        <f t="shared" si="1"/>
        <v>0</v>
      </c>
      <c r="H337" s="3">
        <v>6.0</v>
      </c>
      <c r="I337" s="3">
        <v>1.0</v>
      </c>
      <c r="J337" s="3">
        <v>0.16</v>
      </c>
      <c r="K337" s="3">
        <v>0.197</v>
      </c>
      <c r="L337" s="3">
        <v>0.69</v>
      </c>
      <c r="M337" s="3">
        <v>0.0896</v>
      </c>
      <c r="N337" s="3">
        <v>3.0</v>
      </c>
      <c r="O337" s="3">
        <v>27.0</v>
      </c>
      <c r="P337" s="3">
        <v>30.0</v>
      </c>
      <c r="Q337" s="8"/>
      <c r="R337" s="8">
        <f t="shared" si="2"/>
        <v>1</v>
      </c>
      <c r="S337" s="8">
        <f t="shared" si="3"/>
        <v>0</v>
      </c>
      <c r="T337" s="8" t="str">
        <f t="shared" si="4"/>
        <v>OK</v>
      </c>
      <c r="U337" s="8">
        <f t="shared" si="5"/>
        <v>0</v>
      </c>
      <c r="V337" s="8"/>
      <c r="W337" s="8"/>
      <c r="X337" s="8"/>
      <c r="Y337" s="8"/>
      <c r="Z337" s="8"/>
    </row>
    <row r="338" ht="15.75" customHeight="1">
      <c r="A338" s="3">
        <v>947.0</v>
      </c>
      <c r="B338" s="4">
        <v>40586.0</v>
      </c>
      <c r="C338" s="3">
        <v>1.0</v>
      </c>
      <c r="D338" s="3">
        <v>0.0</v>
      </c>
      <c r="E338" s="3">
        <v>2.0</v>
      </c>
      <c r="F338" s="3">
        <v>1.0</v>
      </c>
      <c r="G338" s="3" t="b">
        <f t="shared" si="1"/>
        <v>0</v>
      </c>
      <c r="H338" s="3">
        <v>6.0</v>
      </c>
      <c r="I338" s="3">
        <v>1.0</v>
      </c>
      <c r="J338" s="3">
        <v>0.14</v>
      </c>
      <c r="K338" s="3">
        <v>0.2121</v>
      </c>
      <c r="L338" s="3">
        <v>0.86</v>
      </c>
      <c r="M338" s="3">
        <v>0.0</v>
      </c>
      <c r="N338" s="3">
        <v>2.0</v>
      </c>
      <c r="O338" s="3">
        <v>22.0</v>
      </c>
      <c r="P338" s="3">
        <v>24.0</v>
      </c>
      <c r="Q338" s="8"/>
      <c r="R338" s="8">
        <f t="shared" si="2"/>
        <v>1</v>
      </c>
      <c r="S338" s="8">
        <f t="shared" si="3"/>
        <v>0</v>
      </c>
      <c r="T338" s="8" t="str">
        <f t="shared" si="4"/>
        <v>OK</v>
      </c>
      <c r="U338" s="8">
        <f t="shared" si="5"/>
        <v>0</v>
      </c>
      <c r="V338" s="8"/>
      <c r="W338" s="8"/>
      <c r="X338" s="8"/>
      <c r="Y338" s="8"/>
      <c r="Z338" s="8"/>
    </row>
    <row r="339" ht="15.75" customHeight="1">
      <c r="A339" s="3">
        <v>948.0</v>
      </c>
      <c r="B339" s="4">
        <v>40586.0</v>
      </c>
      <c r="C339" s="3">
        <v>1.0</v>
      </c>
      <c r="D339" s="3">
        <v>0.0</v>
      </c>
      <c r="E339" s="3">
        <v>2.0</v>
      </c>
      <c r="F339" s="3">
        <v>2.0</v>
      </c>
      <c r="G339" s="3" t="b">
        <f t="shared" si="1"/>
        <v>0</v>
      </c>
      <c r="H339" s="3">
        <v>6.0</v>
      </c>
      <c r="I339" s="3">
        <v>1.0</v>
      </c>
      <c r="J339" s="3">
        <v>0.14</v>
      </c>
      <c r="K339" s="3">
        <v>0.2121</v>
      </c>
      <c r="L339" s="3">
        <v>0.8</v>
      </c>
      <c r="M339" s="3">
        <v>0.0</v>
      </c>
      <c r="N339" s="3">
        <v>2.0</v>
      </c>
      <c r="O339" s="3">
        <v>13.0</v>
      </c>
      <c r="P339" s="3">
        <v>15.0</v>
      </c>
      <c r="Q339" s="8"/>
      <c r="R339" s="8">
        <f t="shared" si="2"/>
        <v>1</v>
      </c>
      <c r="S339" s="8">
        <f t="shared" si="3"/>
        <v>0</v>
      </c>
      <c r="T339" s="8" t="str">
        <f t="shared" si="4"/>
        <v>OK</v>
      </c>
      <c r="U339" s="8">
        <f t="shared" si="5"/>
        <v>0</v>
      </c>
      <c r="V339" s="8"/>
      <c r="W339" s="8"/>
      <c r="X339" s="8"/>
      <c r="Y339" s="8"/>
      <c r="Z339" s="8"/>
    </row>
    <row r="340" ht="15.75" customHeight="1">
      <c r="A340" s="3">
        <v>949.0</v>
      </c>
      <c r="B340" s="4">
        <v>40586.0</v>
      </c>
      <c r="C340" s="3">
        <v>1.0</v>
      </c>
      <c r="D340" s="3">
        <v>0.0</v>
      </c>
      <c r="E340" s="3">
        <v>2.0</v>
      </c>
      <c r="F340" s="3">
        <v>3.0</v>
      </c>
      <c r="G340" s="3" t="b">
        <f t="shared" si="1"/>
        <v>0</v>
      </c>
      <c r="H340" s="3">
        <v>6.0</v>
      </c>
      <c r="I340" s="3">
        <v>1.0</v>
      </c>
      <c r="J340" s="3">
        <v>0.12</v>
      </c>
      <c r="K340" s="3">
        <v>0.197</v>
      </c>
      <c r="L340" s="3">
        <v>0.8</v>
      </c>
      <c r="M340" s="3">
        <v>0.0</v>
      </c>
      <c r="N340" s="3">
        <v>3.0</v>
      </c>
      <c r="O340" s="3">
        <v>7.0</v>
      </c>
      <c r="P340" s="3">
        <v>10.0</v>
      </c>
      <c r="Q340" s="8"/>
      <c r="R340" s="8">
        <f t="shared" si="2"/>
        <v>1</v>
      </c>
      <c r="S340" s="8">
        <f t="shared" si="3"/>
        <v>0</v>
      </c>
      <c r="T340" s="8" t="str">
        <f t="shared" si="4"/>
        <v>OK</v>
      </c>
      <c r="U340" s="8">
        <f t="shared" si="5"/>
        <v>0</v>
      </c>
      <c r="V340" s="8"/>
      <c r="W340" s="8"/>
      <c r="X340" s="8"/>
      <c r="Y340" s="8"/>
      <c r="Z340" s="8"/>
    </row>
    <row r="341" ht="15.75" customHeight="1">
      <c r="A341" s="3">
        <v>950.0</v>
      </c>
      <c r="B341" s="4">
        <v>40586.0</v>
      </c>
      <c r="C341" s="3">
        <v>1.0</v>
      </c>
      <c r="D341" s="3">
        <v>0.0</v>
      </c>
      <c r="E341" s="3">
        <v>2.0</v>
      </c>
      <c r="F341" s="3">
        <v>4.0</v>
      </c>
      <c r="G341" s="3" t="b">
        <f t="shared" si="1"/>
        <v>0</v>
      </c>
      <c r="H341" s="3">
        <v>6.0</v>
      </c>
      <c r="I341" s="3">
        <v>1.0</v>
      </c>
      <c r="J341" s="3">
        <v>0.12</v>
      </c>
      <c r="K341" s="3">
        <v>0.1667</v>
      </c>
      <c r="L341" s="3">
        <v>0.74</v>
      </c>
      <c r="M341" s="3">
        <v>0.0896</v>
      </c>
      <c r="N341" s="3">
        <v>0.0</v>
      </c>
      <c r="O341" s="3">
        <v>4.0</v>
      </c>
      <c r="P341" s="3">
        <v>4.0</v>
      </c>
      <c r="Q341" s="8"/>
      <c r="R341" s="8">
        <f t="shared" si="2"/>
        <v>1</v>
      </c>
      <c r="S341" s="8">
        <f t="shared" si="3"/>
        <v>0</v>
      </c>
      <c r="T341" s="8" t="str">
        <f t="shared" si="4"/>
        <v>OK</v>
      </c>
      <c r="U341" s="8">
        <f t="shared" si="5"/>
        <v>0</v>
      </c>
      <c r="V341" s="8"/>
      <c r="W341" s="8"/>
      <c r="X341" s="8"/>
      <c r="Y341" s="8"/>
      <c r="Z341" s="8"/>
    </row>
    <row r="342" ht="15.75" customHeight="1">
      <c r="A342" s="3">
        <v>951.0</v>
      </c>
      <c r="B342" s="4">
        <v>40586.0</v>
      </c>
      <c r="C342" s="3">
        <v>1.0</v>
      </c>
      <c r="D342" s="3">
        <v>0.0</v>
      </c>
      <c r="E342" s="3">
        <v>2.0</v>
      </c>
      <c r="F342" s="3">
        <v>5.0</v>
      </c>
      <c r="G342" s="3" t="b">
        <f t="shared" si="1"/>
        <v>0</v>
      </c>
      <c r="H342" s="3">
        <v>6.0</v>
      </c>
      <c r="I342" s="3">
        <v>1.0</v>
      </c>
      <c r="J342" s="3">
        <v>0.12</v>
      </c>
      <c r="K342" s="3">
        <v>0.1667</v>
      </c>
      <c r="L342" s="3">
        <v>0.74</v>
      </c>
      <c r="M342" s="3">
        <v>0.0896</v>
      </c>
      <c r="N342" s="3">
        <v>0.0</v>
      </c>
      <c r="O342" s="3">
        <v>1.0</v>
      </c>
      <c r="P342" s="3">
        <v>1.0</v>
      </c>
      <c r="Q342" s="8"/>
      <c r="R342" s="8">
        <f t="shared" si="2"/>
        <v>1</v>
      </c>
      <c r="S342" s="8">
        <f t="shared" si="3"/>
        <v>0</v>
      </c>
      <c r="T342" s="8" t="str">
        <f t="shared" si="4"/>
        <v>OK</v>
      </c>
      <c r="U342" s="8">
        <f t="shared" si="5"/>
        <v>0</v>
      </c>
      <c r="V342" s="8"/>
      <c r="W342" s="8"/>
      <c r="X342" s="8"/>
      <c r="Y342" s="8"/>
      <c r="Z342" s="8"/>
    </row>
    <row r="343" ht="15.75" customHeight="1">
      <c r="A343" s="3">
        <v>952.0</v>
      </c>
      <c r="B343" s="4">
        <v>40586.0</v>
      </c>
      <c r="C343" s="3">
        <v>1.0</v>
      </c>
      <c r="D343" s="3">
        <v>0.0</v>
      </c>
      <c r="E343" s="3">
        <v>2.0</v>
      </c>
      <c r="F343" s="3">
        <v>6.0</v>
      </c>
      <c r="G343" s="3" t="b">
        <f t="shared" si="1"/>
        <v>0</v>
      </c>
      <c r="H343" s="3">
        <v>6.0</v>
      </c>
      <c r="I343" s="3">
        <v>1.0</v>
      </c>
      <c r="J343" s="3">
        <v>0.12</v>
      </c>
      <c r="K343" s="3">
        <v>0.1364</v>
      </c>
      <c r="L343" s="3">
        <v>0.93</v>
      </c>
      <c r="M343" s="3">
        <v>0.194</v>
      </c>
      <c r="N343" s="3">
        <v>1.0</v>
      </c>
      <c r="O343" s="3">
        <v>1.0</v>
      </c>
      <c r="P343" s="3">
        <v>2.0</v>
      </c>
      <c r="Q343" s="8"/>
      <c r="R343" s="8">
        <f t="shared" si="2"/>
        <v>1</v>
      </c>
      <c r="S343" s="8">
        <f t="shared" si="3"/>
        <v>0</v>
      </c>
      <c r="T343" s="8" t="str">
        <f t="shared" si="4"/>
        <v>OK</v>
      </c>
      <c r="U343" s="8">
        <f t="shared" si="5"/>
        <v>0</v>
      </c>
      <c r="V343" s="8"/>
      <c r="W343" s="8"/>
      <c r="X343" s="8"/>
      <c r="Y343" s="8"/>
      <c r="Z343" s="8"/>
    </row>
    <row r="344" ht="15.75" customHeight="1">
      <c r="A344" s="3">
        <v>953.0</v>
      </c>
      <c r="B344" s="4">
        <v>40586.0</v>
      </c>
      <c r="C344" s="3">
        <v>1.0</v>
      </c>
      <c r="D344" s="3">
        <v>0.0</v>
      </c>
      <c r="E344" s="3">
        <v>2.0</v>
      </c>
      <c r="F344" s="3">
        <v>7.0</v>
      </c>
      <c r="G344" s="3" t="b">
        <f t="shared" si="1"/>
        <v>0</v>
      </c>
      <c r="H344" s="3">
        <v>6.0</v>
      </c>
      <c r="I344" s="3">
        <v>1.0</v>
      </c>
      <c r="J344" s="3">
        <v>0.12</v>
      </c>
      <c r="K344" s="3">
        <v>0.1515</v>
      </c>
      <c r="L344" s="3">
        <v>0.8</v>
      </c>
      <c r="M344" s="3">
        <v>0.1045</v>
      </c>
      <c r="N344" s="3">
        <v>2.0</v>
      </c>
      <c r="O344" s="3">
        <v>9.0</v>
      </c>
      <c r="P344" s="3">
        <v>11.0</v>
      </c>
      <c r="Q344" s="8"/>
      <c r="R344" s="8">
        <f t="shared" si="2"/>
        <v>1</v>
      </c>
      <c r="S344" s="8">
        <f t="shared" si="3"/>
        <v>0</v>
      </c>
      <c r="T344" s="8" t="str">
        <f t="shared" si="4"/>
        <v>OK</v>
      </c>
      <c r="U344" s="8">
        <f t="shared" si="5"/>
        <v>0</v>
      </c>
      <c r="V344" s="8"/>
      <c r="W344" s="8"/>
      <c r="X344" s="8"/>
      <c r="Y344" s="8"/>
      <c r="Z344" s="8"/>
    </row>
    <row r="345" ht="15.75" customHeight="1">
      <c r="A345" s="3">
        <v>954.0</v>
      </c>
      <c r="B345" s="4">
        <v>40586.0</v>
      </c>
      <c r="C345" s="3">
        <v>1.0</v>
      </c>
      <c r="D345" s="3">
        <v>0.0</v>
      </c>
      <c r="E345" s="3">
        <v>2.0</v>
      </c>
      <c r="F345" s="3">
        <v>8.0</v>
      </c>
      <c r="G345" s="3" t="b">
        <f t="shared" si="1"/>
        <v>0</v>
      </c>
      <c r="H345" s="3">
        <v>6.0</v>
      </c>
      <c r="I345" s="3">
        <v>1.0</v>
      </c>
      <c r="J345" s="3">
        <v>0.14</v>
      </c>
      <c r="K345" s="3">
        <v>0.1515</v>
      </c>
      <c r="L345" s="3">
        <v>0.86</v>
      </c>
      <c r="M345" s="3">
        <v>0.1343</v>
      </c>
      <c r="N345" s="3">
        <v>2.0</v>
      </c>
      <c r="O345" s="3">
        <v>28.0</v>
      </c>
      <c r="P345" s="3">
        <v>30.0</v>
      </c>
      <c r="Q345" s="8"/>
      <c r="R345" s="8">
        <f t="shared" si="2"/>
        <v>1</v>
      </c>
      <c r="S345" s="8">
        <f t="shared" si="3"/>
        <v>0</v>
      </c>
      <c r="T345" s="8" t="str">
        <f t="shared" si="4"/>
        <v>OK</v>
      </c>
      <c r="U345" s="8">
        <f t="shared" si="5"/>
        <v>0</v>
      </c>
      <c r="V345" s="8"/>
      <c r="W345" s="8"/>
      <c r="X345" s="8"/>
      <c r="Y345" s="8"/>
      <c r="Z345" s="8"/>
    </row>
    <row r="346" ht="15.75" customHeight="1">
      <c r="A346" s="3">
        <v>955.0</v>
      </c>
      <c r="B346" s="4">
        <v>40586.0</v>
      </c>
      <c r="C346" s="3">
        <v>1.0</v>
      </c>
      <c r="D346" s="3">
        <v>0.0</v>
      </c>
      <c r="E346" s="3">
        <v>2.0</v>
      </c>
      <c r="F346" s="3">
        <v>9.0</v>
      </c>
      <c r="G346" s="3" t="b">
        <f t="shared" si="1"/>
        <v>0</v>
      </c>
      <c r="H346" s="3">
        <v>6.0</v>
      </c>
      <c r="I346" s="3">
        <v>1.0</v>
      </c>
      <c r="J346" s="3">
        <v>0.16</v>
      </c>
      <c r="K346" s="3">
        <v>0.1818</v>
      </c>
      <c r="L346" s="3">
        <v>0.64</v>
      </c>
      <c r="M346" s="3">
        <v>0.1343</v>
      </c>
      <c r="N346" s="3">
        <v>5.0</v>
      </c>
      <c r="O346" s="3">
        <v>38.0</v>
      </c>
      <c r="P346" s="3">
        <v>43.0</v>
      </c>
      <c r="Q346" s="8"/>
      <c r="R346" s="8">
        <f t="shared" si="2"/>
        <v>1</v>
      </c>
      <c r="S346" s="8">
        <f t="shared" si="3"/>
        <v>0</v>
      </c>
      <c r="T346" s="8" t="str">
        <f t="shared" si="4"/>
        <v>OK</v>
      </c>
      <c r="U346" s="8">
        <f t="shared" si="5"/>
        <v>0</v>
      </c>
      <c r="V346" s="8"/>
      <c r="W346" s="8"/>
      <c r="X346" s="8"/>
      <c r="Y346" s="8"/>
      <c r="Z346" s="8"/>
    </row>
    <row r="347" ht="15.75" customHeight="1">
      <c r="A347" s="3">
        <v>956.0</v>
      </c>
      <c r="B347" s="4">
        <v>40586.0</v>
      </c>
      <c r="C347" s="3">
        <v>1.0</v>
      </c>
      <c r="D347" s="3">
        <v>0.0</v>
      </c>
      <c r="E347" s="3">
        <v>2.0</v>
      </c>
      <c r="F347" s="3">
        <v>10.0</v>
      </c>
      <c r="G347" s="3" t="b">
        <f t="shared" si="1"/>
        <v>0</v>
      </c>
      <c r="H347" s="3">
        <v>6.0</v>
      </c>
      <c r="I347" s="3">
        <v>1.0</v>
      </c>
      <c r="J347" s="3">
        <v>0.22</v>
      </c>
      <c r="K347" s="3">
        <v>0.2121</v>
      </c>
      <c r="L347" s="3">
        <v>0.41</v>
      </c>
      <c r="M347" s="3">
        <v>0.2537</v>
      </c>
      <c r="N347" s="3">
        <v>13.0</v>
      </c>
      <c r="O347" s="3">
        <v>71.0</v>
      </c>
      <c r="P347" s="3">
        <v>84.0</v>
      </c>
      <c r="Q347" s="8"/>
      <c r="R347" s="8">
        <f t="shared" si="2"/>
        <v>1</v>
      </c>
      <c r="S347" s="8">
        <f t="shared" si="3"/>
        <v>0</v>
      </c>
      <c r="T347" s="8" t="str">
        <f t="shared" si="4"/>
        <v>OK</v>
      </c>
      <c r="U347" s="8">
        <f t="shared" si="5"/>
        <v>0</v>
      </c>
      <c r="V347" s="8"/>
      <c r="W347" s="8"/>
      <c r="X347" s="8"/>
      <c r="Y347" s="8"/>
      <c r="Z347" s="8"/>
    </row>
    <row r="348" ht="15.75" customHeight="1">
      <c r="A348" s="3">
        <v>957.0</v>
      </c>
      <c r="B348" s="4">
        <v>40586.0</v>
      </c>
      <c r="C348" s="3">
        <v>1.0</v>
      </c>
      <c r="D348" s="3">
        <v>0.0</v>
      </c>
      <c r="E348" s="3">
        <v>2.0</v>
      </c>
      <c r="F348" s="3">
        <v>11.0</v>
      </c>
      <c r="G348" s="3" t="b">
        <f t="shared" si="1"/>
        <v>0</v>
      </c>
      <c r="H348" s="3">
        <v>6.0</v>
      </c>
      <c r="I348" s="3">
        <v>1.0</v>
      </c>
      <c r="J348" s="3">
        <v>0.3</v>
      </c>
      <c r="K348" s="3">
        <v>0.2727</v>
      </c>
      <c r="L348" s="3">
        <v>0.28</v>
      </c>
      <c r="M348" s="3">
        <v>0.3284</v>
      </c>
      <c r="N348" s="3">
        <v>30.0</v>
      </c>
      <c r="O348" s="3">
        <v>84.0</v>
      </c>
      <c r="P348" s="3">
        <v>114.0</v>
      </c>
      <c r="Q348" s="8"/>
      <c r="R348" s="8">
        <f t="shared" si="2"/>
        <v>1</v>
      </c>
      <c r="S348" s="8">
        <f t="shared" si="3"/>
        <v>0</v>
      </c>
      <c r="T348" s="8" t="str">
        <f t="shared" si="4"/>
        <v>OK</v>
      </c>
      <c r="U348" s="8">
        <f t="shared" si="5"/>
        <v>0</v>
      </c>
      <c r="V348" s="8"/>
      <c r="W348" s="8"/>
      <c r="X348" s="8"/>
      <c r="Y348" s="8"/>
      <c r="Z348" s="8"/>
    </row>
    <row r="349" ht="15.75" customHeight="1">
      <c r="A349" s="3">
        <v>958.0</v>
      </c>
      <c r="B349" s="4">
        <v>40586.0</v>
      </c>
      <c r="C349" s="3">
        <v>1.0</v>
      </c>
      <c r="D349" s="3">
        <v>0.0</v>
      </c>
      <c r="E349" s="3">
        <v>2.0</v>
      </c>
      <c r="F349" s="3">
        <v>12.0</v>
      </c>
      <c r="G349" s="3" t="b">
        <f t="shared" si="1"/>
        <v>0</v>
      </c>
      <c r="H349" s="3">
        <v>6.0</v>
      </c>
      <c r="I349" s="3">
        <v>1.0</v>
      </c>
      <c r="J349" s="3">
        <v>0.3</v>
      </c>
      <c r="K349" s="3">
        <v>0.2727</v>
      </c>
      <c r="L349" s="3">
        <v>0.39</v>
      </c>
      <c r="M349" s="3">
        <v>0.4627</v>
      </c>
      <c r="N349" s="3">
        <v>27.0</v>
      </c>
      <c r="O349" s="3">
        <v>93.0</v>
      </c>
      <c r="P349" s="3">
        <v>120.0</v>
      </c>
      <c r="Q349" s="8"/>
      <c r="R349" s="8">
        <f t="shared" si="2"/>
        <v>1</v>
      </c>
      <c r="S349" s="8">
        <f t="shared" si="3"/>
        <v>0</v>
      </c>
      <c r="T349" s="8" t="str">
        <f t="shared" si="4"/>
        <v>OK</v>
      </c>
      <c r="U349" s="8">
        <f t="shared" si="5"/>
        <v>0</v>
      </c>
      <c r="V349" s="8"/>
      <c r="W349" s="8"/>
      <c r="X349" s="8"/>
      <c r="Y349" s="8"/>
      <c r="Z349" s="8"/>
    </row>
    <row r="350" ht="15.75" customHeight="1">
      <c r="A350" s="3">
        <v>959.0</v>
      </c>
      <c r="B350" s="4">
        <v>40586.0</v>
      </c>
      <c r="C350" s="3">
        <v>1.0</v>
      </c>
      <c r="D350" s="3">
        <v>0.0</v>
      </c>
      <c r="E350" s="3">
        <v>2.0</v>
      </c>
      <c r="F350" s="3">
        <v>13.0</v>
      </c>
      <c r="G350" s="3" t="b">
        <f t="shared" si="1"/>
        <v>0</v>
      </c>
      <c r="H350" s="3">
        <v>6.0</v>
      </c>
      <c r="I350" s="3">
        <v>1.0</v>
      </c>
      <c r="J350" s="3">
        <v>0.3</v>
      </c>
      <c r="K350" s="3">
        <v>0.2727</v>
      </c>
      <c r="L350" s="3">
        <v>0.39</v>
      </c>
      <c r="M350" s="3">
        <v>0.4179</v>
      </c>
      <c r="N350" s="3">
        <v>32.0</v>
      </c>
      <c r="O350" s="3">
        <v>103.0</v>
      </c>
      <c r="P350" s="3">
        <v>135.0</v>
      </c>
      <c r="Q350" s="8"/>
      <c r="R350" s="8">
        <f t="shared" si="2"/>
        <v>1</v>
      </c>
      <c r="S350" s="8">
        <f t="shared" si="3"/>
        <v>0</v>
      </c>
      <c r="T350" s="8" t="str">
        <f t="shared" si="4"/>
        <v>OK</v>
      </c>
      <c r="U350" s="8">
        <f t="shared" si="5"/>
        <v>0</v>
      </c>
      <c r="V350" s="8"/>
      <c r="W350" s="8"/>
      <c r="X350" s="8"/>
      <c r="Y350" s="8"/>
      <c r="Z350" s="8"/>
    </row>
    <row r="351" ht="15.75" customHeight="1">
      <c r="A351" s="3">
        <v>960.0</v>
      </c>
      <c r="B351" s="4">
        <v>40586.0</v>
      </c>
      <c r="C351" s="3">
        <v>1.0</v>
      </c>
      <c r="D351" s="3">
        <v>0.0</v>
      </c>
      <c r="E351" s="3">
        <v>2.0</v>
      </c>
      <c r="F351" s="3">
        <v>14.0</v>
      </c>
      <c r="G351" s="3" t="b">
        <f t="shared" si="1"/>
        <v>0</v>
      </c>
      <c r="H351" s="3">
        <v>6.0</v>
      </c>
      <c r="I351" s="3">
        <v>1.0</v>
      </c>
      <c r="J351" s="3">
        <v>0.34</v>
      </c>
      <c r="K351" s="3">
        <v>0.3182</v>
      </c>
      <c r="L351" s="3">
        <v>0.31</v>
      </c>
      <c r="M351" s="3">
        <v>0.2836</v>
      </c>
      <c r="N351" s="3">
        <v>30.0</v>
      </c>
      <c r="O351" s="3">
        <v>90.0</v>
      </c>
      <c r="P351" s="3">
        <v>120.0</v>
      </c>
      <c r="Q351" s="8"/>
      <c r="R351" s="8">
        <f t="shared" si="2"/>
        <v>1</v>
      </c>
      <c r="S351" s="8">
        <f t="shared" si="3"/>
        <v>0</v>
      </c>
      <c r="T351" s="8" t="str">
        <f t="shared" si="4"/>
        <v>OK</v>
      </c>
      <c r="U351" s="8">
        <f t="shared" si="5"/>
        <v>0</v>
      </c>
      <c r="V351" s="8"/>
      <c r="W351" s="8"/>
      <c r="X351" s="8"/>
      <c r="Y351" s="8"/>
      <c r="Z351" s="8"/>
    </row>
    <row r="352" ht="15.75" customHeight="1">
      <c r="A352" s="3">
        <v>961.0</v>
      </c>
      <c r="B352" s="4">
        <v>40586.0</v>
      </c>
      <c r="C352" s="3">
        <v>1.0</v>
      </c>
      <c r="D352" s="3">
        <v>0.0</v>
      </c>
      <c r="E352" s="3">
        <v>2.0</v>
      </c>
      <c r="F352" s="3">
        <v>15.0</v>
      </c>
      <c r="G352" s="3" t="b">
        <f t="shared" si="1"/>
        <v>0</v>
      </c>
      <c r="H352" s="3">
        <v>6.0</v>
      </c>
      <c r="I352" s="3">
        <v>1.0</v>
      </c>
      <c r="J352" s="3">
        <v>0.34</v>
      </c>
      <c r="K352" s="3">
        <v>0.303</v>
      </c>
      <c r="L352" s="3">
        <v>0.29</v>
      </c>
      <c r="M352" s="3">
        <v>0.4179</v>
      </c>
      <c r="N352" s="3">
        <v>47.0</v>
      </c>
      <c r="O352" s="3">
        <v>127.0</v>
      </c>
      <c r="P352" s="3">
        <v>174.0</v>
      </c>
      <c r="Q352" s="8"/>
      <c r="R352" s="8">
        <f t="shared" si="2"/>
        <v>1</v>
      </c>
      <c r="S352" s="8">
        <f t="shared" si="3"/>
        <v>0</v>
      </c>
      <c r="T352" s="8" t="str">
        <f t="shared" si="4"/>
        <v>OK</v>
      </c>
      <c r="U352" s="8">
        <f t="shared" si="5"/>
        <v>0</v>
      </c>
      <c r="V352" s="8"/>
      <c r="W352" s="8"/>
      <c r="X352" s="8"/>
      <c r="Y352" s="8"/>
      <c r="Z352" s="8"/>
    </row>
    <row r="353" ht="15.75" customHeight="1">
      <c r="A353" s="3">
        <v>962.0</v>
      </c>
      <c r="B353" s="4">
        <v>40586.0</v>
      </c>
      <c r="C353" s="3">
        <v>1.0</v>
      </c>
      <c r="D353" s="3">
        <v>0.0</v>
      </c>
      <c r="E353" s="3">
        <v>2.0</v>
      </c>
      <c r="F353" s="3">
        <v>16.0</v>
      </c>
      <c r="G353" s="3" t="b">
        <f t="shared" si="1"/>
        <v>0</v>
      </c>
      <c r="H353" s="3">
        <v>6.0</v>
      </c>
      <c r="I353" s="3">
        <v>1.0</v>
      </c>
      <c r="J353" s="3">
        <v>0.34</v>
      </c>
      <c r="K353" s="3">
        <v>0.303</v>
      </c>
      <c r="L353" s="3">
        <v>0.29</v>
      </c>
      <c r="M353" s="3">
        <v>0.4179</v>
      </c>
      <c r="N353" s="3">
        <v>42.0</v>
      </c>
      <c r="O353" s="3">
        <v>103.0</v>
      </c>
      <c r="P353" s="3">
        <v>145.0</v>
      </c>
      <c r="Q353" s="8"/>
      <c r="R353" s="8">
        <f t="shared" si="2"/>
        <v>1</v>
      </c>
      <c r="S353" s="8">
        <f t="shared" si="3"/>
        <v>0</v>
      </c>
      <c r="T353" s="8" t="str">
        <f t="shared" si="4"/>
        <v>OK</v>
      </c>
      <c r="U353" s="8">
        <f t="shared" si="5"/>
        <v>0</v>
      </c>
      <c r="V353" s="8"/>
      <c r="W353" s="8"/>
      <c r="X353" s="8"/>
      <c r="Y353" s="8"/>
      <c r="Z353" s="8"/>
    </row>
    <row r="354" ht="15.75" customHeight="1">
      <c r="A354" s="3">
        <v>963.0</v>
      </c>
      <c r="B354" s="4">
        <v>40586.0</v>
      </c>
      <c r="C354" s="3">
        <v>1.0</v>
      </c>
      <c r="D354" s="3">
        <v>0.0</v>
      </c>
      <c r="E354" s="3">
        <v>2.0</v>
      </c>
      <c r="F354" s="3">
        <v>17.0</v>
      </c>
      <c r="G354" s="3" t="b">
        <f t="shared" si="1"/>
        <v>0</v>
      </c>
      <c r="H354" s="3">
        <v>6.0</v>
      </c>
      <c r="I354" s="3">
        <v>1.0</v>
      </c>
      <c r="J354" s="3">
        <v>0.32</v>
      </c>
      <c r="K354" s="3">
        <v>0.2879</v>
      </c>
      <c r="L354" s="3">
        <v>0.31</v>
      </c>
      <c r="M354" s="3">
        <v>0.5224</v>
      </c>
      <c r="N354" s="3">
        <v>24.0</v>
      </c>
      <c r="O354" s="3">
        <v>113.0</v>
      </c>
      <c r="P354" s="3">
        <v>137.0</v>
      </c>
      <c r="Q354" s="8"/>
      <c r="R354" s="8">
        <f t="shared" si="2"/>
        <v>1</v>
      </c>
      <c r="S354" s="8">
        <f t="shared" si="3"/>
        <v>0</v>
      </c>
      <c r="T354" s="8" t="str">
        <f t="shared" si="4"/>
        <v>OK</v>
      </c>
      <c r="U354" s="8">
        <f t="shared" si="5"/>
        <v>0</v>
      </c>
      <c r="V354" s="8"/>
      <c r="W354" s="8"/>
      <c r="X354" s="8"/>
      <c r="Y354" s="8"/>
      <c r="Z354" s="8"/>
    </row>
    <row r="355" ht="15.75" customHeight="1">
      <c r="A355" s="3">
        <v>964.0</v>
      </c>
      <c r="B355" s="4">
        <v>40586.0</v>
      </c>
      <c r="C355" s="3">
        <v>1.0</v>
      </c>
      <c r="D355" s="3">
        <v>0.0</v>
      </c>
      <c r="E355" s="3">
        <v>2.0</v>
      </c>
      <c r="F355" s="3">
        <v>18.0</v>
      </c>
      <c r="G355" s="3" t="b">
        <f t="shared" si="1"/>
        <v>0</v>
      </c>
      <c r="H355" s="3">
        <v>6.0</v>
      </c>
      <c r="I355" s="3">
        <v>1.0</v>
      </c>
      <c r="J355" s="3">
        <v>0.28</v>
      </c>
      <c r="K355" s="3">
        <v>0.2576</v>
      </c>
      <c r="L355" s="3">
        <v>0.38</v>
      </c>
      <c r="M355" s="3">
        <v>0.3284</v>
      </c>
      <c r="N355" s="3">
        <v>4.0</v>
      </c>
      <c r="O355" s="3">
        <v>60.0</v>
      </c>
      <c r="P355" s="3">
        <v>64.0</v>
      </c>
      <c r="Q355" s="8"/>
      <c r="R355" s="8">
        <f t="shared" si="2"/>
        <v>1</v>
      </c>
      <c r="S355" s="8">
        <f t="shared" si="3"/>
        <v>0</v>
      </c>
      <c r="T355" s="8" t="str">
        <f t="shared" si="4"/>
        <v>OK</v>
      </c>
      <c r="U355" s="8">
        <f t="shared" si="5"/>
        <v>0</v>
      </c>
      <c r="V355" s="8"/>
      <c r="W355" s="8"/>
      <c r="X355" s="8"/>
      <c r="Y355" s="8"/>
      <c r="Z355" s="8"/>
    </row>
    <row r="356" ht="15.75" customHeight="1">
      <c r="A356" s="3">
        <v>965.0</v>
      </c>
      <c r="B356" s="4">
        <v>40586.0</v>
      </c>
      <c r="C356" s="3">
        <v>1.0</v>
      </c>
      <c r="D356" s="3">
        <v>0.0</v>
      </c>
      <c r="E356" s="3">
        <v>2.0</v>
      </c>
      <c r="F356" s="3">
        <v>19.0</v>
      </c>
      <c r="G356" s="3" t="b">
        <f t="shared" si="1"/>
        <v>0</v>
      </c>
      <c r="H356" s="3">
        <v>6.0</v>
      </c>
      <c r="I356" s="3">
        <v>1.0</v>
      </c>
      <c r="J356" s="3">
        <v>0.28</v>
      </c>
      <c r="K356" s="3">
        <v>0.2727</v>
      </c>
      <c r="L356" s="3">
        <v>0.38</v>
      </c>
      <c r="M356" s="3">
        <v>0.1642</v>
      </c>
      <c r="N356" s="3">
        <v>2.0</v>
      </c>
      <c r="O356" s="3">
        <v>39.0</v>
      </c>
      <c r="P356" s="3">
        <v>41.0</v>
      </c>
      <c r="Q356" s="8"/>
      <c r="R356" s="8">
        <f t="shared" si="2"/>
        <v>1</v>
      </c>
      <c r="S356" s="8">
        <f t="shared" si="3"/>
        <v>0</v>
      </c>
      <c r="T356" s="8" t="str">
        <f t="shared" si="4"/>
        <v>OK</v>
      </c>
      <c r="U356" s="8">
        <f t="shared" si="5"/>
        <v>0</v>
      </c>
      <c r="V356" s="8"/>
      <c r="W356" s="8"/>
      <c r="X356" s="8"/>
      <c r="Y356" s="8"/>
      <c r="Z356" s="8"/>
    </row>
    <row r="357" ht="15.75" customHeight="1">
      <c r="A357" s="3">
        <v>966.0</v>
      </c>
      <c r="B357" s="4">
        <v>40586.0</v>
      </c>
      <c r="C357" s="3">
        <v>1.0</v>
      </c>
      <c r="D357" s="3">
        <v>0.0</v>
      </c>
      <c r="E357" s="3">
        <v>2.0</v>
      </c>
      <c r="F357" s="3">
        <v>20.0</v>
      </c>
      <c r="G357" s="3" t="b">
        <f t="shared" si="1"/>
        <v>0</v>
      </c>
      <c r="H357" s="3">
        <v>6.0</v>
      </c>
      <c r="I357" s="3">
        <v>1.0</v>
      </c>
      <c r="J357" s="3">
        <v>0.26</v>
      </c>
      <c r="K357" s="3">
        <v>0.2576</v>
      </c>
      <c r="L357" s="3">
        <v>0.41</v>
      </c>
      <c r="M357" s="3">
        <v>0.2239</v>
      </c>
      <c r="N357" s="3">
        <v>1.0</v>
      </c>
      <c r="O357" s="3">
        <v>39.0</v>
      </c>
      <c r="P357" s="3">
        <v>40.0</v>
      </c>
      <c r="Q357" s="8"/>
      <c r="R357" s="8">
        <f t="shared" si="2"/>
        <v>1</v>
      </c>
      <c r="S357" s="8">
        <f t="shared" si="3"/>
        <v>0</v>
      </c>
      <c r="T357" s="8" t="str">
        <f t="shared" si="4"/>
        <v>OK</v>
      </c>
      <c r="U357" s="8">
        <f t="shared" si="5"/>
        <v>0</v>
      </c>
      <c r="V357" s="8"/>
      <c r="W357" s="8"/>
      <c r="X357" s="8"/>
      <c r="Y357" s="8"/>
      <c r="Z357" s="8"/>
    </row>
    <row r="358" ht="15.75" customHeight="1">
      <c r="A358" s="3">
        <v>967.0</v>
      </c>
      <c r="B358" s="4">
        <v>40586.0</v>
      </c>
      <c r="C358" s="3">
        <v>1.0</v>
      </c>
      <c r="D358" s="3">
        <v>0.0</v>
      </c>
      <c r="E358" s="3">
        <v>2.0</v>
      </c>
      <c r="F358" s="3">
        <v>21.0</v>
      </c>
      <c r="G358" s="3" t="b">
        <f t="shared" si="1"/>
        <v>0</v>
      </c>
      <c r="H358" s="3">
        <v>6.0</v>
      </c>
      <c r="I358" s="3">
        <v>1.0</v>
      </c>
      <c r="J358" s="3">
        <v>0.26</v>
      </c>
      <c r="K358" s="3">
        <v>0.303</v>
      </c>
      <c r="L358" s="3">
        <v>0.41</v>
      </c>
      <c r="M358" s="3">
        <v>0.0</v>
      </c>
      <c r="N358" s="3">
        <v>9.0</v>
      </c>
      <c r="O358" s="3">
        <v>42.0</v>
      </c>
      <c r="P358" s="3">
        <v>51.0</v>
      </c>
      <c r="Q358" s="8"/>
      <c r="R358" s="8">
        <f t="shared" si="2"/>
        <v>1</v>
      </c>
      <c r="S358" s="8">
        <f t="shared" si="3"/>
        <v>0</v>
      </c>
      <c r="T358" s="8" t="str">
        <f t="shared" si="4"/>
        <v>OK</v>
      </c>
      <c r="U358" s="8">
        <f t="shared" si="5"/>
        <v>0</v>
      </c>
      <c r="V358" s="8"/>
      <c r="W358" s="8"/>
      <c r="X358" s="8"/>
      <c r="Y358" s="8"/>
      <c r="Z358" s="8"/>
    </row>
    <row r="359" ht="15.75" customHeight="1">
      <c r="A359" s="3">
        <v>968.0</v>
      </c>
      <c r="B359" s="4">
        <v>40586.0</v>
      </c>
      <c r="C359" s="3">
        <v>1.0</v>
      </c>
      <c r="D359" s="3">
        <v>0.0</v>
      </c>
      <c r="E359" s="3">
        <v>2.0</v>
      </c>
      <c r="F359" s="3">
        <v>22.0</v>
      </c>
      <c r="G359" s="3" t="b">
        <f t="shared" si="1"/>
        <v>0</v>
      </c>
      <c r="H359" s="3">
        <v>6.0</v>
      </c>
      <c r="I359" s="3">
        <v>1.0</v>
      </c>
      <c r="J359" s="3">
        <v>0.24</v>
      </c>
      <c r="K359" s="3">
        <v>0.2576</v>
      </c>
      <c r="L359" s="3">
        <v>0.44</v>
      </c>
      <c r="M359" s="3">
        <v>0.0896</v>
      </c>
      <c r="N359" s="3">
        <v>6.0</v>
      </c>
      <c r="O359" s="3">
        <v>39.0</v>
      </c>
      <c r="P359" s="3">
        <v>45.0</v>
      </c>
      <c r="Q359" s="8"/>
      <c r="R359" s="8">
        <f t="shared" si="2"/>
        <v>1</v>
      </c>
      <c r="S359" s="8">
        <f t="shared" si="3"/>
        <v>0</v>
      </c>
      <c r="T359" s="8" t="str">
        <f t="shared" si="4"/>
        <v>OK</v>
      </c>
      <c r="U359" s="8">
        <f t="shared" si="5"/>
        <v>0</v>
      </c>
      <c r="V359" s="8"/>
      <c r="W359" s="8"/>
      <c r="X359" s="8"/>
      <c r="Y359" s="8"/>
      <c r="Z359" s="8"/>
    </row>
    <row r="360" ht="15.75" customHeight="1">
      <c r="A360" s="3">
        <v>969.0</v>
      </c>
      <c r="B360" s="4">
        <v>40586.0</v>
      </c>
      <c r="C360" s="3">
        <v>1.0</v>
      </c>
      <c r="D360" s="3">
        <v>0.0</v>
      </c>
      <c r="E360" s="3">
        <v>2.0</v>
      </c>
      <c r="F360" s="3">
        <v>23.0</v>
      </c>
      <c r="G360" s="3" t="b">
        <f t="shared" si="1"/>
        <v>0</v>
      </c>
      <c r="H360" s="3">
        <v>6.0</v>
      </c>
      <c r="I360" s="3">
        <v>1.0</v>
      </c>
      <c r="J360" s="3">
        <v>0.22</v>
      </c>
      <c r="K360" s="3">
        <v>0.2273</v>
      </c>
      <c r="L360" s="3">
        <v>0.51</v>
      </c>
      <c r="M360" s="3">
        <v>0.1343</v>
      </c>
      <c r="N360" s="3">
        <v>1.0</v>
      </c>
      <c r="O360" s="3">
        <v>31.0</v>
      </c>
      <c r="P360" s="3">
        <v>32.0</v>
      </c>
      <c r="Q360" s="8"/>
      <c r="R360" s="8">
        <f t="shared" si="2"/>
        <v>1</v>
      </c>
      <c r="S360" s="8">
        <f t="shared" si="3"/>
        <v>0</v>
      </c>
      <c r="T360" s="8" t="str">
        <f t="shared" si="4"/>
        <v>OK</v>
      </c>
      <c r="U360" s="8">
        <f t="shared" si="5"/>
        <v>0</v>
      </c>
      <c r="V360" s="8"/>
      <c r="W360" s="8"/>
      <c r="X360" s="8"/>
      <c r="Y360" s="8"/>
      <c r="Z360" s="8"/>
    </row>
    <row r="361" ht="15.75" customHeight="1">
      <c r="A361" s="3">
        <v>970.0</v>
      </c>
      <c r="B361" s="4">
        <v>40587.0</v>
      </c>
      <c r="C361" s="3">
        <v>1.0</v>
      </c>
      <c r="D361" s="3">
        <v>0.0</v>
      </c>
      <c r="E361" s="3">
        <v>2.0</v>
      </c>
      <c r="F361" s="3">
        <v>0.0</v>
      </c>
      <c r="G361" s="3" t="b">
        <f t="shared" si="1"/>
        <v>0</v>
      </c>
      <c r="H361" s="3">
        <v>0.0</v>
      </c>
      <c r="I361" s="3">
        <v>1.0</v>
      </c>
      <c r="J361" s="3">
        <v>0.2</v>
      </c>
      <c r="K361" s="3">
        <v>0.2273</v>
      </c>
      <c r="L361" s="3">
        <v>0.64</v>
      </c>
      <c r="M361" s="3">
        <v>0.1045</v>
      </c>
      <c r="N361" s="3">
        <v>5.0</v>
      </c>
      <c r="O361" s="3">
        <v>34.0</v>
      </c>
      <c r="P361" s="3">
        <v>39.0</v>
      </c>
      <c r="Q361" s="8"/>
      <c r="R361" s="8">
        <f t="shared" si="2"/>
        <v>1</v>
      </c>
      <c r="S361" s="8">
        <f t="shared" si="3"/>
        <v>0</v>
      </c>
      <c r="T361" s="8" t="str">
        <f t="shared" si="4"/>
        <v>OK</v>
      </c>
      <c r="U361" s="8">
        <f t="shared" si="5"/>
        <v>0</v>
      </c>
      <c r="V361" s="8"/>
      <c r="W361" s="8"/>
      <c r="X361" s="8"/>
      <c r="Y361" s="8"/>
      <c r="Z361" s="8"/>
    </row>
    <row r="362" ht="15.75" customHeight="1">
      <c r="A362" s="3">
        <v>971.0</v>
      </c>
      <c r="B362" s="4">
        <v>40587.0</v>
      </c>
      <c r="C362" s="3">
        <v>1.0</v>
      </c>
      <c r="D362" s="3">
        <v>0.0</v>
      </c>
      <c r="E362" s="3">
        <v>2.0</v>
      </c>
      <c r="F362" s="3">
        <v>1.0</v>
      </c>
      <c r="G362" s="3" t="b">
        <f t="shared" si="1"/>
        <v>0</v>
      </c>
      <c r="H362" s="3">
        <v>0.0</v>
      </c>
      <c r="I362" s="3">
        <v>1.0</v>
      </c>
      <c r="J362" s="3">
        <v>0.2</v>
      </c>
      <c r="K362" s="3">
        <v>0.2273</v>
      </c>
      <c r="L362" s="3">
        <v>0.59</v>
      </c>
      <c r="M362" s="3">
        <v>0.0896</v>
      </c>
      <c r="N362" s="3">
        <v>1.0</v>
      </c>
      <c r="O362" s="3">
        <v>23.0</v>
      </c>
      <c r="P362" s="3">
        <v>24.0</v>
      </c>
      <c r="Q362" s="8"/>
      <c r="R362" s="8">
        <f t="shared" si="2"/>
        <v>1</v>
      </c>
      <c r="S362" s="8">
        <f t="shared" si="3"/>
        <v>0</v>
      </c>
      <c r="T362" s="8" t="str">
        <f t="shared" si="4"/>
        <v>OK</v>
      </c>
      <c r="U362" s="8">
        <f t="shared" si="5"/>
        <v>0</v>
      </c>
      <c r="V362" s="8"/>
      <c r="W362" s="8"/>
      <c r="X362" s="8"/>
      <c r="Y362" s="8"/>
      <c r="Z362" s="8"/>
    </row>
    <row r="363" ht="15.75" customHeight="1">
      <c r="A363" s="3">
        <v>972.0</v>
      </c>
      <c r="B363" s="4">
        <v>40587.0</v>
      </c>
      <c r="C363" s="3">
        <v>1.0</v>
      </c>
      <c r="D363" s="3">
        <v>0.0</v>
      </c>
      <c r="E363" s="3">
        <v>2.0</v>
      </c>
      <c r="F363" s="3">
        <v>2.0</v>
      </c>
      <c r="G363" s="3" t="b">
        <f t="shared" si="1"/>
        <v>0</v>
      </c>
      <c r="H363" s="3">
        <v>0.0</v>
      </c>
      <c r="I363" s="3">
        <v>2.0</v>
      </c>
      <c r="J363" s="3">
        <v>0.2</v>
      </c>
      <c r="K363" s="3">
        <v>0.2273</v>
      </c>
      <c r="L363" s="3">
        <v>0.75</v>
      </c>
      <c r="M363" s="3">
        <v>0.0896</v>
      </c>
      <c r="N363" s="3">
        <v>1.0</v>
      </c>
      <c r="O363" s="3">
        <v>19.0</v>
      </c>
      <c r="P363" s="3">
        <v>20.0</v>
      </c>
      <c r="Q363" s="8"/>
      <c r="R363" s="8">
        <f t="shared" si="2"/>
        <v>1</v>
      </c>
      <c r="S363" s="8">
        <f t="shared" si="3"/>
        <v>0</v>
      </c>
      <c r="T363" s="8" t="str">
        <f t="shared" si="4"/>
        <v>OK</v>
      </c>
      <c r="U363" s="8">
        <f t="shared" si="5"/>
        <v>0</v>
      </c>
      <c r="V363" s="8"/>
      <c r="W363" s="8"/>
      <c r="X363" s="8"/>
      <c r="Y363" s="8"/>
      <c r="Z363" s="8"/>
    </row>
    <row r="364" ht="15.75" customHeight="1">
      <c r="A364" s="3">
        <v>973.0</v>
      </c>
      <c r="B364" s="4">
        <v>40587.0</v>
      </c>
      <c r="C364" s="3">
        <v>1.0</v>
      </c>
      <c r="D364" s="3">
        <v>0.0</v>
      </c>
      <c r="E364" s="3">
        <v>2.0</v>
      </c>
      <c r="F364" s="3">
        <v>3.0</v>
      </c>
      <c r="G364" s="3" t="b">
        <f t="shared" si="1"/>
        <v>0</v>
      </c>
      <c r="H364" s="3">
        <v>0.0</v>
      </c>
      <c r="I364" s="3">
        <v>2.0</v>
      </c>
      <c r="J364" s="3">
        <v>0.2</v>
      </c>
      <c r="K364" s="3">
        <v>0.2273</v>
      </c>
      <c r="L364" s="3">
        <v>0.69</v>
      </c>
      <c r="M364" s="3">
        <v>0.1045</v>
      </c>
      <c r="N364" s="3">
        <v>4.0</v>
      </c>
      <c r="O364" s="3">
        <v>8.0</v>
      </c>
      <c r="P364" s="3">
        <v>12.0</v>
      </c>
      <c r="Q364" s="8"/>
      <c r="R364" s="8">
        <f t="shared" si="2"/>
        <v>1</v>
      </c>
      <c r="S364" s="8">
        <f t="shared" si="3"/>
        <v>0</v>
      </c>
      <c r="T364" s="8" t="str">
        <f t="shared" si="4"/>
        <v>OK</v>
      </c>
      <c r="U364" s="8">
        <f t="shared" si="5"/>
        <v>0</v>
      </c>
      <c r="V364" s="8"/>
      <c r="W364" s="8"/>
      <c r="X364" s="8"/>
      <c r="Y364" s="8"/>
      <c r="Z364" s="8"/>
    </row>
    <row r="365" ht="15.75" customHeight="1">
      <c r="A365" s="3">
        <v>974.0</v>
      </c>
      <c r="B365" s="4">
        <v>40587.0</v>
      </c>
      <c r="C365" s="3">
        <v>1.0</v>
      </c>
      <c r="D365" s="3">
        <v>0.0</v>
      </c>
      <c r="E365" s="3">
        <v>2.0</v>
      </c>
      <c r="F365" s="3">
        <v>4.0</v>
      </c>
      <c r="G365" s="3" t="b">
        <f t="shared" si="1"/>
        <v>0</v>
      </c>
      <c r="H365" s="3">
        <v>0.0</v>
      </c>
      <c r="I365" s="3">
        <v>2.0</v>
      </c>
      <c r="J365" s="3">
        <v>0.2</v>
      </c>
      <c r="K365" s="3">
        <v>0.2121</v>
      </c>
      <c r="L365" s="3">
        <v>0.69</v>
      </c>
      <c r="M365" s="3">
        <v>0.1642</v>
      </c>
      <c r="N365" s="3">
        <v>0.0</v>
      </c>
      <c r="O365" s="3">
        <v>2.0</v>
      </c>
      <c r="P365" s="3">
        <v>2.0</v>
      </c>
      <c r="Q365" s="8"/>
      <c r="R365" s="8">
        <f t="shared" si="2"/>
        <v>1</v>
      </c>
      <c r="S365" s="8">
        <f t="shared" si="3"/>
        <v>0</v>
      </c>
      <c r="T365" s="8" t="str">
        <f t="shared" si="4"/>
        <v>OK</v>
      </c>
      <c r="U365" s="8">
        <f t="shared" si="5"/>
        <v>0</v>
      </c>
      <c r="V365" s="8"/>
      <c r="W365" s="8"/>
      <c r="X365" s="8"/>
      <c r="Y365" s="8"/>
      <c r="Z365" s="8"/>
    </row>
    <row r="366" ht="15.75" customHeight="1">
      <c r="A366" s="3">
        <v>975.0</v>
      </c>
      <c r="B366" s="4">
        <v>40587.0</v>
      </c>
      <c r="C366" s="3">
        <v>1.0</v>
      </c>
      <c r="D366" s="3">
        <v>0.0</v>
      </c>
      <c r="E366" s="3">
        <v>2.0</v>
      </c>
      <c r="F366" s="3">
        <v>6.0</v>
      </c>
      <c r="G366" s="3" t="b">
        <f t="shared" si="1"/>
        <v>0</v>
      </c>
      <c r="H366" s="3">
        <v>0.0</v>
      </c>
      <c r="I366" s="3">
        <v>2.0</v>
      </c>
      <c r="J366" s="3">
        <v>0.2</v>
      </c>
      <c r="K366" s="3">
        <v>0.2121</v>
      </c>
      <c r="L366" s="3">
        <v>0.69</v>
      </c>
      <c r="M366" s="3">
        <v>0.1343</v>
      </c>
      <c r="N366" s="3">
        <v>2.0</v>
      </c>
      <c r="O366" s="3">
        <v>3.0</v>
      </c>
      <c r="P366" s="3">
        <v>5.0</v>
      </c>
      <c r="Q366" s="8"/>
      <c r="R366" s="8">
        <f t="shared" si="2"/>
        <v>1</v>
      </c>
      <c r="S366" s="8">
        <f t="shared" si="3"/>
        <v>0</v>
      </c>
      <c r="T366" s="8" t="str">
        <f t="shared" si="4"/>
        <v>OK</v>
      </c>
      <c r="U366" s="8">
        <f t="shared" si="5"/>
        <v>0</v>
      </c>
      <c r="V366" s="8"/>
      <c r="W366" s="8"/>
      <c r="X366" s="8"/>
      <c r="Y366" s="8"/>
      <c r="Z366" s="8"/>
    </row>
    <row r="367" ht="15.75" customHeight="1">
      <c r="A367" s="3">
        <v>976.0</v>
      </c>
      <c r="B367" s="4">
        <v>40587.0</v>
      </c>
      <c r="C367" s="3">
        <v>1.0</v>
      </c>
      <c r="D367" s="3">
        <v>0.0</v>
      </c>
      <c r="E367" s="3">
        <v>2.0</v>
      </c>
      <c r="F367" s="3">
        <v>7.0</v>
      </c>
      <c r="G367" s="3" t="b">
        <f t="shared" si="1"/>
        <v>0</v>
      </c>
      <c r="H367" s="3">
        <v>0.0</v>
      </c>
      <c r="I367" s="3">
        <v>2.0</v>
      </c>
      <c r="J367" s="3">
        <v>0.22</v>
      </c>
      <c r="K367" s="3">
        <v>0.2727</v>
      </c>
      <c r="L367" s="3">
        <v>0.55</v>
      </c>
      <c r="M367" s="3">
        <v>0.0</v>
      </c>
      <c r="N367" s="3">
        <v>0.0</v>
      </c>
      <c r="O367" s="3">
        <v>3.0</v>
      </c>
      <c r="P367" s="3">
        <v>3.0</v>
      </c>
      <c r="Q367" s="8"/>
      <c r="R367" s="8">
        <f t="shared" si="2"/>
        <v>1</v>
      </c>
      <c r="S367" s="8">
        <f t="shared" si="3"/>
        <v>0</v>
      </c>
      <c r="T367" s="8" t="str">
        <f t="shared" si="4"/>
        <v>OK</v>
      </c>
      <c r="U367" s="8">
        <f t="shared" si="5"/>
        <v>0</v>
      </c>
      <c r="V367" s="8"/>
      <c r="W367" s="8"/>
      <c r="X367" s="8"/>
      <c r="Y367" s="8"/>
      <c r="Z367" s="8"/>
    </row>
    <row r="368" ht="15.75" customHeight="1">
      <c r="A368" s="3">
        <v>977.0</v>
      </c>
      <c r="B368" s="4">
        <v>40587.0</v>
      </c>
      <c r="C368" s="3">
        <v>1.0</v>
      </c>
      <c r="D368" s="3">
        <v>0.0</v>
      </c>
      <c r="E368" s="3">
        <v>2.0</v>
      </c>
      <c r="F368" s="3">
        <v>8.0</v>
      </c>
      <c r="G368" s="3" t="b">
        <f t="shared" si="1"/>
        <v>0</v>
      </c>
      <c r="H368" s="3">
        <v>0.0</v>
      </c>
      <c r="I368" s="3">
        <v>2.0</v>
      </c>
      <c r="J368" s="3">
        <v>0.22</v>
      </c>
      <c r="K368" s="3">
        <v>0.2273</v>
      </c>
      <c r="L368" s="3">
        <v>0.64</v>
      </c>
      <c r="M368" s="3">
        <v>0.194</v>
      </c>
      <c r="N368" s="3">
        <v>1.0</v>
      </c>
      <c r="O368" s="3">
        <v>11.0</v>
      </c>
      <c r="P368" s="3">
        <v>12.0</v>
      </c>
      <c r="Q368" s="8"/>
      <c r="R368" s="8">
        <f t="shared" si="2"/>
        <v>1</v>
      </c>
      <c r="S368" s="8">
        <f t="shared" si="3"/>
        <v>0</v>
      </c>
      <c r="T368" s="8" t="str">
        <f t="shared" si="4"/>
        <v>OK</v>
      </c>
      <c r="U368" s="8">
        <f t="shared" si="5"/>
        <v>0</v>
      </c>
      <c r="V368" s="8"/>
      <c r="W368" s="8"/>
      <c r="X368" s="8"/>
      <c r="Y368" s="8"/>
      <c r="Z368" s="8"/>
    </row>
    <row r="369" ht="15.75" customHeight="1">
      <c r="A369" s="3">
        <v>978.0</v>
      </c>
      <c r="B369" s="4">
        <v>40587.0</v>
      </c>
      <c r="C369" s="3">
        <v>1.0</v>
      </c>
      <c r="D369" s="3">
        <v>0.0</v>
      </c>
      <c r="E369" s="3">
        <v>2.0</v>
      </c>
      <c r="F369" s="3">
        <v>9.0</v>
      </c>
      <c r="G369" s="3" t="b">
        <f t="shared" si="1"/>
        <v>0</v>
      </c>
      <c r="H369" s="3">
        <v>0.0</v>
      </c>
      <c r="I369" s="3">
        <v>2.0</v>
      </c>
      <c r="J369" s="3">
        <v>0.24</v>
      </c>
      <c r="K369" s="3">
        <v>0.2273</v>
      </c>
      <c r="L369" s="3">
        <v>0.6</v>
      </c>
      <c r="M369" s="3">
        <v>0.2239</v>
      </c>
      <c r="N369" s="3">
        <v>12.0</v>
      </c>
      <c r="O369" s="3">
        <v>35.0</v>
      </c>
      <c r="P369" s="3">
        <v>47.0</v>
      </c>
      <c r="Q369" s="8"/>
      <c r="R369" s="8">
        <f t="shared" si="2"/>
        <v>1</v>
      </c>
      <c r="S369" s="8">
        <f t="shared" si="3"/>
        <v>0</v>
      </c>
      <c r="T369" s="8" t="str">
        <f t="shared" si="4"/>
        <v>OK</v>
      </c>
      <c r="U369" s="8">
        <f t="shared" si="5"/>
        <v>0</v>
      </c>
      <c r="V369" s="8"/>
      <c r="W369" s="8"/>
      <c r="X369" s="8"/>
      <c r="Y369" s="8"/>
      <c r="Z369" s="8"/>
    </row>
    <row r="370" ht="15.75" customHeight="1">
      <c r="A370" s="3">
        <v>979.0</v>
      </c>
      <c r="B370" s="4">
        <v>40587.0</v>
      </c>
      <c r="C370" s="3">
        <v>1.0</v>
      </c>
      <c r="D370" s="3">
        <v>0.0</v>
      </c>
      <c r="E370" s="3">
        <v>2.0</v>
      </c>
      <c r="F370" s="3">
        <v>10.0</v>
      </c>
      <c r="G370" s="3" t="b">
        <f t="shared" si="1"/>
        <v>0</v>
      </c>
      <c r="H370" s="3">
        <v>0.0</v>
      </c>
      <c r="I370" s="3">
        <v>1.0</v>
      </c>
      <c r="J370" s="3">
        <v>0.3</v>
      </c>
      <c r="K370" s="3">
        <v>0.2727</v>
      </c>
      <c r="L370" s="3">
        <v>0.45</v>
      </c>
      <c r="M370" s="3">
        <v>0.3284</v>
      </c>
      <c r="N370" s="3">
        <v>19.0</v>
      </c>
      <c r="O370" s="3">
        <v>86.0</v>
      </c>
      <c r="P370" s="3">
        <v>105.0</v>
      </c>
      <c r="Q370" s="8"/>
      <c r="R370" s="8">
        <f t="shared" si="2"/>
        <v>1</v>
      </c>
      <c r="S370" s="8">
        <f t="shared" si="3"/>
        <v>0</v>
      </c>
      <c r="T370" s="8" t="str">
        <f t="shared" si="4"/>
        <v>OK</v>
      </c>
      <c r="U370" s="8">
        <f t="shared" si="5"/>
        <v>0</v>
      </c>
      <c r="V370" s="8"/>
      <c r="W370" s="8"/>
      <c r="X370" s="8"/>
      <c r="Y370" s="8"/>
      <c r="Z370" s="8"/>
    </row>
    <row r="371" ht="15.75" customHeight="1">
      <c r="A371" s="3">
        <v>980.0</v>
      </c>
      <c r="B371" s="4">
        <v>40587.0</v>
      </c>
      <c r="C371" s="3">
        <v>1.0</v>
      </c>
      <c r="D371" s="3">
        <v>0.0</v>
      </c>
      <c r="E371" s="3">
        <v>2.0</v>
      </c>
      <c r="F371" s="3">
        <v>11.0</v>
      </c>
      <c r="G371" s="3" t="b">
        <f t="shared" si="1"/>
        <v>0</v>
      </c>
      <c r="H371" s="3">
        <v>0.0</v>
      </c>
      <c r="I371" s="3">
        <v>1.0</v>
      </c>
      <c r="J371" s="3">
        <v>0.32</v>
      </c>
      <c r="K371" s="3">
        <v>0.2879</v>
      </c>
      <c r="L371" s="3">
        <v>0.39</v>
      </c>
      <c r="M371" s="3">
        <v>0.4478</v>
      </c>
      <c r="N371" s="3">
        <v>26.0</v>
      </c>
      <c r="O371" s="3">
        <v>86.0</v>
      </c>
      <c r="P371" s="3">
        <v>112.0</v>
      </c>
      <c r="Q371" s="8"/>
      <c r="R371" s="8">
        <f t="shared" si="2"/>
        <v>1</v>
      </c>
      <c r="S371" s="8">
        <f t="shared" si="3"/>
        <v>0</v>
      </c>
      <c r="T371" s="8" t="str">
        <f t="shared" si="4"/>
        <v>OK</v>
      </c>
      <c r="U371" s="8">
        <f t="shared" si="5"/>
        <v>0</v>
      </c>
      <c r="V371" s="8"/>
      <c r="W371" s="8"/>
      <c r="X371" s="8"/>
      <c r="Y371" s="8"/>
      <c r="Z371" s="8"/>
    </row>
    <row r="372" ht="15.75" customHeight="1">
      <c r="A372" s="3">
        <v>981.0</v>
      </c>
      <c r="B372" s="4">
        <v>40587.0</v>
      </c>
      <c r="C372" s="3">
        <v>1.0</v>
      </c>
      <c r="D372" s="3">
        <v>0.0</v>
      </c>
      <c r="E372" s="3">
        <v>2.0</v>
      </c>
      <c r="F372" s="3">
        <v>12.0</v>
      </c>
      <c r="G372" s="3" t="b">
        <f t="shared" si="1"/>
        <v>0</v>
      </c>
      <c r="H372" s="3">
        <v>0.0</v>
      </c>
      <c r="I372" s="3">
        <v>1.0</v>
      </c>
      <c r="J372" s="3">
        <v>0.36</v>
      </c>
      <c r="K372" s="3">
        <v>0.3182</v>
      </c>
      <c r="L372" s="3">
        <v>0.32</v>
      </c>
      <c r="M372" s="3">
        <v>0.4627</v>
      </c>
      <c r="N372" s="3">
        <v>58.0</v>
      </c>
      <c r="O372" s="3">
        <v>94.0</v>
      </c>
      <c r="P372" s="3">
        <v>152.0</v>
      </c>
      <c r="Q372" s="8"/>
      <c r="R372" s="8">
        <f t="shared" si="2"/>
        <v>1</v>
      </c>
      <c r="S372" s="8">
        <f t="shared" si="3"/>
        <v>0</v>
      </c>
      <c r="T372" s="8" t="str">
        <f t="shared" si="4"/>
        <v>OK</v>
      </c>
      <c r="U372" s="8">
        <f t="shared" si="5"/>
        <v>0</v>
      </c>
      <c r="V372" s="8"/>
      <c r="W372" s="8"/>
      <c r="X372" s="8"/>
      <c r="Y372" s="8"/>
      <c r="Z372" s="8"/>
    </row>
    <row r="373" ht="15.75" customHeight="1">
      <c r="A373" s="3">
        <v>982.0</v>
      </c>
      <c r="B373" s="4">
        <v>40587.0</v>
      </c>
      <c r="C373" s="3">
        <v>1.0</v>
      </c>
      <c r="D373" s="3">
        <v>0.0</v>
      </c>
      <c r="E373" s="3">
        <v>2.0</v>
      </c>
      <c r="F373" s="3">
        <v>13.0</v>
      </c>
      <c r="G373" s="3" t="b">
        <f t="shared" si="1"/>
        <v>0</v>
      </c>
      <c r="H373" s="3">
        <v>0.0</v>
      </c>
      <c r="I373" s="3">
        <v>1.0</v>
      </c>
      <c r="J373" s="3">
        <v>0.38</v>
      </c>
      <c r="K373" s="3">
        <v>0.3939</v>
      </c>
      <c r="L373" s="3">
        <v>0.29</v>
      </c>
      <c r="M373" s="3">
        <v>0.3582</v>
      </c>
      <c r="N373" s="3">
        <v>62.0</v>
      </c>
      <c r="O373" s="3">
        <v>92.0</v>
      </c>
      <c r="P373" s="3">
        <v>154.0</v>
      </c>
      <c r="Q373" s="8"/>
      <c r="R373" s="8">
        <f t="shared" si="2"/>
        <v>1</v>
      </c>
      <c r="S373" s="8">
        <f t="shared" si="3"/>
        <v>0</v>
      </c>
      <c r="T373" s="8" t="str">
        <f t="shared" si="4"/>
        <v>OK</v>
      </c>
      <c r="U373" s="8">
        <f t="shared" si="5"/>
        <v>0</v>
      </c>
      <c r="V373" s="8"/>
      <c r="W373" s="8"/>
      <c r="X373" s="8"/>
      <c r="Y373" s="8"/>
      <c r="Z373" s="8"/>
    </row>
    <row r="374" ht="15.75" customHeight="1">
      <c r="A374" s="3">
        <v>983.0</v>
      </c>
      <c r="B374" s="4">
        <v>40587.0</v>
      </c>
      <c r="C374" s="3">
        <v>1.0</v>
      </c>
      <c r="D374" s="3">
        <v>0.0</v>
      </c>
      <c r="E374" s="3">
        <v>2.0</v>
      </c>
      <c r="F374" s="3">
        <v>14.0</v>
      </c>
      <c r="G374" s="3" t="b">
        <f t="shared" si="1"/>
        <v>0</v>
      </c>
      <c r="H374" s="3">
        <v>0.0</v>
      </c>
      <c r="I374" s="3">
        <v>2.0</v>
      </c>
      <c r="J374" s="3">
        <v>0.4</v>
      </c>
      <c r="K374" s="3">
        <v>0.4091</v>
      </c>
      <c r="L374" s="3">
        <v>0.3</v>
      </c>
      <c r="M374" s="3">
        <v>0.4179</v>
      </c>
      <c r="N374" s="3">
        <v>51.0</v>
      </c>
      <c r="O374" s="3">
        <v>110.0</v>
      </c>
      <c r="P374" s="3">
        <v>161.0</v>
      </c>
      <c r="Q374" s="8"/>
      <c r="R374" s="8">
        <f t="shared" si="2"/>
        <v>1</v>
      </c>
      <c r="S374" s="8">
        <f t="shared" si="3"/>
        <v>0</v>
      </c>
      <c r="T374" s="8" t="str">
        <f t="shared" si="4"/>
        <v>OK</v>
      </c>
      <c r="U374" s="8">
        <f t="shared" si="5"/>
        <v>0</v>
      </c>
      <c r="V374" s="8"/>
      <c r="W374" s="8"/>
      <c r="X374" s="8"/>
      <c r="Y374" s="8"/>
      <c r="Z374" s="8"/>
    </row>
    <row r="375" ht="15.75" customHeight="1">
      <c r="A375" s="3">
        <v>984.0</v>
      </c>
      <c r="B375" s="4">
        <v>40587.0</v>
      </c>
      <c r="C375" s="3">
        <v>1.0</v>
      </c>
      <c r="D375" s="3">
        <v>0.0</v>
      </c>
      <c r="E375" s="3">
        <v>2.0</v>
      </c>
      <c r="F375" s="3">
        <v>15.0</v>
      </c>
      <c r="G375" s="3" t="b">
        <f t="shared" si="1"/>
        <v>0</v>
      </c>
      <c r="H375" s="3">
        <v>0.0</v>
      </c>
      <c r="I375" s="3">
        <v>2.0</v>
      </c>
      <c r="J375" s="3">
        <v>0.4</v>
      </c>
      <c r="K375" s="3">
        <v>0.4091</v>
      </c>
      <c r="L375" s="3">
        <v>0.3</v>
      </c>
      <c r="M375" s="3">
        <v>0.2985</v>
      </c>
      <c r="N375" s="3">
        <v>40.0</v>
      </c>
      <c r="O375" s="3">
        <v>122.0</v>
      </c>
      <c r="P375" s="3">
        <v>162.0</v>
      </c>
      <c r="Q375" s="8"/>
      <c r="R375" s="8">
        <f t="shared" si="2"/>
        <v>1</v>
      </c>
      <c r="S375" s="8">
        <f t="shared" si="3"/>
        <v>0</v>
      </c>
      <c r="T375" s="8" t="str">
        <f t="shared" si="4"/>
        <v>OK</v>
      </c>
      <c r="U375" s="8">
        <f t="shared" si="5"/>
        <v>0</v>
      </c>
      <c r="V375" s="8"/>
      <c r="W375" s="8"/>
      <c r="X375" s="8"/>
      <c r="Y375" s="8"/>
      <c r="Z375" s="8"/>
    </row>
    <row r="376" ht="15.75" customHeight="1">
      <c r="A376" s="3">
        <v>985.0</v>
      </c>
      <c r="B376" s="4">
        <v>40587.0</v>
      </c>
      <c r="C376" s="3">
        <v>1.0</v>
      </c>
      <c r="D376" s="3">
        <v>0.0</v>
      </c>
      <c r="E376" s="3">
        <v>2.0</v>
      </c>
      <c r="F376" s="3">
        <v>16.0</v>
      </c>
      <c r="G376" s="3" t="b">
        <f t="shared" si="1"/>
        <v>0</v>
      </c>
      <c r="H376" s="3">
        <v>0.0</v>
      </c>
      <c r="I376" s="3">
        <v>2.0</v>
      </c>
      <c r="J376" s="3">
        <v>0.42</v>
      </c>
      <c r="K376" s="3">
        <v>0.4242</v>
      </c>
      <c r="L376" s="3">
        <v>0.28</v>
      </c>
      <c r="M376" s="3">
        <v>0.3284</v>
      </c>
      <c r="N376" s="3">
        <v>28.0</v>
      </c>
      <c r="O376" s="3">
        <v>106.0</v>
      </c>
      <c r="P376" s="3">
        <v>134.0</v>
      </c>
      <c r="Q376" s="8"/>
      <c r="R376" s="8">
        <f t="shared" si="2"/>
        <v>1</v>
      </c>
      <c r="S376" s="8">
        <f t="shared" si="3"/>
        <v>0</v>
      </c>
      <c r="T376" s="8" t="str">
        <f t="shared" si="4"/>
        <v>OK</v>
      </c>
      <c r="U376" s="8">
        <f t="shared" si="5"/>
        <v>0</v>
      </c>
      <c r="V376" s="8"/>
      <c r="W376" s="8"/>
      <c r="X376" s="8"/>
      <c r="Y376" s="8"/>
      <c r="Z376" s="8"/>
    </row>
    <row r="377" ht="15.75" customHeight="1">
      <c r="A377" s="3">
        <v>986.0</v>
      </c>
      <c r="B377" s="4">
        <v>40587.0</v>
      </c>
      <c r="C377" s="3">
        <v>1.0</v>
      </c>
      <c r="D377" s="3">
        <v>0.0</v>
      </c>
      <c r="E377" s="3">
        <v>2.0</v>
      </c>
      <c r="F377" s="3">
        <v>17.0</v>
      </c>
      <c r="G377" s="3" t="b">
        <f t="shared" si="1"/>
        <v>0</v>
      </c>
      <c r="H377" s="3">
        <v>0.0</v>
      </c>
      <c r="I377" s="3">
        <v>1.0</v>
      </c>
      <c r="J377" s="3">
        <v>0.42</v>
      </c>
      <c r="K377" s="3">
        <v>0.4242</v>
      </c>
      <c r="L377" s="3">
        <v>0.28</v>
      </c>
      <c r="M377" s="3">
        <v>0.3284</v>
      </c>
      <c r="N377" s="3">
        <v>30.0</v>
      </c>
      <c r="O377" s="3">
        <v>95.0</v>
      </c>
      <c r="P377" s="3">
        <v>125.0</v>
      </c>
      <c r="Q377" s="8"/>
      <c r="R377" s="8">
        <f t="shared" si="2"/>
        <v>1</v>
      </c>
      <c r="S377" s="8">
        <f t="shared" si="3"/>
        <v>0</v>
      </c>
      <c r="T377" s="8" t="str">
        <f t="shared" si="4"/>
        <v>OK</v>
      </c>
      <c r="U377" s="8">
        <f t="shared" si="5"/>
        <v>0</v>
      </c>
      <c r="V377" s="8"/>
      <c r="W377" s="8"/>
      <c r="X377" s="8"/>
      <c r="Y377" s="8"/>
      <c r="Z377" s="8"/>
    </row>
    <row r="378" ht="15.75" customHeight="1">
      <c r="A378" s="3">
        <v>987.0</v>
      </c>
      <c r="B378" s="4">
        <v>40587.0</v>
      </c>
      <c r="C378" s="3">
        <v>1.0</v>
      </c>
      <c r="D378" s="3">
        <v>0.0</v>
      </c>
      <c r="E378" s="3">
        <v>2.0</v>
      </c>
      <c r="F378" s="3">
        <v>18.0</v>
      </c>
      <c r="G378" s="3" t="b">
        <f t="shared" si="1"/>
        <v>0</v>
      </c>
      <c r="H378" s="3">
        <v>0.0</v>
      </c>
      <c r="I378" s="3">
        <v>1.0</v>
      </c>
      <c r="J378" s="3">
        <v>0.4</v>
      </c>
      <c r="K378" s="3">
        <v>0.4091</v>
      </c>
      <c r="L378" s="3">
        <v>0.32</v>
      </c>
      <c r="M378" s="3">
        <v>0.2985</v>
      </c>
      <c r="N378" s="3">
        <v>17.0</v>
      </c>
      <c r="O378" s="3">
        <v>78.0</v>
      </c>
      <c r="P378" s="3">
        <v>95.0</v>
      </c>
      <c r="Q378" s="8"/>
      <c r="R378" s="8">
        <f t="shared" si="2"/>
        <v>1</v>
      </c>
      <c r="S378" s="8">
        <f t="shared" si="3"/>
        <v>0</v>
      </c>
      <c r="T378" s="8" t="str">
        <f t="shared" si="4"/>
        <v>OK</v>
      </c>
      <c r="U378" s="8">
        <f t="shared" si="5"/>
        <v>0</v>
      </c>
      <c r="V378" s="8"/>
      <c r="W378" s="8"/>
      <c r="X378" s="8"/>
      <c r="Y378" s="8"/>
      <c r="Z378" s="8"/>
    </row>
    <row r="379" ht="15.75" customHeight="1">
      <c r="A379" s="3">
        <v>988.0</v>
      </c>
      <c r="B379" s="4">
        <v>40587.0</v>
      </c>
      <c r="C379" s="3">
        <v>1.0</v>
      </c>
      <c r="D379" s="3">
        <v>0.0</v>
      </c>
      <c r="E379" s="3">
        <v>2.0</v>
      </c>
      <c r="F379" s="3">
        <v>19.0</v>
      </c>
      <c r="G379" s="3" t="b">
        <f t="shared" si="1"/>
        <v>0</v>
      </c>
      <c r="H379" s="3">
        <v>0.0</v>
      </c>
      <c r="I379" s="3">
        <v>1.0</v>
      </c>
      <c r="J379" s="3">
        <v>0.4</v>
      </c>
      <c r="K379" s="3">
        <v>0.4091</v>
      </c>
      <c r="L379" s="3">
        <v>0.35</v>
      </c>
      <c r="M379" s="3">
        <v>0.2836</v>
      </c>
      <c r="N379" s="3">
        <v>11.0</v>
      </c>
      <c r="O379" s="3">
        <v>50.0</v>
      </c>
      <c r="P379" s="3">
        <v>61.0</v>
      </c>
      <c r="Q379" s="8"/>
      <c r="R379" s="8">
        <f t="shared" si="2"/>
        <v>1</v>
      </c>
      <c r="S379" s="8">
        <f t="shared" si="3"/>
        <v>0</v>
      </c>
      <c r="T379" s="8" t="str">
        <f t="shared" si="4"/>
        <v>OK</v>
      </c>
      <c r="U379" s="8">
        <f t="shared" si="5"/>
        <v>0</v>
      </c>
      <c r="V379" s="8"/>
      <c r="W379" s="8"/>
      <c r="X379" s="8"/>
      <c r="Y379" s="8"/>
      <c r="Z379" s="8"/>
    </row>
    <row r="380" ht="15.75" customHeight="1">
      <c r="A380" s="3">
        <v>989.0</v>
      </c>
      <c r="B380" s="4">
        <v>40587.0</v>
      </c>
      <c r="C380" s="3">
        <v>1.0</v>
      </c>
      <c r="D380" s="3">
        <v>0.0</v>
      </c>
      <c r="E380" s="3">
        <v>2.0</v>
      </c>
      <c r="F380" s="3">
        <v>20.0</v>
      </c>
      <c r="G380" s="3" t="b">
        <f t="shared" si="1"/>
        <v>0</v>
      </c>
      <c r="H380" s="3">
        <v>0.0</v>
      </c>
      <c r="I380" s="3">
        <v>1.0</v>
      </c>
      <c r="J380" s="3">
        <v>0.4</v>
      </c>
      <c r="K380" s="3">
        <v>0.4091</v>
      </c>
      <c r="L380" s="3">
        <v>0.35</v>
      </c>
      <c r="M380" s="3">
        <v>0.3284</v>
      </c>
      <c r="N380" s="3">
        <v>15.0</v>
      </c>
      <c r="O380" s="3">
        <v>32.0</v>
      </c>
      <c r="P380" s="3">
        <v>47.0</v>
      </c>
      <c r="Q380" s="8"/>
      <c r="R380" s="8">
        <f t="shared" si="2"/>
        <v>1</v>
      </c>
      <c r="S380" s="8">
        <f t="shared" si="3"/>
        <v>0</v>
      </c>
      <c r="T380" s="8" t="str">
        <f t="shared" si="4"/>
        <v>OK</v>
      </c>
      <c r="U380" s="8">
        <f t="shared" si="5"/>
        <v>0</v>
      </c>
      <c r="V380" s="8"/>
      <c r="W380" s="8"/>
      <c r="X380" s="8"/>
      <c r="Y380" s="8"/>
      <c r="Z380" s="8"/>
    </row>
    <row r="381" ht="15.75" customHeight="1">
      <c r="A381" s="3">
        <v>990.0</v>
      </c>
      <c r="B381" s="4">
        <v>40587.0</v>
      </c>
      <c r="C381" s="3">
        <v>1.0</v>
      </c>
      <c r="D381" s="3">
        <v>0.0</v>
      </c>
      <c r="E381" s="3">
        <v>2.0</v>
      </c>
      <c r="F381" s="3">
        <v>21.0</v>
      </c>
      <c r="G381" s="3" t="b">
        <f t="shared" si="1"/>
        <v>0</v>
      </c>
      <c r="H381" s="3">
        <v>0.0</v>
      </c>
      <c r="I381" s="3">
        <v>1.0</v>
      </c>
      <c r="J381" s="3">
        <v>0.4</v>
      </c>
      <c r="K381" s="3">
        <v>0.4091</v>
      </c>
      <c r="L381" s="3">
        <v>0.35</v>
      </c>
      <c r="M381" s="3">
        <v>0.3582</v>
      </c>
      <c r="N381" s="3">
        <v>6.0</v>
      </c>
      <c r="O381" s="3">
        <v>45.0</v>
      </c>
      <c r="P381" s="3">
        <v>51.0</v>
      </c>
      <c r="Q381" s="8"/>
      <c r="R381" s="8">
        <f t="shared" si="2"/>
        <v>1</v>
      </c>
      <c r="S381" s="8">
        <f t="shared" si="3"/>
        <v>0</v>
      </c>
      <c r="T381" s="8" t="str">
        <f t="shared" si="4"/>
        <v>OK</v>
      </c>
      <c r="U381" s="8">
        <f t="shared" si="5"/>
        <v>0</v>
      </c>
      <c r="V381" s="8"/>
      <c r="W381" s="8"/>
      <c r="X381" s="8"/>
      <c r="Y381" s="8"/>
      <c r="Z381" s="8"/>
    </row>
    <row r="382" ht="15.75" customHeight="1">
      <c r="A382" s="3">
        <v>991.0</v>
      </c>
      <c r="B382" s="4">
        <v>40587.0</v>
      </c>
      <c r="C382" s="3">
        <v>1.0</v>
      </c>
      <c r="D382" s="3">
        <v>0.0</v>
      </c>
      <c r="E382" s="3">
        <v>2.0</v>
      </c>
      <c r="F382" s="3">
        <v>22.0</v>
      </c>
      <c r="G382" s="3" t="b">
        <f t="shared" si="1"/>
        <v>0</v>
      </c>
      <c r="H382" s="3">
        <v>0.0</v>
      </c>
      <c r="I382" s="3">
        <v>1.0</v>
      </c>
      <c r="J382" s="3">
        <v>0.4</v>
      </c>
      <c r="K382" s="3">
        <v>0.4091</v>
      </c>
      <c r="L382" s="3">
        <v>0.35</v>
      </c>
      <c r="M382" s="3">
        <v>0.2985</v>
      </c>
      <c r="N382" s="3">
        <v>5.0</v>
      </c>
      <c r="O382" s="3">
        <v>31.0</v>
      </c>
      <c r="P382" s="3">
        <v>36.0</v>
      </c>
      <c r="Q382" s="8"/>
      <c r="R382" s="8">
        <f t="shared" si="2"/>
        <v>1</v>
      </c>
      <c r="S382" s="8">
        <f t="shared" si="3"/>
        <v>0</v>
      </c>
      <c r="T382" s="8" t="str">
        <f t="shared" si="4"/>
        <v>OK</v>
      </c>
      <c r="U382" s="8">
        <f t="shared" si="5"/>
        <v>0</v>
      </c>
      <c r="V382" s="8"/>
      <c r="W382" s="8"/>
      <c r="X382" s="8"/>
      <c r="Y382" s="8"/>
      <c r="Z382" s="8"/>
    </row>
    <row r="383" ht="15.75" customHeight="1">
      <c r="A383" s="3">
        <v>992.0</v>
      </c>
      <c r="B383" s="4">
        <v>40587.0</v>
      </c>
      <c r="C383" s="3">
        <v>1.0</v>
      </c>
      <c r="D383" s="3">
        <v>0.0</v>
      </c>
      <c r="E383" s="3">
        <v>2.0</v>
      </c>
      <c r="F383" s="3">
        <v>23.0</v>
      </c>
      <c r="G383" s="3" t="b">
        <f t="shared" si="1"/>
        <v>0</v>
      </c>
      <c r="H383" s="3">
        <v>0.0</v>
      </c>
      <c r="I383" s="3">
        <v>1.0</v>
      </c>
      <c r="J383" s="3">
        <v>0.4</v>
      </c>
      <c r="K383" s="3">
        <v>0.4091</v>
      </c>
      <c r="L383" s="3">
        <v>0.35</v>
      </c>
      <c r="M383" s="3">
        <v>0.3582</v>
      </c>
      <c r="N383" s="3">
        <v>3.0</v>
      </c>
      <c r="O383" s="3">
        <v>27.0</v>
      </c>
      <c r="P383" s="3">
        <v>30.0</v>
      </c>
      <c r="Q383" s="8"/>
      <c r="R383" s="8">
        <f t="shared" si="2"/>
        <v>1</v>
      </c>
      <c r="S383" s="8">
        <f t="shared" si="3"/>
        <v>0</v>
      </c>
      <c r="T383" s="8" t="str">
        <f t="shared" si="4"/>
        <v>OK</v>
      </c>
      <c r="U383" s="8">
        <f t="shared" si="5"/>
        <v>0</v>
      </c>
      <c r="V383" s="8"/>
      <c r="W383" s="8"/>
      <c r="X383" s="8"/>
      <c r="Y383" s="8"/>
      <c r="Z383" s="8"/>
    </row>
    <row r="384" ht="15.75" customHeight="1">
      <c r="A384" s="3">
        <v>993.0</v>
      </c>
      <c r="B384" s="4">
        <v>40588.0</v>
      </c>
      <c r="C384" s="3">
        <v>1.0</v>
      </c>
      <c r="D384" s="3">
        <v>0.0</v>
      </c>
      <c r="E384" s="3">
        <v>2.0</v>
      </c>
      <c r="F384" s="3">
        <v>0.0</v>
      </c>
      <c r="G384" s="3" t="b">
        <f t="shared" si="1"/>
        <v>0</v>
      </c>
      <c r="H384" s="3">
        <v>1.0</v>
      </c>
      <c r="I384" s="3">
        <v>1.0</v>
      </c>
      <c r="J384" s="3">
        <v>0.38</v>
      </c>
      <c r="K384" s="3">
        <v>0.3939</v>
      </c>
      <c r="L384" s="3">
        <v>0.37</v>
      </c>
      <c r="M384" s="3">
        <v>0.3582</v>
      </c>
      <c r="N384" s="3">
        <v>3.0</v>
      </c>
      <c r="O384" s="3">
        <v>8.0</v>
      </c>
      <c r="P384" s="3">
        <v>11.0</v>
      </c>
      <c r="Q384" s="8"/>
      <c r="R384" s="8">
        <f t="shared" si="2"/>
        <v>1</v>
      </c>
      <c r="S384" s="8">
        <f t="shared" si="3"/>
        <v>0</v>
      </c>
      <c r="T384" s="8" t="str">
        <f t="shared" si="4"/>
        <v>OK</v>
      </c>
      <c r="U384" s="8">
        <f t="shared" si="5"/>
        <v>0</v>
      </c>
      <c r="V384" s="8"/>
      <c r="W384" s="8"/>
      <c r="X384" s="8"/>
      <c r="Y384" s="8"/>
      <c r="Z384" s="8"/>
    </row>
    <row r="385" ht="15.75" customHeight="1">
      <c r="A385" s="3">
        <v>994.0</v>
      </c>
      <c r="B385" s="4">
        <v>40588.0</v>
      </c>
      <c r="C385" s="3">
        <v>1.0</v>
      </c>
      <c r="D385" s="3">
        <v>0.0</v>
      </c>
      <c r="E385" s="3">
        <v>2.0</v>
      </c>
      <c r="F385" s="3">
        <v>1.0</v>
      </c>
      <c r="G385" s="3" t="b">
        <f t="shared" si="1"/>
        <v>0</v>
      </c>
      <c r="H385" s="3">
        <v>1.0</v>
      </c>
      <c r="I385" s="3">
        <v>1.0</v>
      </c>
      <c r="J385" s="3">
        <v>0.38</v>
      </c>
      <c r="K385" s="3">
        <v>0.3939</v>
      </c>
      <c r="L385" s="3">
        <v>0.37</v>
      </c>
      <c r="M385" s="3">
        <v>0.3582</v>
      </c>
      <c r="N385" s="3">
        <v>1.0</v>
      </c>
      <c r="O385" s="3">
        <v>6.0</v>
      </c>
      <c r="P385" s="3">
        <v>7.0</v>
      </c>
      <c r="Q385" s="8"/>
      <c r="R385" s="8">
        <f t="shared" si="2"/>
        <v>1</v>
      </c>
      <c r="S385" s="8">
        <f t="shared" si="3"/>
        <v>0</v>
      </c>
      <c r="T385" s="8" t="str">
        <f t="shared" si="4"/>
        <v>OK</v>
      </c>
      <c r="U385" s="8">
        <f t="shared" si="5"/>
        <v>0</v>
      </c>
      <c r="V385" s="8"/>
      <c r="W385" s="8"/>
      <c r="X385" s="8"/>
      <c r="Y385" s="8"/>
      <c r="Z385" s="8"/>
    </row>
    <row r="386" ht="15.75" customHeight="1">
      <c r="A386" s="3">
        <v>995.0</v>
      </c>
      <c r="B386" s="4">
        <v>40588.0</v>
      </c>
      <c r="C386" s="3">
        <v>1.0</v>
      </c>
      <c r="D386" s="3">
        <v>0.0</v>
      </c>
      <c r="E386" s="3">
        <v>2.0</v>
      </c>
      <c r="F386" s="3">
        <v>2.0</v>
      </c>
      <c r="G386" s="3" t="b">
        <f t="shared" si="1"/>
        <v>0</v>
      </c>
      <c r="H386" s="3">
        <v>1.0</v>
      </c>
      <c r="I386" s="3">
        <v>1.0</v>
      </c>
      <c r="J386" s="3">
        <v>0.36</v>
      </c>
      <c r="K386" s="3">
        <v>0.3333</v>
      </c>
      <c r="L386" s="3">
        <v>0.4</v>
      </c>
      <c r="M386" s="3">
        <v>0.2985</v>
      </c>
      <c r="N386" s="3">
        <v>0.0</v>
      </c>
      <c r="O386" s="3">
        <v>2.0</v>
      </c>
      <c r="P386" s="3">
        <v>2.0</v>
      </c>
      <c r="Q386" s="8"/>
      <c r="R386" s="8">
        <f t="shared" si="2"/>
        <v>1</v>
      </c>
      <c r="S386" s="8">
        <f t="shared" si="3"/>
        <v>0</v>
      </c>
      <c r="T386" s="8" t="str">
        <f t="shared" si="4"/>
        <v>OK</v>
      </c>
      <c r="U386" s="8">
        <f t="shared" si="5"/>
        <v>0</v>
      </c>
      <c r="V386" s="8"/>
      <c r="W386" s="8"/>
      <c r="X386" s="8"/>
      <c r="Y386" s="8"/>
      <c r="Z386" s="8"/>
    </row>
    <row r="387" ht="15.75" customHeight="1">
      <c r="A387" s="3">
        <v>996.0</v>
      </c>
      <c r="B387" s="4">
        <v>40588.0</v>
      </c>
      <c r="C387" s="3">
        <v>1.0</v>
      </c>
      <c r="D387" s="3">
        <v>0.0</v>
      </c>
      <c r="E387" s="3">
        <v>2.0</v>
      </c>
      <c r="F387" s="3">
        <v>3.0</v>
      </c>
      <c r="G387" s="3" t="b">
        <f t="shared" si="1"/>
        <v>0</v>
      </c>
      <c r="H387" s="3">
        <v>1.0</v>
      </c>
      <c r="I387" s="3">
        <v>1.0</v>
      </c>
      <c r="J387" s="3">
        <v>0.34</v>
      </c>
      <c r="K387" s="3">
        <v>0.3182</v>
      </c>
      <c r="L387" s="3">
        <v>0.46</v>
      </c>
      <c r="M387" s="3">
        <v>0.2239</v>
      </c>
      <c r="N387" s="3">
        <v>1.0</v>
      </c>
      <c r="O387" s="3">
        <v>1.0</v>
      </c>
      <c r="P387" s="3">
        <v>2.0</v>
      </c>
      <c r="Q387" s="8"/>
      <c r="R387" s="8">
        <f t="shared" si="2"/>
        <v>1</v>
      </c>
      <c r="S387" s="8">
        <f t="shared" si="3"/>
        <v>0</v>
      </c>
      <c r="T387" s="8" t="str">
        <f t="shared" si="4"/>
        <v>OK</v>
      </c>
      <c r="U387" s="8">
        <f t="shared" si="5"/>
        <v>0</v>
      </c>
      <c r="V387" s="8"/>
      <c r="W387" s="8"/>
      <c r="X387" s="8"/>
      <c r="Y387" s="8"/>
      <c r="Z387" s="8"/>
    </row>
    <row r="388" ht="15.75" customHeight="1">
      <c r="A388" s="3">
        <v>997.0</v>
      </c>
      <c r="B388" s="4">
        <v>40588.0</v>
      </c>
      <c r="C388" s="3">
        <v>1.0</v>
      </c>
      <c r="D388" s="3">
        <v>0.0</v>
      </c>
      <c r="E388" s="3">
        <v>2.0</v>
      </c>
      <c r="F388" s="3">
        <v>4.0</v>
      </c>
      <c r="G388" s="3" t="b">
        <f t="shared" si="1"/>
        <v>0</v>
      </c>
      <c r="H388" s="3">
        <v>1.0</v>
      </c>
      <c r="I388" s="3">
        <v>1.0</v>
      </c>
      <c r="J388" s="3">
        <v>0.32</v>
      </c>
      <c r="K388" s="3">
        <v>0.303</v>
      </c>
      <c r="L388" s="3">
        <v>0.53</v>
      </c>
      <c r="M388" s="3">
        <v>0.2836</v>
      </c>
      <c r="N388" s="3">
        <v>0.0</v>
      </c>
      <c r="O388" s="3">
        <v>2.0</v>
      </c>
      <c r="P388" s="3">
        <v>2.0</v>
      </c>
      <c r="Q388" s="8"/>
      <c r="R388" s="8">
        <f t="shared" si="2"/>
        <v>1</v>
      </c>
      <c r="S388" s="8">
        <f t="shared" si="3"/>
        <v>0</v>
      </c>
      <c r="T388" s="8" t="str">
        <f t="shared" si="4"/>
        <v>OK</v>
      </c>
      <c r="U388" s="8">
        <f t="shared" si="5"/>
        <v>0</v>
      </c>
      <c r="V388" s="8"/>
      <c r="W388" s="8"/>
      <c r="X388" s="8"/>
      <c r="Y388" s="8"/>
      <c r="Z388" s="8"/>
    </row>
    <row r="389" ht="15.75" customHeight="1">
      <c r="A389" s="3">
        <v>998.0</v>
      </c>
      <c r="B389" s="4">
        <v>40588.0</v>
      </c>
      <c r="C389" s="3">
        <v>1.0</v>
      </c>
      <c r="D389" s="3">
        <v>0.0</v>
      </c>
      <c r="E389" s="3">
        <v>2.0</v>
      </c>
      <c r="F389" s="3">
        <v>5.0</v>
      </c>
      <c r="G389" s="3" t="b">
        <f t="shared" si="1"/>
        <v>0</v>
      </c>
      <c r="H389" s="3">
        <v>1.0</v>
      </c>
      <c r="I389" s="3">
        <v>1.0</v>
      </c>
      <c r="J389" s="3">
        <v>0.32</v>
      </c>
      <c r="K389" s="3">
        <v>0.303</v>
      </c>
      <c r="L389" s="3">
        <v>0.53</v>
      </c>
      <c r="M389" s="3">
        <v>0.2836</v>
      </c>
      <c r="N389" s="3">
        <v>0.0</v>
      </c>
      <c r="O389" s="3">
        <v>3.0</v>
      </c>
      <c r="P389" s="3">
        <v>3.0</v>
      </c>
      <c r="Q389" s="8"/>
      <c r="R389" s="8">
        <f t="shared" si="2"/>
        <v>1</v>
      </c>
      <c r="S389" s="8">
        <f t="shared" si="3"/>
        <v>0</v>
      </c>
      <c r="T389" s="8" t="str">
        <f t="shared" si="4"/>
        <v>OK</v>
      </c>
      <c r="U389" s="8">
        <f t="shared" si="5"/>
        <v>0</v>
      </c>
      <c r="V389" s="8"/>
      <c r="W389" s="8"/>
      <c r="X389" s="8"/>
      <c r="Y389" s="8"/>
      <c r="Z389" s="8"/>
    </row>
    <row r="390" ht="15.75" customHeight="1">
      <c r="A390" s="3">
        <v>999.0</v>
      </c>
      <c r="B390" s="4">
        <v>40588.0</v>
      </c>
      <c r="C390" s="3">
        <v>1.0</v>
      </c>
      <c r="D390" s="3">
        <v>0.0</v>
      </c>
      <c r="E390" s="3">
        <v>2.0</v>
      </c>
      <c r="F390" s="3">
        <v>6.0</v>
      </c>
      <c r="G390" s="3" t="b">
        <f t="shared" si="1"/>
        <v>0</v>
      </c>
      <c r="H390" s="3">
        <v>1.0</v>
      </c>
      <c r="I390" s="3">
        <v>1.0</v>
      </c>
      <c r="J390" s="3">
        <v>0.34</v>
      </c>
      <c r="K390" s="3">
        <v>0.303</v>
      </c>
      <c r="L390" s="3">
        <v>0.46</v>
      </c>
      <c r="M390" s="3">
        <v>0.2985</v>
      </c>
      <c r="N390" s="3">
        <v>1.0</v>
      </c>
      <c r="O390" s="3">
        <v>25.0</v>
      </c>
      <c r="P390" s="3">
        <v>26.0</v>
      </c>
      <c r="Q390" s="8"/>
      <c r="R390" s="8">
        <f t="shared" si="2"/>
        <v>1</v>
      </c>
      <c r="S390" s="8">
        <f t="shared" si="3"/>
        <v>0</v>
      </c>
      <c r="T390" s="8" t="str">
        <f t="shared" si="4"/>
        <v>OK</v>
      </c>
      <c r="U390" s="8">
        <f t="shared" si="5"/>
        <v>0</v>
      </c>
      <c r="V390" s="8"/>
      <c r="W390" s="8"/>
      <c r="X390" s="8"/>
      <c r="Y390" s="8"/>
      <c r="Z390" s="8"/>
    </row>
    <row r="391" ht="15.75" customHeight="1">
      <c r="A391" s="3">
        <v>1000.0</v>
      </c>
      <c r="B391" s="4">
        <v>40588.0</v>
      </c>
      <c r="C391" s="3">
        <v>1.0</v>
      </c>
      <c r="D391" s="3">
        <v>0.0</v>
      </c>
      <c r="E391" s="3">
        <v>2.0</v>
      </c>
      <c r="F391" s="3">
        <v>7.0</v>
      </c>
      <c r="G391" s="3" t="b">
        <f t="shared" si="1"/>
        <v>0</v>
      </c>
      <c r="H391" s="3">
        <v>1.0</v>
      </c>
      <c r="I391" s="3">
        <v>1.0</v>
      </c>
      <c r="J391" s="3">
        <v>0.34</v>
      </c>
      <c r="K391" s="3">
        <v>0.303</v>
      </c>
      <c r="L391" s="3">
        <v>0.46</v>
      </c>
      <c r="M391" s="3">
        <v>0.2985</v>
      </c>
      <c r="N391" s="3">
        <v>2.0</v>
      </c>
      <c r="O391" s="3">
        <v>96.0</v>
      </c>
      <c r="P391" s="3">
        <v>98.0</v>
      </c>
      <c r="Q391" s="8"/>
      <c r="R391" s="8">
        <f t="shared" si="2"/>
        <v>1</v>
      </c>
      <c r="S391" s="8">
        <f t="shared" si="3"/>
        <v>0</v>
      </c>
      <c r="T391" s="8" t="str">
        <f t="shared" si="4"/>
        <v>OK</v>
      </c>
      <c r="U391" s="8">
        <f t="shared" si="5"/>
        <v>0</v>
      </c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autoFilter ref="$A$1:$P$391"/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88"/>
    <col customWidth="1" min="2" max="2" width="11.0"/>
    <col customWidth="1" min="3" max="3" width="11.63"/>
    <col customWidth="1" min="4" max="4" width="6.13"/>
    <col customWidth="1" min="5" max="5" width="9.25"/>
    <col customWidth="1" min="6" max="6" width="6.25"/>
    <col customWidth="1" min="7" max="7" width="11.63"/>
    <col customWidth="1" min="8" max="8" width="13.25"/>
    <col customWidth="1" min="9" max="9" width="14.5"/>
    <col customWidth="1" min="10" max="10" width="9.25"/>
    <col customWidth="1" min="11" max="11" width="11.63"/>
    <col customWidth="1" min="12" max="12" width="9.38"/>
    <col customWidth="1" min="13" max="13" width="16.13"/>
    <col customWidth="1" min="14" max="14" width="11.38"/>
    <col customWidth="1" min="15" max="15" width="15.5"/>
    <col customWidth="1" min="16" max="16" width="7.88"/>
    <col customWidth="1" min="17" max="17" width="11.5"/>
    <col customWidth="1" min="18" max="18" width="16.75"/>
    <col customWidth="1" min="19" max="19" width="15.0"/>
    <col customWidth="1" min="20" max="20" width="17.0"/>
    <col customWidth="1" min="21" max="21" width="18.0"/>
    <col customWidth="1" min="22" max="26" width="11.5"/>
  </cols>
  <sheetData>
    <row r="1" ht="13.5" customHeight="1">
      <c r="A1" s="6" t="s">
        <v>0</v>
      </c>
      <c r="B1" s="7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/>
      <c r="R1" s="6" t="s">
        <v>23</v>
      </c>
      <c r="S1" s="6" t="s">
        <v>24</v>
      </c>
      <c r="T1" s="6" t="s">
        <v>20</v>
      </c>
      <c r="U1" s="6" t="s">
        <v>18</v>
      </c>
      <c r="V1" s="6"/>
      <c r="W1" s="6"/>
      <c r="X1" s="6"/>
      <c r="Y1" s="6"/>
      <c r="Z1" s="6"/>
    </row>
    <row r="2" ht="13.5" customHeight="1">
      <c r="A2" s="10">
        <f>dataset_1!A441</f>
        <v>440</v>
      </c>
      <c r="B2" s="11">
        <f>dataset_1!B441</f>
        <v>40563</v>
      </c>
      <c r="C2" s="10">
        <f>dataset_1!C441</f>
        <v>1</v>
      </c>
      <c r="D2" s="10">
        <f>dataset_1!D441</f>
        <v>0</v>
      </c>
      <c r="E2" s="10">
        <f>dataset_1!E441</f>
        <v>1</v>
      </c>
      <c r="F2" s="10">
        <f>dataset_1!F441</f>
        <v>8</v>
      </c>
      <c r="G2" s="10" t="b">
        <f>dataset_1!G441</f>
        <v>0</v>
      </c>
      <c r="H2" s="10">
        <f>dataset_1!H441</f>
        <v>4</v>
      </c>
      <c r="I2" s="10">
        <f>dataset_1!I441</f>
        <v>1</v>
      </c>
      <c r="J2" s="10">
        <f>dataset_1!J441</f>
        <v>0.22</v>
      </c>
      <c r="K2" s="10">
        <f>VLOOKUP(A2,dataset_2!$A$2:$G$611,2,0)</f>
        <v>0.2121</v>
      </c>
      <c r="L2" s="10">
        <f>VLOOKUP(A2,dataset_2!$A$2:$G$611,3,0)</f>
        <v>0.55</v>
      </c>
      <c r="M2" s="10">
        <f>VLOOKUP(A2,dataset_2!$A$2:$G$611,4,0)</f>
        <v>0.2836</v>
      </c>
      <c r="N2" s="10">
        <f>VLOOKUP(A2,dataset_2!$A$2:$G$611,5,0)</f>
        <v>2</v>
      </c>
      <c r="O2" s="10">
        <f>VLOOKUP(A2,dataset_2!$A$2:$G$611,6,0)</f>
        <v>247</v>
      </c>
      <c r="P2" s="10">
        <f>VLOOKUP(A2,dataset_2!$A$2:$G$611,7,0)</f>
        <v>249</v>
      </c>
      <c r="Q2" s="10"/>
      <c r="R2" s="10" t="str">
        <f t="shared" ref="R2:R611" si="1">IF(COUNTA(A2:P2)=16,"OK","CHECK")</f>
        <v>OK</v>
      </c>
      <c r="S2" s="10">
        <f t="shared" ref="S2:S611" si="2">COUNTIF(R2:R610,"CHECK")</f>
        <v>5</v>
      </c>
      <c r="T2" s="10" t="str">
        <f t="shared" ref="T2:T611" si="3">IF(N2+O2=P2,"OK","Error")</f>
        <v>OK</v>
      </c>
      <c r="U2" s="10">
        <f t="shared" ref="U2:U1001" si="4">COUNTIF($A$2:$A$1001,A2)</f>
        <v>1</v>
      </c>
      <c r="V2" s="10"/>
      <c r="W2" s="10"/>
      <c r="X2" s="10"/>
      <c r="Y2" s="10"/>
      <c r="Z2" s="10"/>
    </row>
    <row r="3" ht="13.5" customHeight="1">
      <c r="A3" s="3">
        <v>862.0</v>
      </c>
      <c r="B3" s="12">
        <v>40582.0</v>
      </c>
      <c r="C3" s="3">
        <v>1.0</v>
      </c>
      <c r="D3" s="3">
        <v>0.0</v>
      </c>
      <c r="E3" s="3">
        <v>2.0</v>
      </c>
      <c r="F3" s="3">
        <v>8.0</v>
      </c>
      <c r="G3" s="3" t="b">
        <f>FALSE()</f>
        <v>0</v>
      </c>
      <c r="H3" s="3">
        <v>2.0</v>
      </c>
      <c r="I3" s="3">
        <v>1.0</v>
      </c>
      <c r="J3" s="3">
        <v>0.24</v>
      </c>
      <c r="K3" s="3">
        <v>0.197</v>
      </c>
      <c r="L3" s="3">
        <v>0.56</v>
      </c>
      <c r="M3" s="3">
        <v>0.4925</v>
      </c>
      <c r="N3" s="3">
        <v>7.0</v>
      </c>
      <c r="O3" s="3">
        <v>236.0</v>
      </c>
      <c r="P3" s="3">
        <v>243.0</v>
      </c>
      <c r="Q3" s="10"/>
      <c r="R3" s="10" t="str">
        <f t="shared" si="1"/>
        <v>OK</v>
      </c>
      <c r="S3" s="10">
        <f t="shared" si="2"/>
        <v>5</v>
      </c>
      <c r="T3" s="10" t="str">
        <f t="shared" si="3"/>
        <v>OK</v>
      </c>
      <c r="U3" s="10">
        <f t="shared" si="4"/>
        <v>1</v>
      </c>
      <c r="V3" s="10"/>
      <c r="W3" s="10"/>
      <c r="X3" s="10"/>
      <c r="Y3" s="10"/>
      <c r="Z3" s="10"/>
    </row>
    <row r="4" ht="13.5" customHeight="1">
      <c r="A4" s="10">
        <f>dataset_1!A557</f>
        <v>556</v>
      </c>
      <c r="B4" s="11">
        <f>dataset_1!B557</f>
        <v>40568</v>
      </c>
      <c r="C4" s="10">
        <f>dataset_1!C557</f>
        <v>1</v>
      </c>
      <c r="D4" s="10">
        <f>dataset_1!D557</f>
        <v>0</v>
      </c>
      <c r="E4" s="10">
        <f>dataset_1!E557</f>
        <v>1</v>
      </c>
      <c r="F4" s="10">
        <f>dataset_1!F557</f>
        <v>8</v>
      </c>
      <c r="G4" s="10" t="b">
        <f>dataset_1!G557</f>
        <v>0</v>
      </c>
      <c r="H4" s="10">
        <f>dataset_1!H557</f>
        <v>2</v>
      </c>
      <c r="I4" s="10">
        <f>dataset_1!I557</f>
        <v>2</v>
      </c>
      <c r="J4" s="10">
        <f>dataset_1!J557</f>
        <v>0.16</v>
      </c>
      <c r="K4" s="10">
        <f>VLOOKUP(A4,dataset_2!$A$2:$G$611,2,0)</f>
        <v>0.1818</v>
      </c>
      <c r="L4" s="10">
        <f>VLOOKUP(A4,dataset_2!$A$2:$G$611,3,0)</f>
        <v>0.74</v>
      </c>
      <c r="M4" s="10">
        <f>VLOOKUP(A4,dataset_2!$A$2:$G$611,4,0)</f>
        <v>0.1343</v>
      </c>
      <c r="N4" s="10">
        <f>VLOOKUP(A4,dataset_2!$A$2:$G$611,5,0)</f>
        <v>5</v>
      </c>
      <c r="O4" s="10">
        <f>VLOOKUP(A4,dataset_2!$A$2:$G$611,6,0)</f>
        <v>233</v>
      </c>
      <c r="P4" s="10">
        <f>VLOOKUP(A4,dataset_2!$A$2:$G$611,7,0)</f>
        <v>238</v>
      </c>
      <c r="Q4" s="10"/>
      <c r="R4" s="10" t="str">
        <f t="shared" si="1"/>
        <v>OK</v>
      </c>
      <c r="S4" s="10">
        <f t="shared" si="2"/>
        <v>5</v>
      </c>
      <c r="T4" s="10" t="str">
        <f t="shared" si="3"/>
        <v>OK</v>
      </c>
      <c r="U4" s="10">
        <f t="shared" si="4"/>
        <v>1</v>
      </c>
      <c r="V4" s="10"/>
      <c r="W4" s="10"/>
      <c r="X4" s="10"/>
      <c r="Y4" s="10"/>
      <c r="Z4" s="10"/>
    </row>
    <row r="5" ht="13.5" customHeight="1">
      <c r="A5" s="3">
        <v>838.0</v>
      </c>
      <c r="B5" s="12">
        <v>40581.0</v>
      </c>
      <c r="C5" s="3">
        <v>1.0</v>
      </c>
      <c r="D5" s="3">
        <v>0.0</v>
      </c>
      <c r="E5" s="3">
        <v>2.0</v>
      </c>
      <c r="F5" s="3">
        <v>8.0</v>
      </c>
      <c r="G5" s="3" t="b">
        <f>FALSE()</f>
        <v>0</v>
      </c>
      <c r="H5" s="3">
        <v>1.0</v>
      </c>
      <c r="I5" s="3">
        <v>2.0</v>
      </c>
      <c r="J5" s="3">
        <v>0.16</v>
      </c>
      <c r="K5" s="3">
        <v>0.2273</v>
      </c>
      <c r="L5" s="3">
        <v>1.0</v>
      </c>
      <c r="M5" s="3">
        <v>0.0</v>
      </c>
      <c r="N5" s="3">
        <v>7.0</v>
      </c>
      <c r="O5" s="3">
        <v>223.0</v>
      </c>
      <c r="P5" s="3">
        <v>230.0</v>
      </c>
      <c r="Q5" s="10"/>
      <c r="R5" s="10" t="str">
        <f t="shared" si="1"/>
        <v>OK</v>
      </c>
      <c r="S5" s="10">
        <f t="shared" si="2"/>
        <v>5</v>
      </c>
      <c r="T5" s="10" t="str">
        <f t="shared" si="3"/>
        <v>OK</v>
      </c>
      <c r="U5" s="10">
        <f t="shared" si="4"/>
        <v>1</v>
      </c>
      <c r="V5" s="10"/>
      <c r="W5" s="10"/>
      <c r="X5" s="10"/>
      <c r="Y5" s="10"/>
      <c r="Z5" s="10"/>
    </row>
    <row r="6" ht="13.5" customHeight="1">
      <c r="A6" s="10">
        <f>dataset_1!A567</f>
        <v>566</v>
      </c>
      <c r="B6" s="11">
        <f>dataset_1!B567</f>
        <v>40568</v>
      </c>
      <c r="C6" s="10">
        <f>dataset_1!C567</f>
        <v>1</v>
      </c>
      <c r="D6" s="10">
        <f>dataset_1!D567</f>
        <v>0</v>
      </c>
      <c r="E6" s="10">
        <f>dataset_1!E567</f>
        <v>1</v>
      </c>
      <c r="F6" s="10">
        <f>dataset_1!F567</f>
        <v>18</v>
      </c>
      <c r="G6" s="10" t="b">
        <f>dataset_1!G567</f>
        <v>0</v>
      </c>
      <c r="H6" s="10">
        <f>dataset_1!H567</f>
        <v>2</v>
      </c>
      <c r="I6" s="10">
        <f>dataset_1!I567</f>
        <v>2</v>
      </c>
      <c r="J6" s="10">
        <f>dataset_1!J567</f>
        <v>0.3</v>
      </c>
      <c r="K6" s="10">
        <f>VLOOKUP(A6,dataset_2!$A$2:$G$611,2,0)</f>
        <v>0.3182</v>
      </c>
      <c r="L6" s="10">
        <f>VLOOKUP(A6,dataset_2!$A$2:$G$611,3,0)</f>
        <v>0.49</v>
      </c>
      <c r="M6" s="10">
        <f>VLOOKUP(A6,dataset_2!$A$2:$G$611,4,0)</f>
        <v>0.0896</v>
      </c>
      <c r="N6" s="10">
        <f>VLOOKUP(A6,dataset_2!$A$2:$G$611,5,0)</f>
        <v>7</v>
      </c>
      <c r="O6" s="10">
        <f>VLOOKUP(A6,dataset_2!$A$2:$G$611,6,0)</f>
        <v>218</v>
      </c>
      <c r="P6" s="10">
        <f>VLOOKUP(A6,dataset_2!$A$2:$G$611,7,0)</f>
        <v>225</v>
      </c>
      <c r="Q6" s="10"/>
      <c r="R6" s="10" t="str">
        <f t="shared" si="1"/>
        <v>OK</v>
      </c>
      <c r="S6" s="10">
        <f t="shared" si="2"/>
        <v>5</v>
      </c>
      <c r="T6" s="10" t="str">
        <f t="shared" si="3"/>
        <v>OK</v>
      </c>
      <c r="U6" s="10">
        <f t="shared" si="4"/>
        <v>1</v>
      </c>
      <c r="V6" s="10"/>
      <c r="W6" s="10"/>
      <c r="X6" s="10"/>
      <c r="Y6" s="10"/>
      <c r="Z6" s="10"/>
    </row>
    <row r="7" ht="13.5" customHeight="1">
      <c r="A7" s="10">
        <f>dataset_1!A566</f>
        <v>565</v>
      </c>
      <c r="B7" s="11">
        <f>dataset_1!B566</f>
        <v>40568</v>
      </c>
      <c r="C7" s="10">
        <f>dataset_1!C566</f>
        <v>1</v>
      </c>
      <c r="D7" s="10">
        <f>dataset_1!D566</f>
        <v>0</v>
      </c>
      <c r="E7" s="10">
        <f>dataset_1!E566</f>
        <v>1</v>
      </c>
      <c r="F7" s="10">
        <f>dataset_1!F566</f>
        <v>17</v>
      </c>
      <c r="G7" s="10" t="b">
        <f>dataset_1!G566</f>
        <v>0</v>
      </c>
      <c r="H7" s="10">
        <f>dataset_1!H566</f>
        <v>2</v>
      </c>
      <c r="I7" s="10">
        <f>dataset_1!I566</f>
        <v>1</v>
      </c>
      <c r="J7" s="10">
        <f>dataset_1!J566</f>
        <v>0.3</v>
      </c>
      <c r="K7" s="10">
        <f>VLOOKUP(A7,dataset_2!$A$2:$G$611,2,0)</f>
        <v>0.3333</v>
      </c>
      <c r="L7" s="10">
        <f>VLOOKUP(A7,dataset_2!$A$2:$G$611,3,0)</f>
        <v>0.45</v>
      </c>
      <c r="M7" s="10">
        <f>VLOOKUP(A7,dataset_2!$A$2:$G$611,4,0)</f>
        <v>0</v>
      </c>
      <c r="N7" s="10">
        <f>VLOOKUP(A7,dataset_2!$A$2:$G$611,5,0)</f>
        <v>14</v>
      </c>
      <c r="O7" s="10">
        <f>VLOOKUP(A7,dataset_2!$A$2:$G$611,6,0)</f>
        <v>208</v>
      </c>
      <c r="P7" s="10">
        <f>VLOOKUP(A7,dataset_2!$A$2:$G$611,7,0)</f>
        <v>222</v>
      </c>
      <c r="Q7" s="10"/>
      <c r="R7" s="10" t="str">
        <f t="shared" si="1"/>
        <v>OK</v>
      </c>
      <c r="S7" s="10">
        <f t="shared" si="2"/>
        <v>5</v>
      </c>
      <c r="T7" s="10" t="str">
        <f t="shared" si="3"/>
        <v>OK</v>
      </c>
      <c r="U7" s="10">
        <f t="shared" si="4"/>
        <v>1</v>
      </c>
      <c r="V7" s="10"/>
      <c r="W7" s="10"/>
      <c r="X7" s="10"/>
      <c r="Y7" s="10"/>
      <c r="Z7" s="10"/>
    </row>
    <row r="8" ht="13.5" customHeight="1">
      <c r="A8" s="3">
        <v>766.0</v>
      </c>
      <c r="B8" s="12">
        <v>40578.0</v>
      </c>
      <c r="C8" s="3">
        <v>1.0</v>
      </c>
      <c r="D8" s="3">
        <v>0.0</v>
      </c>
      <c r="E8" s="3">
        <v>2.0</v>
      </c>
      <c r="F8" s="3">
        <v>8.0</v>
      </c>
      <c r="G8" s="3" t="b">
        <f>FALSE()</f>
        <v>0</v>
      </c>
      <c r="H8" s="3">
        <v>5.0</v>
      </c>
      <c r="I8" s="3">
        <v>1.0</v>
      </c>
      <c r="J8" s="3">
        <v>0.14</v>
      </c>
      <c r="K8" s="3">
        <v>0.1515</v>
      </c>
      <c r="L8" s="3">
        <v>0.74</v>
      </c>
      <c r="M8" s="3">
        <v>0.1343</v>
      </c>
      <c r="N8" s="3">
        <v>3.0</v>
      </c>
      <c r="O8" s="3">
        <v>217.0</v>
      </c>
      <c r="P8" s="3">
        <v>220.0</v>
      </c>
      <c r="Q8" s="10"/>
      <c r="R8" s="10" t="str">
        <f t="shared" si="1"/>
        <v>OK</v>
      </c>
      <c r="S8" s="10">
        <f t="shared" si="2"/>
        <v>5</v>
      </c>
      <c r="T8" s="10" t="str">
        <f t="shared" si="3"/>
        <v>OK</v>
      </c>
      <c r="U8" s="10">
        <f t="shared" si="4"/>
        <v>1</v>
      </c>
      <c r="V8" s="10"/>
      <c r="W8" s="10"/>
      <c r="X8" s="10"/>
      <c r="Y8" s="10"/>
      <c r="Z8" s="10"/>
    </row>
    <row r="9" ht="13.5" customHeight="1">
      <c r="A9" s="10">
        <f>dataset_1!A124</f>
        <v>123</v>
      </c>
      <c r="B9" s="11">
        <f>dataset_1!B124</f>
        <v>40549</v>
      </c>
      <c r="C9" s="10">
        <f>dataset_1!C124</f>
        <v>1</v>
      </c>
      <c r="D9" s="10">
        <f>dataset_1!D124</f>
        <v>0</v>
      </c>
      <c r="E9" s="10">
        <f>dataset_1!E124</f>
        <v>1</v>
      </c>
      <c r="F9" s="10">
        <f>dataset_1!F124</f>
        <v>8</v>
      </c>
      <c r="G9" s="10" t="b">
        <f>dataset_1!G124</f>
        <v>0</v>
      </c>
      <c r="H9" s="10">
        <f>dataset_1!H124</f>
        <v>4</v>
      </c>
      <c r="I9" s="10">
        <f>dataset_1!I124</f>
        <v>1</v>
      </c>
      <c r="J9" s="10">
        <f>dataset_1!J124</f>
        <v>0.16</v>
      </c>
      <c r="K9" s="10">
        <f>VLOOKUP(A9,dataset_2!$A$2:$G$611,2,0)</f>
        <v>0.2273</v>
      </c>
      <c r="L9" s="10">
        <f>VLOOKUP(A9,dataset_2!$A$2:$G$611,3,0)</f>
        <v>0.59</v>
      </c>
      <c r="M9" s="10">
        <f>VLOOKUP(A9,dataset_2!$A$2:$G$611,4,0)</f>
        <v>0</v>
      </c>
      <c r="N9" s="10">
        <f>VLOOKUP(A9,dataset_2!$A$2:$G$611,5,0)</f>
        <v>3</v>
      </c>
      <c r="O9" s="10">
        <f>VLOOKUP(A9,dataset_2!$A$2:$G$611,6,0)</f>
        <v>216</v>
      </c>
      <c r="P9" s="10">
        <f>VLOOKUP(A9,dataset_2!$A$2:$G$611,7,0)</f>
        <v>219</v>
      </c>
      <c r="Q9" s="10"/>
      <c r="R9" s="10" t="str">
        <f t="shared" si="1"/>
        <v>OK</v>
      </c>
      <c r="S9" s="10">
        <f t="shared" si="2"/>
        <v>5</v>
      </c>
      <c r="T9" s="10" t="str">
        <f t="shared" si="3"/>
        <v>OK</v>
      </c>
      <c r="U9" s="10">
        <f t="shared" si="4"/>
        <v>1</v>
      </c>
      <c r="V9" s="10"/>
      <c r="W9" s="10"/>
      <c r="X9" s="10"/>
      <c r="Y9" s="10"/>
      <c r="Z9" s="10"/>
    </row>
    <row r="10" ht="13.5" customHeight="1">
      <c r="A10" s="10">
        <f>dataset_1!A241</f>
        <v>240</v>
      </c>
      <c r="B10" s="11">
        <f>dataset_1!B241</f>
        <v>40554</v>
      </c>
      <c r="C10" s="10">
        <f>dataset_1!C241</f>
        <v>1</v>
      </c>
      <c r="D10" s="10">
        <f>dataset_1!D241</f>
        <v>0</v>
      </c>
      <c r="E10" s="10">
        <f>dataset_1!E241</f>
        <v>1</v>
      </c>
      <c r="F10" s="10">
        <f>dataset_1!F241</f>
        <v>8</v>
      </c>
      <c r="G10" s="10" t="b">
        <f>dataset_1!G241</f>
        <v>0</v>
      </c>
      <c r="H10" s="10">
        <f>dataset_1!H241</f>
        <v>2</v>
      </c>
      <c r="I10" s="10">
        <f>dataset_1!I241</f>
        <v>2</v>
      </c>
      <c r="J10" s="10">
        <f>dataset_1!J241</f>
        <v>0.18</v>
      </c>
      <c r="K10" s="10">
        <f>VLOOKUP(A10,dataset_2!$A$2:$G$611,2,0)</f>
        <v>0.2121</v>
      </c>
      <c r="L10" s="10">
        <f>VLOOKUP(A10,dataset_2!$A$2:$G$611,3,0)</f>
        <v>0.51</v>
      </c>
      <c r="M10" s="10">
        <f>VLOOKUP(A10,dataset_2!$A$2:$G$611,4,0)</f>
        <v>0.0896</v>
      </c>
      <c r="N10" s="10">
        <f>VLOOKUP(A10,dataset_2!$A$2:$G$611,5,0)</f>
        <v>3</v>
      </c>
      <c r="O10" s="10">
        <f>VLOOKUP(A10,dataset_2!$A$2:$G$611,6,0)</f>
        <v>214</v>
      </c>
      <c r="P10" s="10">
        <f>VLOOKUP(A10,dataset_2!$A$2:$G$611,7,0)</f>
        <v>217</v>
      </c>
      <c r="Q10" s="10"/>
      <c r="R10" s="10" t="str">
        <f t="shared" si="1"/>
        <v>OK</v>
      </c>
      <c r="S10" s="10">
        <f t="shared" si="2"/>
        <v>5</v>
      </c>
      <c r="T10" s="10" t="str">
        <f t="shared" si="3"/>
        <v>OK</v>
      </c>
      <c r="U10" s="10">
        <f t="shared" si="4"/>
        <v>1</v>
      </c>
      <c r="V10" s="10"/>
      <c r="W10" s="10"/>
      <c r="X10" s="10"/>
      <c r="Y10" s="10"/>
      <c r="Z10" s="10"/>
    </row>
    <row r="11" ht="13.5" customHeight="1">
      <c r="A11" s="10">
        <f>dataset_1!A465</f>
        <v>464</v>
      </c>
      <c r="B11" s="11">
        <f>dataset_1!B465</f>
        <v>40564</v>
      </c>
      <c r="C11" s="10">
        <f>dataset_1!C465</f>
        <v>1</v>
      </c>
      <c r="D11" s="10">
        <f>dataset_1!D465</f>
        <v>0</v>
      </c>
      <c r="E11" s="10">
        <f>dataset_1!E465</f>
        <v>1</v>
      </c>
      <c r="F11" s="10">
        <f>dataset_1!F465</f>
        <v>8</v>
      </c>
      <c r="G11" s="10" t="b">
        <f>dataset_1!G465</f>
        <v>0</v>
      </c>
      <c r="H11" s="10">
        <f>dataset_1!H465</f>
        <v>5</v>
      </c>
      <c r="I11" s="10">
        <f>dataset_1!I465</f>
        <v>1</v>
      </c>
      <c r="J11" s="10">
        <f>dataset_1!J465</f>
        <v>0.2</v>
      </c>
      <c r="K11" s="10">
        <f>VLOOKUP(A11,dataset_2!$A$2:$G$611,2,0)</f>
        <v>0.1818</v>
      </c>
      <c r="L11" s="10">
        <f>VLOOKUP(A11,dataset_2!$A$2:$G$611,3,0)</f>
        <v>0.47</v>
      </c>
      <c r="M11" s="10">
        <f>VLOOKUP(A11,dataset_2!$A$2:$G$611,4,0)</f>
        <v>0.3284</v>
      </c>
      <c r="N11" s="10">
        <f>VLOOKUP(A11,dataset_2!$A$2:$G$611,5,0)</f>
        <v>7</v>
      </c>
      <c r="O11" s="10">
        <f>VLOOKUP(A11,dataset_2!$A$2:$G$611,6,0)</f>
        <v>210</v>
      </c>
      <c r="P11" s="10">
        <f>VLOOKUP(A11,dataset_2!$A$2:$G$611,7,0)</f>
        <v>217</v>
      </c>
      <c r="Q11" s="10"/>
      <c r="R11" s="10" t="str">
        <f t="shared" si="1"/>
        <v>OK</v>
      </c>
      <c r="S11" s="10">
        <f t="shared" si="2"/>
        <v>5</v>
      </c>
      <c r="T11" s="10" t="str">
        <f t="shared" si="3"/>
        <v>OK</v>
      </c>
      <c r="U11" s="10">
        <f t="shared" si="4"/>
        <v>1</v>
      </c>
      <c r="V11" s="10"/>
      <c r="W11" s="10"/>
      <c r="X11" s="10"/>
      <c r="Y11" s="10"/>
      <c r="Z11" s="10"/>
    </row>
    <row r="12" ht="13.5" customHeight="1">
      <c r="A12" s="3">
        <v>847.0</v>
      </c>
      <c r="B12" s="12">
        <v>40581.0</v>
      </c>
      <c r="C12" s="3">
        <v>1.0</v>
      </c>
      <c r="D12" s="3">
        <v>0.0</v>
      </c>
      <c r="E12" s="3">
        <v>2.0</v>
      </c>
      <c r="F12" s="3">
        <v>17.0</v>
      </c>
      <c r="G12" s="3" t="b">
        <f t="shared" ref="G12:G13" si="5">FALSE()</f>
        <v>0</v>
      </c>
      <c r="H12" s="3">
        <v>1.0</v>
      </c>
      <c r="I12" s="3">
        <v>2.0</v>
      </c>
      <c r="J12" s="3">
        <v>0.32</v>
      </c>
      <c r="K12" s="3">
        <v>0.3182</v>
      </c>
      <c r="L12" s="3">
        <v>0.7</v>
      </c>
      <c r="M12" s="3">
        <v>0.1642</v>
      </c>
      <c r="N12" s="3">
        <v>9.0</v>
      </c>
      <c r="O12" s="3">
        <v>207.0</v>
      </c>
      <c r="P12" s="3">
        <v>216.0</v>
      </c>
      <c r="Q12" s="10"/>
      <c r="R12" s="10" t="str">
        <f t="shared" si="1"/>
        <v>OK</v>
      </c>
      <c r="S12" s="10">
        <f t="shared" si="2"/>
        <v>5</v>
      </c>
      <c r="T12" s="10" t="str">
        <f t="shared" si="3"/>
        <v>OK</v>
      </c>
      <c r="U12" s="10">
        <f t="shared" si="4"/>
        <v>1</v>
      </c>
      <c r="V12" s="10"/>
      <c r="W12" s="10"/>
      <c r="X12" s="10"/>
      <c r="Y12" s="10"/>
      <c r="Z12" s="10"/>
    </row>
    <row r="13" ht="13.5" customHeight="1">
      <c r="A13" s="3">
        <v>930.0</v>
      </c>
      <c r="B13" s="12">
        <v>40585.0</v>
      </c>
      <c r="C13" s="3">
        <v>1.0</v>
      </c>
      <c r="D13" s="3">
        <v>0.0</v>
      </c>
      <c r="E13" s="3">
        <v>2.0</v>
      </c>
      <c r="F13" s="3">
        <v>8.0</v>
      </c>
      <c r="G13" s="3" t="b">
        <f t="shared" si="5"/>
        <v>0</v>
      </c>
      <c r="H13" s="3">
        <v>5.0</v>
      </c>
      <c r="I13" s="3">
        <v>1.0</v>
      </c>
      <c r="J13" s="3">
        <v>0.1</v>
      </c>
      <c r="K13" s="3">
        <v>0.1212</v>
      </c>
      <c r="L13" s="3">
        <v>0.74</v>
      </c>
      <c r="M13" s="3">
        <v>0.1642</v>
      </c>
      <c r="N13" s="3">
        <v>4.0</v>
      </c>
      <c r="O13" s="3">
        <v>212.0</v>
      </c>
      <c r="P13" s="3">
        <v>216.0</v>
      </c>
      <c r="Q13" s="10"/>
      <c r="R13" s="10" t="str">
        <f t="shared" si="1"/>
        <v>OK</v>
      </c>
      <c r="S13" s="10">
        <f t="shared" si="2"/>
        <v>5</v>
      </c>
      <c r="T13" s="10" t="str">
        <f t="shared" si="3"/>
        <v>OK</v>
      </c>
      <c r="U13" s="10">
        <f t="shared" si="4"/>
        <v>1</v>
      </c>
      <c r="V13" s="10"/>
      <c r="W13" s="10"/>
      <c r="X13" s="10"/>
      <c r="Y13" s="10"/>
      <c r="Z13" s="10"/>
    </row>
    <row r="14" ht="13.5" customHeight="1">
      <c r="A14" s="10">
        <f>dataset_1!A450</f>
        <v>449</v>
      </c>
      <c r="B14" s="11">
        <f>dataset_1!B450</f>
        <v>40563</v>
      </c>
      <c r="C14" s="10">
        <f>dataset_1!C450</f>
        <v>1</v>
      </c>
      <c r="D14" s="10">
        <f>dataset_1!D450</f>
        <v>0</v>
      </c>
      <c r="E14" s="10">
        <f>dataset_1!E450</f>
        <v>1</v>
      </c>
      <c r="F14" s="10">
        <f>dataset_1!F450</f>
        <v>17</v>
      </c>
      <c r="G14" s="10" t="b">
        <f>dataset_1!G450</f>
        <v>0</v>
      </c>
      <c r="H14" s="10">
        <f>dataset_1!H450</f>
        <v>4</v>
      </c>
      <c r="I14" s="10">
        <f>dataset_1!I450</f>
        <v>2</v>
      </c>
      <c r="J14" s="10">
        <f>dataset_1!J450</f>
        <v>0.3</v>
      </c>
      <c r="K14" s="10">
        <f>VLOOKUP(A14,dataset_2!$A$2:$G$611,2,0)</f>
        <v>0.3182</v>
      </c>
      <c r="L14" s="10">
        <f>VLOOKUP(A14,dataset_2!$A$2:$G$611,3,0)</f>
        <v>0.49</v>
      </c>
      <c r="M14" s="10">
        <f>VLOOKUP(A14,dataset_2!$A$2:$G$611,4,0)</f>
        <v>0.1045</v>
      </c>
      <c r="N14" s="10">
        <f>VLOOKUP(A14,dataset_2!$A$2:$G$611,5,0)</f>
        <v>8</v>
      </c>
      <c r="O14" s="10">
        <f>VLOOKUP(A14,dataset_2!$A$2:$G$611,6,0)</f>
        <v>207</v>
      </c>
      <c r="P14" s="10">
        <f>VLOOKUP(A14,dataset_2!$A$2:$G$611,7,0)</f>
        <v>215</v>
      </c>
      <c r="Q14" s="10"/>
      <c r="R14" s="10" t="str">
        <f t="shared" si="1"/>
        <v>OK</v>
      </c>
      <c r="S14" s="10">
        <f t="shared" si="2"/>
        <v>5</v>
      </c>
      <c r="T14" s="10" t="str">
        <f t="shared" si="3"/>
        <v>OK</v>
      </c>
      <c r="U14" s="10">
        <f t="shared" si="4"/>
        <v>1</v>
      </c>
      <c r="V14" s="10"/>
      <c r="W14" s="10"/>
      <c r="X14" s="10"/>
      <c r="Y14" s="10"/>
      <c r="Z14" s="10"/>
    </row>
    <row r="15" ht="13.5" customHeight="1">
      <c r="A15" s="10">
        <f>dataset_1!A87</f>
        <v>86</v>
      </c>
      <c r="B15" s="11">
        <f>dataset_1!B87</f>
        <v>40547</v>
      </c>
      <c r="C15" s="10">
        <f>dataset_1!C87</f>
        <v>1</v>
      </c>
      <c r="D15" s="10">
        <f>dataset_1!D87</f>
        <v>0</v>
      </c>
      <c r="E15" s="10">
        <f>dataset_1!E87</f>
        <v>1</v>
      </c>
      <c r="F15" s="10">
        <f>dataset_1!F87</f>
        <v>17</v>
      </c>
      <c r="G15" s="10" t="b">
        <f>dataset_1!G87</f>
        <v>0</v>
      </c>
      <c r="H15" s="10">
        <f>dataset_1!H87</f>
        <v>2</v>
      </c>
      <c r="I15" s="10">
        <f>dataset_1!I87</f>
        <v>1</v>
      </c>
      <c r="J15" s="10">
        <f>dataset_1!J87</f>
        <v>0.28</v>
      </c>
      <c r="K15" s="10">
        <f>VLOOKUP(A15,dataset_2!$A$2:$G$611,2,0)</f>
        <v>0.2727</v>
      </c>
      <c r="L15" s="10">
        <f>VLOOKUP(A15,dataset_2!$A$2:$G$611,3,0)</f>
        <v>0.48</v>
      </c>
      <c r="M15" s="10">
        <f>VLOOKUP(A15,dataset_2!$A$2:$G$611,4,0)</f>
        <v>0.2239</v>
      </c>
      <c r="N15" s="10">
        <f>VLOOKUP(A15,dataset_2!$A$2:$G$611,5,0)</f>
        <v>10</v>
      </c>
      <c r="O15" s="10">
        <f>VLOOKUP(A15,dataset_2!$A$2:$G$611,6,0)</f>
        <v>202</v>
      </c>
      <c r="P15" s="10">
        <f>VLOOKUP(A15,dataset_2!$A$2:$G$611,7,0)</f>
        <v>212</v>
      </c>
      <c r="Q15" s="10"/>
      <c r="R15" s="10" t="str">
        <f t="shared" si="1"/>
        <v>OK</v>
      </c>
      <c r="S15" s="10">
        <f t="shared" si="2"/>
        <v>5</v>
      </c>
      <c r="T15" s="10" t="str">
        <f t="shared" si="3"/>
        <v>OK</v>
      </c>
      <c r="U15" s="10">
        <f t="shared" si="4"/>
        <v>1</v>
      </c>
      <c r="V15" s="10"/>
      <c r="W15" s="10"/>
      <c r="X15" s="10"/>
      <c r="Y15" s="10"/>
      <c r="Z15" s="10"/>
    </row>
    <row r="16" ht="13.5" customHeight="1">
      <c r="A16" s="3">
        <v>939.0</v>
      </c>
      <c r="B16" s="12">
        <v>40585.0</v>
      </c>
      <c r="C16" s="3">
        <v>1.0</v>
      </c>
      <c r="D16" s="3">
        <v>0.0</v>
      </c>
      <c r="E16" s="3">
        <v>2.0</v>
      </c>
      <c r="F16" s="3">
        <v>17.0</v>
      </c>
      <c r="G16" s="3" t="b">
        <f>FALSE()</f>
        <v>0</v>
      </c>
      <c r="H16" s="3">
        <v>5.0</v>
      </c>
      <c r="I16" s="3">
        <v>1.0</v>
      </c>
      <c r="J16" s="3">
        <v>0.3</v>
      </c>
      <c r="K16" s="3">
        <v>0.3333</v>
      </c>
      <c r="L16" s="3">
        <v>0.24</v>
      </c>
      <c r="M16" s="3">
        <v>0.0</v>
      </c>
      <c r="N16" s="3">
        <v>18.0</v>
      </c>
      <c r="O16" s="3">
        <v>193.0</v>
      </c>
      <c r="P16" s="3">
        <v>211.0</v>
      </c>
      <c r="Q16" s="10"/>
      <c r="R16" s="10" t="str">
        <f t="shared" si="1"/>
        <v>OK</v>
      </c>
      <c r="S16" s="10">
        <f t="shared" si="2"/>
        <v>5</v>
      </c>
      <c r="T16" s="10" t="str">
        <f t="shared" si="3"/>
        <v>OK</v>
      </c>
      <c r="U16" s="10">
        <f t="shared" si="4"/>
        <v>1</v>
      </c>
      <c r="V16" s="10"/>
      <c r="W16" s="10"/>
      <c r="X16" s="10"/>
      <c r="Y16" s="10"/>
      <c r="Z16" s="10"/>
    </row>
    <row r="17" ht="13.5" customHeight="1">
      <c r="A17" s="10">
        <f>dataset_1!A147</f>
        <v>146</v>
      </c>
      <c r="B17" s="11">
        <f>dataset_1!B147</f>
        <v>40550</v>
      </c>
      <c r="C17" s="10">
        <f>dataset_1!C147</f>
        <v>1</v>
      </c>
      <c r="D17" s="10">
        <f>dataset_1!D147</f>
        <v>0</v>
      </c>
      <c r="E17" s="10">
        <f>dataset_1!E147</f>
        <v>1</v>
      </c>
      <c r="F17" s="10">
        <f>dataset_1!F147</f>
        <v>8</v>
      </c>
      <c r="G17" s="10" t="b">
        <f>dataset_1!G147</f>
        <v>0</v>
      </c>
      <c r="H17" s="10">
        <f>dataset_1!H147</f>
        <v>5</v>
      </c>
      <c r="I17" s="10">
        <f>dataset_1!I147</f>
        <v>1</v>
      </c>
      <c r="J17" s="10">
        <f>dataset_1!J147</f>
        <v>0.2</v>
      </c>
      <c r="K17" s="10">
        <f>VLOOKUP(A17,dataset_2!$A$2:$G$611,2,0)</f>
        <v>0.197</v>
      </c>
      <c r="L17" s="10">
        <f>VLOOKUP(A17,dataset_2!$A$2:$G$611,3,0)</f>
        <v>0.51</v>
      </c>
      <c r="M17" s="10">
        <f>VLOOKUP(A17,dataset_2!$A$2:$G$611,4,0)</f>
        <v>0.2537</v>
      </c>
      <c r="N17" s="10">
        <f>VLOOKUP(A17,dataset_2!$A$2:$G$611,5,0)</f>
        <v>20</v>
      </c>
      <c r="O17" s="10">
        <f>VLOOKUP(A17,dataset_2!$A$2:$G$611,6,0)</f>
        <v>190</v>
      </c>
      <c r="P17" s="10">
        <f>VLOOKUP(A17,dataset_2!$A$2:$G$611,7,0)</f>
        <v>210</v>
      </c>
      <c r="Q17" s="10"/>
      <c r="R17" s="10" t="str">
        <f t="shared" si="1"/>
        <v>OK</v>
      </c>
      <c r="S17" s="10">
        <f t="shared" si="2"/>
        <v>5</v>
      </c>
      <c r="T17" s="10" t="str">
        <f t="shared" si="3"/>
        <v>OK</v>
      </c>
      <c r="U17" s="10">
        <f t="shared" si="4"/>
        <v>1</v>
      </c>
      <c r="V17" s="10"/>
      <c r="W17" s="10"/>
      <c r="X17" s="10"/>
      <c r="Y17" s="10"/>
      <c r="Z17" s="10"/>
    </row>
    <row r="18" ht="13.5" customHeight="1">
      <c r="A18" s="3">
        <v>775.0</v>
      </c>
      <c r="B18" s="12">
        <v>40578.0</v>
      </c>
      <c r="C18" s="3">
        <v>1.0</v>
      </c>
      <c r="D18" s="3">
        <v>0.0</v>
      </c>
      <c r="E18" s="3">
        <v>2.0</v>
      </c>
      <c r="F18" s="3">
        <v>17.0</v>
      </c>
      <c r="G18" s="3" t="b">
        <f>FALSE()</f>
        <v>0</v>
      </c>
      <c r="H18" s="3">
        <v>5.0</v>
      </c>
      <c r="I18" s="3">
        <v>2.0</v>
      </c>
      <c r="J18" s="3">
        <v>0.26</v>
      </c>
      <c r="K18" s="3">
        <v>0.2727</v>
      </c>
      <c r="L18" s="3">
        <v>0.56</v>
      </c>
      <c r="M18" s="3">
        <v>0.1343</v>
      </c>
      <c r="N18" s="3">
        <v>10.0</v>
      </c>
      <c r="O18" s="3">
        <v>195.0</v>
      </c>
      <c r="P18" s="3">
        <v>205.0</v>
      </c>
      <c r="Q18" s="10"/>
      <c r="R18" s="10" t="str">
        <f t="shared" si="1"/>
        <v>OK</v>
      </c>
      <c r="S18" s="10">
        <f t="shared" si="2"/>
        <v>5</v>
      </c>
      <c r="T18" s="10" t="str">
        <f t="shared" si="3"/>
        <v>OK</v>
      </c>
      <c r="U18" s="10">
        <f t="shared" si="4"/>
        <v>1</v>
      </c>
      <c r="V18" s="10"/>
      <c r="W18" s="10"/>
      <c r="X18" s="10"/>
      <c r="Y18" s="10"/>
      <c r="Z18" s="10"/>
    </row>
    <row r="19" ht="13.5" customHeight="1">
      <c r="A19" s="10">
        <f>dataset_1!A287</f>
        <v>286</v>
      </c>
      <c r="B19" s="11">
        <f>dataset_1!B287</f>
        <v>40556</v>
      </c>
      <c r="C19" s="10">
        <f>dataset_1!C287</f>
        <v>1</v>
      </c>
      <c r="D19" s="10">
        <f>dataset_1!D287</f>
        <v>0</v>
      </c>
      <c r="E19" s="10">
        <f>dataset_1!E287</f>
        <v>1</v>
      </c>
      <c r="F19" s="10">
        <f>dataset_1!F287</f>
        <v>8</v>
      </c>
      <c r="G19" s="10" t="b">
        <f>dataset_1!G287</f>
        <v>0</v>
      </c>
      <c r="H19" s="10">
        <f>dataset_1!H287</f>
        <v>4</v>
      </c>
      <c r="I19" s="10">
        <f>dataset_1!I287</f>
        <v>1</v>
      </c>
      <c r="J19" s="10">
        <f>dataset_1!J287</f>
        <v>0.14</v>
      </c>
      <c r="K19" s="10">
        <f>VLOOKUP(A19,dataset_2!$A$2:$G$611,2,0)</f>
        <v>0.1364</v>
      </c>
      <c r="L19" s="10">
        <f>VLOOKUP(A19,dataset_2!$A$2:$G$611,3,0)</f>
        <v>0.5</v>
      </c>
      <c r="M19" s="10">
        <f>VLOOKUP(A19,dataset_2!$A$2:$G$611,4,0)</f>
        <v>0.194</v>
      </c>
      <c r="N19" s="10">
        <f>VLOOKUP(A19,dataset_2!$A$2:$G$611,5,0)</f>
        <v>5</v>
      </c>
      <c r="O19" s="10">
        <f>VLOOKUP(A19,dataset_2!$A$2:$G$611,6,0)</f>
        <v>197</v>
      </c>
      <c r="P19" s="10">
        <f>VLOOKUP(A19,dataset_2!$A$2:$G$611,7,0)</f>
        <v>202</v>
      </c>
      <c r="Q19" s="10"/>
      <c r="R19" s="10" t="str">
        <f t="shared" si="1"/>
        <v>OK</v>
      </c>
      <c r="S19" s="10">
        <f t="shared" si="2"/>
        <v>5</v>
      </c>
      <c r="T19" s="10" t="str">
        <f t="shared" si="3"/>
        <v>OK</v>
      </c>
      <c r="U19" s="10">
        <f t="shared" si="4"/>
        <v>1</v>
      </c>
      <c r="V19" s="10"/>
      <c r="W19" s="10"/>
      <c r="X19" s="10"/>
      <c r="Y19" s="10"/>
      <c r="Z19" s="10"/>
    </row>
    <row r="20" ht="13.5" customHeight="1">
      <c r="A20" s="3">
        <v>885.0</v>
      </c>
      <c r="B20" s="12">
        <v>40583.0</v>
      </c>
      <c r="C20" s="3">
        <v>1.0</v>
      </c>
      <c r="D20" s="3">
        <v>0.0</v>
      </c>
      <c r="E20" s="3">
        <v>2.0</v>
      </c>
      <c r="F20" s="3">
        <v>8.0</v>
      </c>
      <c r="G20" s="3" t="b">
        <f>FALSE()</f>
        <v>0</v>
      </c>
      <c r="H20" s="3">
        <v>3.0</v>
      </c>
      <c r="I20" s="3">
        <v>1.0</v>
      </c>
      <c r="J20" s="3">
        <v>0.1</v>
      </c>
      <c r="K20" s="3">
        <v>0.1364</v>
      </c>
      <c r="L20" s="3">
        <v>0.42</v>
      </c>
      <c r="M20" s="3">
        <v>0.0</v>
      </c>
      <c r="N20" s="3">
        <v>1.0</v>
      </c>
      <c r="O20" s="3">
        <v>198.0</v>
      </c>
      <c r="P20" s="3">
        <v>199.0</v>
      </c>
      <c r="Q20" s="10"/>
      <c r="R20" s="10" t="str">
        <f t="shared" si="1"/>
        <v>OK</v>
      </c>
      <c r="S20" s="10">
        <f t="shared" si="2"/>
        <v>5</v>
      </c>
      <c r="T20" s="10" t="str">
        <f t="shared" si="3"/>
        <v>OK</v>
      </c>
      <c r="U20" s="10">
        <f t="shared" si="4"/>
        <v>1</v>
      </c>
      <c r="V20" s="10"/>
      <c r="W20" s="10"/>
      <c r="X20" s="10"/>
      <c r="Y20" s="10"/>
      <c r="Z20" s="10"/>
    </row>
    <row r="21" ht="13.5" customHeight="1">
      <c r="A21" s="10">
        <f>dataset_1!A417</f>
        <v>416</v>
      </c>
      <c r="B21" s="11">
        <f>dataset_1!B417</f>
        <v>40562</v>
      </c>
      <c r="C21" s="10">
        <f>dataset_1!C417</f>
        <v>1</v>
      </c>
      <c r="D21" s="10">
        <f>dataset_1!D417</f>
        <v>0</v>
      </c>
      <c r="E21" s="10">
        <f>dataset_1!E417</f>
        <v>1</v>
      </c>
      <c r="F21" s="10">
        <f>dataset_1!F417</f>
        <v>8</v>
      </c>
      <c r="G21" s="10" t="b">
        <f>dataset_1!G417</f>
        <v>0</v>
      </c>
      <c r="H21" s="10">
        <f>dataset_1!H417</f>
        <v>3</v>
      </c>
      <c r="I21" s="10">
        <f>dataset_1!I417</f>
        <v>2</v>
      </c>
      <c r="J21" s="10">
        <f>dataset_1!J417</f>
        <v>0.24</v>
      </c>
      <c r="K21" s="10">
        <f>VLOOKUP(A21,dataset_2!$A$2:$G$611,2,0)</f>
        <v>0.2576</v>
      </c>
      <c r="L21" s="10">
        <f>VLOOKUP(A21,dataset_2!$A$2:$G$611,3,0)</f>
        <v>0.93</v>
      </c>
      <c r="M21" s="10">
        <f>VLOOKUP(A21,dataset_2!$A$2:$G$611,4,0)</f>
        <v>0.1045</v>
      </c>
      <c r="N21" s="10">
        <f>VLOOKUP(A21,dataset_2!$A$2:$G$611,5,0)</f>
        <v>1</v>
      </c>
      <c r="O21" s="10">
        <f>VLOOKUP(A21,dataset_2!$A$2:$G$611,6,0)</f>
        <v>196</v>
      </c>
      <c r="P21" s="10">
        <f>VLOOKUP(A21,dataset_2!$A$2:$G$611,7,0)</f>
        <v>197</v>
      </c>
      <c r="Q21" s="10"/>
      <c r="R21" s="10" t="str">
        <f t="shared" si="1"/>
        <v>OK</v>
      </c>
      <c r="S21" s="10">
        <f t="shared" si="2"/>
        <v>5</v>
      </c>
      <c r="T21" s="10" t="str">
        <f t="shared" si="3"/>
        <v>OK</v>
      </c>
      <c r="U21" s="10">
        <f t="shared" si="4"/>
        <v>1</v>
      </c>
      <c r="V21" s="10"/>
      <c r="W21" s="10"/>
      <c r="X21" s="10"/>
      <c r="Y21" s="10"/>
      <c r="Z21" s="10"/>
    </row>
    <row r="22" ht="13.5" customHeight="1">
      <c r="A22" s="10">
        <f>dataset_1!A426</f>
        <v>425</v>
      </c>
      <c r="B22" s="11">
        <f>dataset_1!B426</f>
        <v>40562</v>
      </c>
      <c r="C22" s="10">
        <f>dataset_1!C426</f>
        <v>1</v>
      </c>
      <c r="D22" s="10">
        <f>dataset_1!D426</f>
        <v>0</v>
      </c>
      <c r="E22" s="10">
        <f>dataset_1!E426</f>
        <v>1</v>
      </c>
      <c r="F22" s="10">
        <f>dataset_1!F426</f>
        <v>17</v>
      </c>
      <c r="G22" s="10" t="b">
        <f>dataset_1!G426</f>
        <v>0</v>
      </c>
      <c r="H22" s="10">
        <f>dataset_1!H426</f>
        <v>3</v>
      </c>
      <c r="I22" s="10">
        <f>dataset_1!I426</f>
        <v>1</v>
      </c>
      <c r="J22" s="10">
        <f>dataset_1!J426</f>
        <v>0.36</v>
      </c>
      <c r="K22" s="10">
        <f>VLOOKUP(A22,dataset_2!$A$2:$G$611,2,0)</f>
        <v>0.3333</v>
      </c>
      <c r="L22" s="10">
        <f>VLOOKUP(A22,dataset_2!$A$2:$G$611,3,0)</f>
        <v>0.57</v>
      </c>
      <c r="M22" s="10">
        <f>VLOOKUP(A22,dataset_2!$A$2:$G$611,4,0)</f>
        <v>0.3284</v>
      </c>
      <c r="N22" s="10">
        <f>VLOOKUP(A22,dataset_2!$A$2:$G$611,5,0)</f>
        <v>7</v>
      </c>
      <c r="O22" s="10">
        <f>VLOOKUP(A22,dataset_2!$A$2:$G$611,6,0)</f>
        <v>190</v>
      </c>
      <c r="P22" s="10">
        <f>VLOOKUP(A22,dataset_2!$A$2:$G$611,7,0)</f>
        <v>197</v>
      </c>
      <c r="Q22" s="10"/>
      <c r="R22" s="10" t="str">
        <f t="shared" si="1"/>
        <v>OK</v>
      </c>
      <c r="S22" s="10">
        <f t="shared" si="2"/>
        <v>5</v>
      </c>
      <c r="T22" s="10" t="str">
        <f t="shared" si="3"/>
        <v>OK</v>
      </c>
      <c r="U22" s="10">
        <f t="shared" si="4"/>
        <v>1</v>
      </c>
      <c r="V22" s="10"/>
      <c r="W22" s="10"/>
      <c r="X22" s="10"/>
      <c r="Y22" s="10"/>
      <c r="Z22" s="10"/>
    </row>
    <row r="23" ht="13.5" customHeight="1">
      <c r="A23" s="10">
        <f>dataset_1!A101</f>
        <v>100</v>
      </c>
      <c r="B23" s="11">
        <f>dataset_1!B101</f>
        <v>40548</v>
      </c>
      <c r="C23" s="10">
        <f>dataset_1!C101</f>
        <v>1</v>
      </c>
      <c r="D23" s="10">
        <f>dataset_1!D101</f>
        <v>0</v>
      </c>
      <c r="E23" s="10">
        <f>dataset_1!E101</f>
        <v>1</v>
      </c>
      <c r="F23" s="10">
        <f>dataset_1!F101</f>
        <v>8</v>
      </c>
      <c r="G23" s="10" t="b">
        <f>dataset_1!G101</f>
        <v>0</v>
      </c>
      <c r="H23" s="10">
        <f>dataset_1!H101</f>
        <v>3</v>
      </c>
      <c r="I23" s="10">
        <f>dataset_1!I101</f>
        <v>1</v>
      </c>
      <c r="J23" s="10">
        <f>dataset_1!J101</f>
        <v>0.2</v>
      </c>
      <c r="K23" s="10">
        <f>VLOOKUP(A23,dataset_2!$A$2:$G$611,2,0)</f>
        <v>0.1818</v>
      </c>
      <c r="L23" s="10">
        <f>VLOOKUP(A23,dataset_2!$A$2:$G$611,3,0)</f>
        <v>0.4</v>
      </c>
      <c r="M23" s="10">
        <f>VLOOKUP(A23,dataset_2!$A$2:$G$611,4,0)</f>
        <v>0.2985</v>
      </c>
      <c r="N23" s="10">
        <f>VLOOKUP(A23,dataset_2!$A$2:$G$611,5,0)</f>
        <v>3</v>
      </c>
      <c r="O23" s="10">
        <f>VLOOKUP(A23,dataset_2!$A$2:$G$611,6,0)</f>
        <v>192</v>
      </c>
      <c r="P23" s="10">
        <f>VLOOKUP(A23,dataset_2!$A$2:$G$611,7,0)</f>
        <v>195</v>
      </c>
      <c r="Q23" s="10"/>
      <c r="R23" s="10" t="str">
        <f t="shared" si="1"/>
        <v>OK</v>
      </c>
      <c r="S23" s="10">
        <f t="shared" si="2"/>
        <v>5</v>
      </c>
      <c r="T23" s="10" t="str">
        <f t="shared" si="3"/>
        <v>OK</v>
      </c>
      <c r="U23" s="10">
        <f t="shared" si="4"/>
        <v>1</v>
      </c>
      <c r="V23" s="10"/>
      <c r="W23" s="10"/>
      <c r="X23" s="10"/>
      <c r="Y23" s="10"/>
      <c r="Z23" s="10"/>
    </row>
    <row r="24" ht="13.5" customHeight="1">
      <c r="A24" s="10">
        <f>dataset_1!A110</f>
        <v>109</v>
      </c>
      <c r="B24" s="11">
        <f>dataset_1!B110</f>
        <v>40548</v>
      </c>
      <c r="C24" s="10">
        <f>dataset_1!C110</f>
        <v>1</v>
      </c>
      <c r="D24" s="10">
        <f>dataset_1!D110</f>
        <v>0</v>
      </c>
      <c r="E24" s="10">
        <f>dataset_1!E110</f>
        <v>1</v>
      </c>
      <c r="F24" s="10">
        <f>dataset_1!F110</f>
        <v>17</v>
      </c>
      <c r="G24" s="10" t="b">
        <f>dataset_1!G110</f>
        <v>0</v>
      </c>
      <c r="H24" s="10">
        <f>dataset_1!H110</f>
        <v>3</v>
      </c>
      <c r="I24" s="10">
        <f>dataset_1!I110</f>
        <v>1</v>
      </c>
      <c r="J24" s="10">
        <f>dataset_1!J110</f>
        <v>0.24</v>
      </c>
      <c r="K24" s="10">
        <f>VLOOKUP(A24,dataset_2!$A$2:$G$611,2,0)</f>
        <v>0.2273</v>
      </c>
      <c r="L24" s="10">
        <f>VLOOKUP(A24,dataset_2!$A$2:$G$611,3,0)</f>
        <v>0.38</v>
      </c>
      <c r="M24" s="10">
        <f>VLOOKUP(A24,dataset_2!$A$2:$G$611,4,0)</f>
        <v>0.194</v>
      </c>
      <c r="N24" s="10">
        <f>VLOOKUP(A24,dataset_2!$A$2:$G$611,5,0)</f>
        <v>4</v>
      </c>
      <c r="O24" s="10">
        <f>VLOOKUP(A24,dataset_2!$A$2:$G$611,6,0)</f>
        <v>186</v>
      </c>
      <c r="P24" s="10">
        <f>VLOOKUP(A24,dataset_2!$A$2:$G$611,7,0)</f>
        <v>190</v>
      </c>
      <c r="Q24" s="10"/>
      <c r="R24" s="10" t="str">
        <f t="shared" si="1"/>
        <v>OK</v>
      </c>
      <c r="S24" s="10">
        <f t="shared" si="2"/>
        <v>5</v>
      </c>
      <c r="T24" s="10" t="str">
        <f t="shared" si="3"/>
        <v>OK</v>
      </c>
      <c r="U24" s="10">
        <f t="shared" si="4"/>
        <v>1</v>
      </c>
      <c r="V24" s="10"/>
      <c r="W24" s="10"/>
      <c r="X24" s="10"/>
      <c r="Y24" s="10"/>
      <c r="Z24" s="10"/>
    </row>
    <row r="25" ht="13.5" customHeight="1">
      <c r="A25" s="3">
        <v>729.0</v>
      </c>
      <c r="B25" s="12">
        <v>40576.0</v>
      </c>
      <c r="C25" s="3">
        <v>1.0</v>
      </c>
      <c r="D25" s="3">
        <v>0.0</v>
      </c>
      <c r="E25" s="3">
        <v>2.0</v>
      </c>
      <c r="F25" s="3">
        <v>17.0</v>
      </c>
      <c r="G25" s="3" t="b">
        <f>FALSE()</f>
        <v>0</v>
      </c>
      <c r="H25" s="3">
        <v>3.0</v>
      </c>
      <c r="I25" s="3">
        <v>1.0</v>
      </c>
      <c r="J25" s="3">
        <v>0.36</v>
      </c>
      <c r="K25" s="3">
        <v>0.3182</v>
      </c>
      <c r="L25" s="3">
        <v>0.53</v>
      </c>
      <c r="M25" s="3">
        <v>0.5224</v>
      </c>
      <c r="N25" s="3">
        <v>7.0</v>
      </c>
      <c r="O25" s="3">
        <v>183.0</v>
      </c>
      <c r="P25" s="3">
        <v>190.0</v>
      </c>
      <c r="Q25" s="10"/>
      <c r="R25" s="10" t="str">
        <f t="shared" si="1"/>
        <v>OK</v>
      </c>
      <c r="S25" s="10">
        <f t="shared" si="2"/>
        <v>5</v>
      </c>
      <c r="T25" s="10" t="str">
        <f t="shared" si="3"/>
        <v>OK</v>
      </c>
      <c r="U25" s="10">
        <f t="shared" si="4"/>
        <v>1</v>
      </c>
      <c r="V25" s="10"/>
      <c r="W25" s="10"/>
      <c r="X25" s="10"/>
      <c r="Y25" s="10"/>
      <c r="Z25" s="10"/>
    </row>
    <row r="26" ht="13.5" customHeight="1">
      <c r="A26" s="10">
        <f>dataset_1!A219</f>
        <v>218</v>
      </c>
      <c r="B26" s="11">
        <f>dataset_1!B219</f>
        <v>40553</v>
      </c>
      <c r="C26" s="10">
        <f>dataset_1!C219</f>
        <v>1</v>
      </c>
      <c r="D26" s="10">
        <f>dataset_1!D219</f>
        <v>0</v>
      </c>
      <c r="E26" s="10">
        <f>dataset_1!E219</f>
        <v>1</v>
      </c>
      <c r="F26" s="10">
        <f>dataset_1!F219</f>
        <v>8</v>
      </c>
      <c r="G26" s="10" t="b">
        <f>dataset_1!G219</f>
        <v>0</v>
      </c>
      <c r="H26" s="10">
        <f>dataset_1!H219</f>
        <v>1</v>
      </c>
      <c r="I26" s="10">
        <f>dataset_1!I219</f>
        <v>2</v>
      </c>
      <c r="J26" s="10">
        <f>dataset_1!J219</f>
        <v>0.12</v>
      </c>
      <c r="K26" s="10">
        <f>VLOOKUP(A26,dataset_2!$A$2:$G$611,2,0)</f>
        <v>0.1212</v>
      </c>
      <c r="L26" s="10">
        <f>VLOOKUP(A26,dataset_2!$A$2:$G$611,3,0)</f>
        <v>0.5</v>
      </c>
      <c r="M26" s="10">
        <f>VLOOKUP(A26,dataset_2!$A$2:$G$611,4,0)</f>
        <v>0.2836</v>
      </c>
      <c r="N26" s="10">
        <f>VLOOKUP(A26,dataset_2!$A$2:$G$611,5,0)</f>
        <v>4</v>
      </c>
      <c r="O26" s="10">
        <f>VLOOKUP(A26,dataset_2!$A$2:$G$611,6,0)</f>
        <v>184</v>
      </c>
      <c r="P26" s="10">
        <f>VLOOKUP(A26,dataset_2!$A$2:$G$611,7,0)</f>
        <v>188</v>
      </c>
      <c r="Q26" s="10"/>
      <c r="R26" s="10" t="str">
        <f t="shared" si="1"/>
        <v>OK</v>
      </c>
      <c r="S26" s="10">
        <f t="shared" si="2"/>
        <v>5</v>
      </c>
      <c r="T26" s="10" t="str">
        <f t="shared" si="3"/>
        <v>OK</v>
      </c>
      <c r="U26" s="10">
        <f t="shared" si="4"/>
        <v>1</v>
      </c>
      <c r="V26" s="10"/>
      <c r="W26" s="10"/>
      <c r="X26" s="10"/>
      <c r="Y26" s="10"/>
      <c r="Z26" s="10"/>
    </row>
    <row r="27" ht="13.5" customHeight="1">
      <c r="A27" s="3">
        <v>743.0</v>
      </c>
      <c r="B27" s="12">
        <v>40577.0</v>
      </c>
      <c r="C27" s="3">
        <v>1.0</v>
      </c>
      <c r="D27" s="3">
        <v>0.0</v>
      </c>
      <c r="E27" s="3">
        <v>2.0</v>
      </c>
      <c r="F27" s="3">
        <v>8.0</v>
      </c>
      <c r="G27" s="3" t="b">
        <f>FALSE()</f>
        <v>0</v>
      </c>
      <c r="H27" s="3">
        <v>4.0</v>
      </c>
      <c r="I27" s="3">
        <v>1.0</v>
      </c>
      <c r="J27" s="3">
        <v>0.14</v>
      </c>
      <c r="K27" s="3">
        <v>0.1212</v>
      </c>
      <c r="L27" s="3">
        <v>0.5</v>
      </c>
      <c r="M27" s="3">
        <v>0.3582</v>
      </c>
      <c r="N27" s="3">
        <v>4.0</v>
      </c>
      <c r="O27" s="3">
        <v>184.0</v>
      </c>
      <c r="P27" s="3">
        <v>188.0</v>
      </c>
      <c r="Q27" s="10"/>
      <c r="R27" s="10" t="str">
        <f t="shared" si="1"/>
        <v>OK</v>
      </c>
      <c r="S27" s="10">
        <f t="shared" si="2"/>
        <v>5</v>
      </c>
      <c r="T27" s="10" t="str">
        <f t="shared" si="3"/>
        <v>OK</v>
      </c>
      <c r="U27" s="10">
        <f t="shared" si="4"/>
        <v>1</v>
      </c>
      <c r="V27" s="10"/>
      <c r="W27" s="10"/>
      <c r="X27" s="10"/>
      <c r="Y27" s="10"/>
      <c r="Z27" s="10"/>
    </row>
    <row r="28" ht="13.5" customHeight="1">
      <c r="A28" s="10">
        <f>dataset_1!A156</f>
        <v>155</v>
      </c>
      <c r="B28" s="11">
        <f>dataset_1!B156</f>
        <v>40550</v>
      </c>
      <c r="C28" s="10">
        <f>dataset_1!C156</f>
        <v>1</v>
      </c>
      <c r="D28" s="10">
        <f>dataset_1!D156</f>
        <v>0</v>
      </c>
      <c r="E28" s="10">
        <f>dataset_1!E156</f>
        <v>1</v>
      </c>
      <c r="F28" s="10">
        <f>dataset_1!F156</f>
        <v>17</v>
      </c>
      <c r="G28" s="10" t="b">
        <f>dataset_1!G156</f>
        <v>0</v>
      </c>
      <c r="H28" s="10">
        <f>dataset_1!H156</f>
        <v>5</v>
      </c>
      <c r="I28" s="10">
        <f>dataset_1!I156</f>
        <v>2</v>
      </c>
      <c r="J28" s="10">
        <f>dataset_1!J156</f>
        <v>0.2</v>
      </c>
      <c r="K28" s="10">
        <f>VLOOKUP(A28,dataset_2!$A$2:$G$611,2,0)</f>
        <v>0.2576</v>
      </c>
      <c r="L28" s="10">
        <f>VLOOKUP(A28,dataset_2!$A$2:$G$611,3,0)</f>
        <v>0.37</v>
      </c>
      <c r="M28" s="10">
        <f>VLOOKUP(A28,dataset_2!$A$2:$G$611,4,0)</f>
        <v>0</v>
      </c>
      <c r="N28" s="10">
        <f>VLOOKUP(A28,dataset_2!$A$2:$G$611,5,0)</f>
        <v>9</v>
      </c>
      <c r="O28" s="10">
        <f>VLOOKUP(A28,dataset_2!$A$2:$G$611,6,0)</f>
        <v>178</v>
      </c>
      <c r="P28" s="10">
        <f>VLOOKUP(A28,dataset_2!$A$2:$G$611,7,0)</f>
        <v>187</v>
      </c>
      <c r="Q28" s="10"/>
      <c r="R28" s="10" t="str">
        <f t="shared" si="1"/>
        <v>OK</v>
      </c>
      <c r="S28" s="10">
        <f t="shared" si="2"/>
        <v>5</v>
      </c>
      <c r="T28" s="10" t="str">
        <f t="shared" si="3"/>
        <v>OK</v>
      </c>
      <c r="U28" s="10">
        <f t="shared" si="4"/>
        <v>1</v>
      </c>
      <c r="V28" s="10"/>
      <c r="W28" s="10"/>
      <c r="X28" s="10"/>
      <c r="Y28" s="10"/>
      <c r="Z28" s="10"/>
    </row>
    <row r="29" ht="13.5" customHeight="1">
      <c r="A29" s="10">
        <f>dataset_1!A451</f>
        <v>450</v>
      </c>
      <c r="B29" s="11">
        <f>dataset_1!B451</f>
        <v>40563</v>
      </c>
      <c r="C29" s="10">
        <f>dataset_1!C451</f>
        <v>1</v>
      </c>
      <c r="D29" s="10">
        <f>dataset_1!D451</f>
        <v>0</v>
      </c>
      <c r="E29" s="10">
        <f>dataset_1!E451</f>
        <v>1</v>
      </c>
      <c r="F29" s="10">
        <f>dataset_1!F451</f>
        <v>18</v>
      </c>
      <c r="G29" s="10" t="b">
        <f>dataset_1!G451</f>
        <v>0</v>
      </c>
      <c r="H29" s="10">
        <f>dataset_1!H451</f>
        <v>4</v>
      </c>
      <c r="I29" s="10">
        <f>dataset_1!I451</f>
        <v>2</v>
      </c>
      <c r="J29" s="10">
        <f>dataset_1!J451</f>
        <v>0.26</v>
      </c>
      <c r="K29" s="10">
        <f>VLOOKUP(A29,dataset_2!$A$2:$G$611,2,0)</f>
        <v>0.2576</v>
      </c>
      <c r="L29" s="10">
        <f>VLOOKUP(A29,dataset_2!$A$2:$G$611,3,0)</f>
        <v>0.56</v>
      </c>
      <c r="M29" s="10">
        <f>VLOOKUP(A29,dataset_2!$A$2:$G$611,4,0)</f>
        <v>0.194</v>
      </c>
      <c r="N29" s="10">
        <f>VLOOKUP(A29,dataset_2!$A$2:$G$611,5,0)</f>
        <v>1</v>
      </c>
      <c r="O29" s="10">
        <f>VLOOKUP(A29,dataset_2!$A$2:$G$611,6,0)</f>
        <v>184</v>
      </c>
      <c r="P29" s="10">
        <f>VLOOKUP(A29,dataset_2!$A$2:$G$611,7,0)</f>
        <v>185</v>
      </c>
      <c r="Q29" s="10"/>
      <c r="R29" s="10" t="str">
        <f t="shared" si="1"/>
        <v>OK</v>
      </c>
      <c r="S29" s="10">
        <f t="shared" si="2"/>
        <v>5</v>
      </c>
      <c r="T29" s="10" t="str">
        <f t="shared" si="3"/>
        <v>OK</v>
      </c>
      <c r="U29" s="10">
        <f t="shared" si="4"/>
        <v>1</v>
      </c>
      <c r="V29" s="10"/>
      <c r="W29" s="10"/>
      <c r="X29" s="10"/>
      <c r="Y29" s="10"/>
      <c r="Z29" s="10"/>
    </row>
    <row r="30" ht="13.5" customHeight="1">
      <c r="A30" s="3">
        <v>673.0</v>
      </c>
      <c r="B30" s="12">
        <v>40574.0</v>
      </c>
      <c r="C30" s="3">
        <v>1.0</v>
      </c>
      <c r="D30" s="3">
        <v>0.0</v>
      </c>
      <c r="E30" s="3">
        <v>1.0</v>
      </c>
      <c r="F30" s="3">
        <v>8.0</v>
      </c>
      <c r="G30" s="3" t="b">
        <f>FALSE()</f>
        <v>0</v>
      </c>
      <c r="H30" s="3">
        <v>1.0</v>
      </c>
      <c r="I30" s="3">
        <v>2.0</v>
      </c>
      <c r="J30" s="3">
        <v>0.16</v>
      </c>
      <c r="K30" s="3">
        <v>0.1364</v>
      </c>
      <c r="L30" s="3">
        <v>0.59</v>
      </c>
      <c r="M30" s="3">
        <v>0.2836</v>
      </c>
      <c r="N30" s="3">
        <v>3.0</v>
      </c>
      <c r="O30" s="3">
        <v>182.0</v>
      </c>
      <c r="P30" s="3">
        <v>185.0</v>
      </c>
      <c r="Q30" s="10"/>
      <c r="R30" s="10" t="str">
        <f t="shared" si="1"/>
        <v>OK</v>
      </c>
      <c r="S30" s="10">
        <f t="shared" si="2"/>
        <v>5</v>
      </c>
      <c r="T30" s="10" t="str">
        <f t="shared" si="3"/>
        <v>OK</v>
      </c>
      <c r="U30" s="10">
        <f t="shared" si="4"/>
        <v>1</v>
      </c>
      <c r="V30" s="10"/>
      <c r="W30" s="10"/>
      <c r="X30" s="10"/>
      <c r="Y30" s="10"/>
      <c r="Z30" s="10"/>
    </row>
    <row r="31" ht="13.5" customHeight="1">
      <c r="A31" s="10">
        <f>dataset_1!A543</f>
        <v>542</v>
      </c>
      <c r="B31" s="11">
        <f>dataset_1!B543</f>
        <v>40567</v>
      </c>
      <c r="C31" s="10">
        <f>dataset_1!C543</f>
        <v>1</v>
      </c>
      <c r="D31" s="10">
        <f>dataset_1!D543</f>
        <v>0</v>
      </c>
      <c r="E31" s="10">
        <f>dataset_1!E543</f>
        <v>1</v>
      </c>
      <c r="F31" s="10">
        <f>dataset_1!F543</f>
        <v>17</v>
      </c>
      <c r="G31" s="10" t="b">
        <f>dataset_1!G543</f>
        <v>0</v>
      </c>
      <c r="H31" s="10">
        <f>dataset_1!H543</f>
        <v>1</v>
      </c>
      <c r="I31" s="10">
        <f>dataset_1!I543</f>
        <v>1</v>
      </c>
      <c r="J31" s="10">
        <f>dataset_1!J543</f>
        <v>0.14</v>
      </c>
      <c r="K31" s="10">
        <f>VLOOKUP(A31,dataset_2!$A$2:$G$611,2,0)</f>
        <v>0.1212</v>
      </c>
      <c r="L31" s="10">
        <f>VLOOKUP(A31,dataset_2!$A$2:$G$611,3,0)</f>
        <v>0.5</v>
      </c>
      <c r="M31" s="10">
        <f>VLOOKUP(A31,dataset_2!$A$2:$G$611,4,0)</f>
        <v>0.2537</v>
      </c>
      <c r="N31" s="10">
        <f>VLOOKUP(A31,dataset_2!$A$2:$G$611,5,0)</f>
        <v>6</v>
      </c>
      <c r="O31" s="10">
        <f>VLOOKUP(A31,dataset_2!$A$2:$G$611,6,0)</f>
        <v>178</v>
      </c>
      <c r="P31" s="10">
        <f>VLOOKUP(A31,dataset_2!$A$2:$G$611,7,0)</f>
        <v>184</v>
      </c>
      <c r="Q31" s="10"/>
      <c r="R31" s="10" t="str">
        <f t="shared" si="1"/>
        <v>OK</v>
      </c>
      <c r="S31" s="10">
        <f t="shared" si="2"/>
        <v>5</v>
      </c>
      <c r="T31" s="10" t="str">
        <f t="shared" si="3"/>
        <v>OK</v>
      </c>
      <c r="U31" s="10">
        <f t="shared" si="4"/>
        <v>1</v>
      </c>
      <c r="V31" s="10"/>
      <c r="W31" s="10"/>
      <c r="X31" s="10"/>
      <c r="Y31" s="10"/>
      <c r="Z31" s="10"/>
    </row>
    <row r="32" ht="13.5" customHeight="1">
      <c r="A32" s="10">
        <f>dataset_1!A88</f>
        <v>87</v>
      </c>
      <c r="B32" s="11">
        <f>dataset_1!B88</f>
        <v>40547</v>
      </c>
      <c r="C32" s="10">
        <f>dataset_1!C88</f>
        <v>1</v>
      </c>
      <c r="D32" s="10">
        <f>dataset_1!D88</f>
        <v>0</v>
      </c>
      <c r="E32" s="10">
        <f>dataset_1!E88</f>
        <v>1</v>
      </c>
      <c r="F32" s="10">
        <f>dataset_1!F88</f>
        <v>18</v>
      </c>
      <c r="G32" s="10" t="b">
        <f>dataset_1!G88</f>
        <v>0</v>
      </c>
      <c r="H32" s="10">
        <f>dataset_1!H88</f>
        <v>2</v>
      </c>
      <c r="I32" s="10">
        <f>dataset_1!I88</f>
        <v>1</v>
      </c>
      <c r="J32" s="10">
        <f>dataset_1!J88</f>
        <v>0.26</v>
      </c>
      <c r="K32" s="10">
        <f>VLOOKUP(A32,dataset_2!$A$2:$G$611,2,0)</f>
        <v>0.2576</v>
      </c>
      <c r="L32" s="10">
        <f>VLOOKUP(A32,dataset_2!$A$2:$G$611,3,0)</f>
        <v>0.48</v>
      </c>
      <c r="M32" s="10">
        <f>VLOOKUP(A32,dataset_2!$A$2:$G$611,4,0)</f>
        <v>0.194</v>
      </c>
      <c r="N32" s="10">
        <f>VLOOKUP(A32,dataset_2!$A$2:$G$611,5,0)</f>
        <v>3</v>
      </c>
      <c r="O32" s="10">
        <f>VLOOKUP(A32,dataset_2!$A$2:$G$611,6,0)</f>
        <v>179</v>
      </c>
      <c r="P32" s="10">
        <f>VLOOKUP(A32,dataset_2!$A$2:$G$611,7,0)</f>
        <v>182</v>
      </c>
      <c r="Q32" s="10"/>
      <c r="R32" s="10" t="str">
        <f t="shared" si="1"/>
        <v>OK</v>
      </c>
      <c r="S32" s="10">
        <f t="shared" si="2"/>
        <v>5</v>
      </c>
      <c r="T32" s="10" t="str">
        <f t="shared" si="3"/>
        <v>OK</v>
      </c>
      <c r="U32" s="10">
        <f t="shared" si="4"/>
        <v>1</v>
      </c>
      <c r="V32" s="10"/>
      <c r="W32" s="10"/>
      <c r="X32" s="10"/>
      <c r="Y32" s="10"/>
      <c r="Z32" s="10"/>
    </row>
    <row r="33" ht="13.5" customHeight="1">
      <c r="A33" s="3">
        <v>730.0</v>
      </c>
      <c r="B33" s="12">
        <v>40576.0</v>
      </c>
      <c r="C33" s="3">
        <v>1.0</v>
      </c>
      <c r="D33" s="3">
        <v>0.0</v>
      </c>
      <c r="E33" s="3">
        <v>2.0</v>
      </c>
      <c r="F33" s="3">
        <v>18.0</v>
      </c>
      <c r="G33" s="3" t="b">
        <f t="shared" ref="G33:G35" si="6">FALSE()</f>
        <v>0</v>
      </c>
      <c r="H33" s="3">
        <v>3.0</v>
      </c>
      <c r="I33" s="3">
        <v>1.0</v>
      </c>
      <c r="J33" s="3">
        <v>0.34</v>
      </c>
      <c r="K33" s="3">
        <v>0.2879</v>
      </c>
      <c r="L33" s="3">
        <v>0.42</v>
      </c>
      <c r="M33" s="3">
        <v>0.5522</v>
      </c>
      <c r="N33" s="3">
        <v>7.0</v>
      </c>
      <c r="O33" s="3">
        <v>175.0</v>
      </c>
      <c r="P33" s="3">
        <v>182.0</v>
      </c>
      <c r="Q33" s="10"/>
      <c r="R33" s="10" t="str">
        <f t="shared" si="1"/>
        <v>OK</v>
      </c>
      <c r="S33" s="10">
        <f t="shared" si="2"/>
        <v>5</v>
      </c>
      <c r="T33" s="10" t="str">
        <f t="shared" si="3"/>
        <v>OK</v>
      </c>
      <c r="U33" s="10">
        <f t="shared" si="4"/>
        <v>1</v>
      </c>
      <c r="V33" s="10"/>
      <c r="W33" s="10"/>
      <c r="X33" s="10"/>
      <c r="Y33" s="10"/>
      <c r="Z33" s="10"/>
    </row>
    <row r="34" ht="13.5" customHeight="1">
      <c r="A34" s="3">
        <v>819.0</v>
      </c>
      <c r="B34" s="12">
        <v>40580.0</v>
      </c>
      <c r="C34" s="3">
        <v>1.0</v>
      </c>
      <c r="D34" s="3">
        <v>0.0</v>
      </c>
      <c r="E34" s="3">
        <v>2.0</v>
      </c>
      <c r="F34" s="3">
        <v>13.0</v>
      </c>
      <c r="G34" s="3" t="b">
        <f t="shared" si="6"/>
        <v>0</v>
      </c>
      <c r="H34" s="3">
        <v>0.0</v>
      </c>
      <c r="I34" s="3">
        <v>1.0</v>
      </c>
      <c r="J34" s="3">
        <v>0.34</v>
      </c>
      <c r="K34" s="3">
        <v>0.3636</v>
      </c>
      <c r="L34" s="3">
        <v>0.46</v>
      </c>
      <c r="M34" s="3">
        <v>0.0</v>
      </c>
      <c r="N34" s="3">
        <v>47.0</v>
      </c>
      <c r="O34" s="3">
        <v>135.0</v>
      </c>
      <c r="P34" s="3">
        <v>182.0</v>
      </c>
      <c r="Q34" s="10"/>
      <c r="R34" s="10" t="str">
        <f t="shared" si="1"/>
        <v>OK</v>
      </c>
      <c r="S34" s="10">
        <f t="shared" si="2"/>
        <v>5</v>
      </c>
      <c r="T34" s="10" t="str">
        <f t="shared" si="3"/>
        <v>OK</v>
      </c>
      <c r="U34" s="10">
        <f t="shared" si="4"/>
        <v>1</v>
      </c>
      <c r="V34" s="10"/>
      <c r="W34" s="10"/>
      <c r="X34" s="10"/>
      <c r="Y34" s="10"/>
      <c r="Z34" s="10"/>
    </row>
    <row r="35" ht="13.5" customHeight="1">
      <c r="A35" s="3">
        <v>821.0</v>
      </c>
      <c r="B35" s="12">
        <v>40580.0</v>
      </c>
      <c r="C35" s="3">
        <v>1.0</v>
      </c>
      <c r="D35" s="3">
        <v>0.0</v>
      </c>
      <c r="E35" s="3">
        <v>2.0</v>
      </c>
      <c r="F35" s="3">
        <v>15.0</v>
      </c>
      <c r="G35" s="3" t="b">
        <f t="shared" si="6"/>
        <v>0</v>
      </c>
      <c r="H35" s="3">
        <v>0.0</v>
      </c>
      <c r="I35" s="3">
        <v>1.0</v>
      </c>
      <c r="J35" s="3">
        <v>0.34</v>
      </c>
      <c r="K35" s="3">
        <v>0.3485</v>
      </c>
      <c r="L35" s="3">
        <v>0.46</v>
      </c>
      <c r="M35" s="3">
        <v>0.0896</v>
      </c>
      <c r="N35" s="3">
        <v>52.0</v>
      </c>
      <c r="O35" s="3">
        <v>130.0</v>
      </c>
      <c r="P35" s="3">
        <v>182.0</v>
      </c>
      <c r="Q35" s="10"/>
      <c r="R35" s="10" t="str">
        <f t="shared" si="1"/>
        <v>OK</v>
      </c>
      <c r="S35" s="10">
        <f t="shared" si="2"/>
        <v>5</v>
      </c>
      <c r="T35" s="10" t="str">
        <f t="shared" si="3"/>
        <v>OK</v>
      </c>
      <c r="U35" s="10">
        <f t="shared" si="4"/>
        <v>1</v>
      </c>
      <c r="V35" s="10"/>
      <c r="W35" s="10"/>
      <c r="X35" s="10"/>
      <c r="Y35" s="10"/>
      <c r="Z35" s="10"/>
    </row>
    <row r="36" ht="13.5" customHeight="1">
      <c r="A36" s="10">
        <f>dataset_1!A78</f>
        <v>77</v>
      </c>
      <c r="B36" s="11">
        <f>dataset_1!B78</f>
        <v>40547</v>
      </c>
      <c r="C36" s="10">
        <f>dataset_1!C78</f>
        <v>1</v>
      </c>
      <c r="D36" s="10">
        <f>dataset_1!D78</f>
        <v>0</v>
      </c>
      <c r="E36" s="10">
        <f>dataset_1!E78</f>
        <v>1</v>
      </c>
      <c r="F36" s="10">
        <f>dataset_1!F78</f>
        <v>8</v>
      </c>
      <c r="G36" s="10" t="b">
        <f>dataset_1!G78</f>
        <v>0</v>
      </c>
      <c r="H36" s="10">
        <f>dataset_1!H78</f>
        <v>2</v>
      </c>
      <c r="I36" s="10">
        <f>dataset_1!I78</f>
        <v>1</v>
      </c>
      <c r="J36" s="10">
        <f>dataset_1!J78</f>
        <v>0.14</v>
      </c>
      <c r="K36" s="10">
        <f>VLOOKUP(A36,dataset_2!$A$2:$G$611,2,0)</f>
        <v>0.1515</v>
      </c>
      <c r="L36" s="10">
        <f>VLOOKUP(A36,dataset_2!$A$2:$G$611,3,0)</f>
        <v>0.69</v>
      </c>
      <c r="M36" s="10">
        <f>VLOOKUP(A36,dataset_2!$A$2:$G$611,4,0)</f>
        <v>0.1642</v>
      </c>
      <c r="N36" s="10">
        <f>VLOOKUP(A36,dataset_2!$A$2:$G$611,5,0)</f>
        <v>2</v>
      </c>
      <c r="O36" s="10">
        <f>VLOOKUP(A36,dataset_2!$A$2:$G$611,6,0)</f>
        <v>177</v>
      </c>
      <c r="P36" s="10">
        <f>VLOOKUP(A36,dataset_2!$A$2:$G$611,7,0)</f>
        <v>179</v>
      </c>
      <c r="Q36" s="10"/>
      <c r="R36" s="10" t="str">
        <f t="shared" si="1"/>
        <v>OK</v>
      </c>
      <c r="S36" s="10">
        <f t="shared" si="2"/>
        <v>5</v>
      </c>
      <c r="T36" s="10" t="str">
        <f t="shared" si="3"/>
        <v>OK</v>
      </c>
      <c r="U36" s="10">
        <f t="shared" si="4"/>
        <v>1</v>
      </c>
      <c r="V36" s="10"/>
      <c r="W36" s="10"/>
      <c r="X36" s="10"/>
      <c r="Y36" s="10"/>
      <c r="Z36" s="10"/>
    </row>
    <row r="37" ht="13.5" customHeight="1">
      <c r="A37" s="10">
        <f>dataset_1!A228</f>
        <v>227</v>
      </c>
      <c r="B37" s="11">
        <f>dataset_1!B228</f>
        <v>40553</v>
      </c>
      <c r="C37" s="10">
        <f>dataset_1!C228</f>
        <v>1</v>
      </c>
      <c r="D37" s="10">
        <f>dataset_1!D228</f>
        <v>0</v>
      </c>
      <c r="E37" s="10">
        <f>dataset_1!E228</f>
        <v>1</v>
      </c>
      <c r="F37" s="10">
        <f>dataset_1!F228</f>
        <v>17</v>
      </c>
      <c r="G37" s="10" t="b">
        <f>dataset_1!G228</f>
        <v>0</v>
      </c>
      <c r="H37" s="10">
        <f>dataset_1!H228</f>
        <v>1</v>
      </c>
      <c r="I37" s="10">
        <f>dataset_1!I228</f>
        <v>1</v>
      </c>
      <c r="J37" s="10">
        <f>dataset_1!J228</f>
        <v>0.2</v>
      </c>
      <c r="K37" s="10">
        <f>VLOOKUP(A37,dataset_2!$A$2:$G$611,2,0)</f>
        <v>0.2273</v>
      </c>
      <c r="L37" s="10">
        <f>VLOOKUP(A37,dataset_2!$A$2:$G$611,3,0)</f>
        <v>0.4</v>
      </c>
      <c r="M37" s="10">
        <f>VLOOKUP(A37,dataset_2!$A$2:$G$611,4,0)</f>
        <v>0.1045</v>
      </c>
      <c r="N37" s="10">
        <f>VLOOKUP(A37,dataset_2!$A$2:$G$611,5,0)</f>
        <v>4</v>
      </c>
      <c r="O37" s="10">
        <f>VLOOKUP(A37,dataset_2!$A$2:$G$611,6,0)</f>
        <v>174</v>
      </c>
      <c r="P37" s="10">
        <f>VLOOKUP(A37,dataset_2!$A$2:$G$611,7,0)</f>
        <v>178</v>
      </c>
      <c r="Q37" s="10"/>
      <c r="R37" s="10" t="str">
        <f t="shared" si="1"/>
        <v>OK</v>
      </c>
      <c r="S37" s="10">
        <f t="shared" si="2"/>
        <v>5</v>
      </c>
      <c r="T37" s="10" t="str">
        <f t="shared" si="3"/>
        <v>OK</v>
      </c>
      <c r="U37" s="10">
        <f t="shared" si="4"/>
        <v>1</v>
      </c>
      <c r="V37" s="10"/>
      <c r="W37" s="10"/>
      <c r="X37" s="10"/>
      <c r="Y37" s="10"/>
      <c r="Z37" s="10"/>
    </row>
    <row r="38" ht="13.5" customHeight="1">
      <c r="A38" s="3">
        <v>908.0</v>
      </c>
      <c r="B38" s="12">
        <v>40584.0</v>
      </c>
      <c r="C38" s="3">
        <v>1.0</v>
      </c>
      <c r="D38" s="3">
        <v>0.0</v>
      </c>
      <c r="E38" s="3">
        <v>2.0</v>
      </c>
      <c r="F38" s="3">
        <v>8.0</v>
      </c>
      <c r="G38" s="3" t="b">
        <f>FALSE()</f>
        <v>0</v>
      </c>
      <c r="H38" s="3">
        <v>4.0</v>
      </c>
      <c r="I38" s="3">
        <v>1.0</v>
      </c>
      <c r="J38" s="3">
        <v>0.1</v>
      </c>
      <c r="K38" s="3">
        <v>0.0758</v>
      </c>
      <c r="L38" s="3">
        <v>0.49</v>
      </c>
      <c r="M38" s="3">
        <v>0.3284</v>
      </c>
      <c r="N38" s="3">
        <v>5.0</v>
      </c>
      <c r="O38" s="3">
        <v>173.0</v>
      </c>
      <c r="P38" s="3">
        <v>178.0</v>
      </c>
      <c r="Q38" s="10"/>
      <c r="R38" s="10" t="str">
        <f t="shared" si="1"/>
        <v>OK</v>
      </c>
      <c r="S38" s="10">
        <f t="shared" si="2"/>
        <v>5</v>
      </c>
      <c r="T38" s="10" t="str">
        <f t="shared" si="3"/>
        <v>OK</v>
      </c>
      <c r="U38" s="10">
        <f t="shared" si="4"/>
        <v>1</v>
      </c>
      <c r="V38" s="10"/>
      <c r="W38" s="10"/>
      <c r="X38" s="10"/>
      <c r="Y38" s="10"/>
      <c r="Z38" s="10"/>
    </row>
    <row r="39" ht="13.5" customHeight="1">
      <c r="A39" s="10">
        <f>dataset_1!A534</f>
        <v>533</v>
      </c>
      <c r="B39" s="11">
        <f>dataset_1!B534</f>
        <v>40567</v>
      </c>
      <c r="C39" s="10">
        <f>dataset_1!C534</f>
        <v>1</v>
      </c>
      <c r="D39" s="10">
        <f>dataset_1!D534</f>
        <v>0</v>
      </c>
      <c r="E39" s="10">
        <f>dataset_1!E534</f>
        <v>1</v>
      </c>
      <c r="F39" s="10">
        <f>dataset_1!F534</f>
        <v>8</v>
      </c>
      <c r="G39" s="10" t="b">
        <f>dataset_1!G534</f>
        <v>0</v>
      </c>
      <c r="H39" s="10">
        <f>dataset_1!H534</f>
        <v>1</v>
      </c>
      <c r="I39" s="10">
        <f>dataset_1!I534</f>
        <v>1</v>
      </c>
      <c r="J39" s="10">
        <f>dataset_1!J534</f>
        <v>0.04</v>
      </c>
      <c r="K39" s="10">
        <f>VLOOKUP(A39,dataset_2!$A$2:$G$611,2,0)</f>
        <v>0.1364</v>
      </c>
      <c r="L39" s="10">
        <f>VLOOKUP(A39,dataset_2!$A$2:$G$611,3,0)</f>
        <v>0.49</v>
      </c>
      <c r="M39" s="10">
        <f>VLOOKUP(A39,dataset_2!$A$2:$G$611,4,0)</f>
        <v>0</v>
      </c>
      <c r="N39" s="10">
        <f>VLOOKUP(A39,dataset_2!$A$2:$G$611,5,0)</f>
        <v>6</v>
      </c>
      <c r="O39" s="10">
        <f>VLOOKUP(A39,dataset_2!$A$2:$G$611,6,0)</f>
        <v>171</v>
      </c>
      <c r="P39" s="10">
        <f>VLOOKUP(A39,dataset_2!$A$2:$G$611,7,0)</f>
        <v>177</v>
      </c>
      <c r="Q39" s="10"/>
      <c r="R39" s="10" t="str">
        <f t="shared" si="1"/>
        <v>OK</v>
      </c>
      <c r="S39" s="10">
        <f t="shared" si="2"/>
        <v>5</v>
      </c>
      <c r="T39" s="10" t="str">
        <f t="shared" si="3"/>
        <v>OK</v>
      </c>
      <c r="U39" s="10">
        <f t="shared" si="4"/>
        <v>1</v>
      </c>
      <c r="V39" s="10"/>
      <c r="W39" s="10"/>
      <c r="X39" s="10"/>
      <c r="Y39" s="10"/>
      <c r="Z39" s="10"/>
    </row>
    <row r="40" ht="13.5" customHeight="1">
      <c r="A40" s="3">
        <v>705.0</v>
      </c>
      <c r="B40" s="12">
        <v>40575.0</v>
      </c>
      <c r="C40" s="3">
        <v>1.0</v>
      </c>
      <c r="D40" s="3">
        <v>0.0</v>
      </c>
      <c r="E40" s="3">
        <v>2.0</v>
      </c>
      <c r="F40" s="3">
        <v>17.0</v>
      </c>
      <c r="G40" s="3" t="b">
        <f t="shared" ref="G40:G46" si="7">FALSE()</f>
        <v>0</v>
      </c>
      <c r="H40" s="3">
        <v>2.0</v>
      </c>
      <c r="I40" s="3">
        <v>2.0</v>
      </c>
      <c r="J40" s="3">
        <v>0.24</v>
      </c>
      <c r="K40" s="3">
        <v>0.2879</v>
      </c>
      <c r="L40" s="3">
        <v>0.75</v>
      </c>
      <c r="M40" s="3">
        <v>0.0</v>
      </c>
      <c r="N40" s="3">
        <v>4.0</v>
      </c>
      <c r="O40" s="3">
        <v>172.0</v>
      </c>
      <c r="P40" s="3">
        <v>176.0</v>
      </c>
      <c r="Q40" s="10"/>
      <c r="R40" s="10" t="str">
        <f t="shared" si="1"/>
        <v>OK</v>
      </c>
      <c r="S40" s="10">
        <f t="shared" si="2"/>
        <v>5</v>
      </c>
      <c r="T40" s="10" t="str">
        <f t="shared" si="3"/>
        <v>OK</v>
      </c>
      <c r="U40" s="10">
        <f t="shared" si="4"/>
        <v>1</v>
      </c>
      <c r="V40" s="10"/>
      <c r="W40" s="10"/>
      <c r="X40" s="10"/>
      <c r="Y40" s="10"/>
      <c r="Z40" s="10"/>
    </row>
    <row r="41" ht="13.5" customHeight="1">
      <c r="A41" s="3">
        <v>871.0</v>
      </c>
      <c r="B41" s="12">
        <v>40582.0</v>
      </c>
      <c r="C41" s="3">
        <v>1.0</v>
      </c>
      <c r="D41" s="3">
        <v>0.0</v>
      </c>
      <c r="E41" s="3">
        <v>2.0</v>
      </c>
      <c r="F41" s="3">
        <v>17.0</v>
      </c>
      <c r="G41" s="3" t="b">
        <f t="shared" si="7"/>
        <v>0</v>
      </c>
      <c r="H41" s="3">
        <v>2.0</v>
      </c>
      <c r="I41" s="3">
        <v>1.0</v>
      </c>
      <c r="J41" s="3">
        <v>0.22</v>
      </c>
      <c r="K41" s="3">
        <v>0.1818</v>
      </c>
      <c r="L41" s="3">
        <v>0.32</v>
      </c>
      <c r="M41" s="3">
        <v>0.5821</v>
      </c>
      <c r="N41" s="3">
        <v>4.0</v>
      </c>
      <c r="O41" s="3">
        <v>172.0</v>
      </c>
      <c r="P41" s="3">
        <v>176.0</v>
      </c>
      <c r="Q41" s="10"/>
      <c r="R41" s="10" t="str">
        <f t="shared" si="1"/>
        <v>OK</v>
      </c>
      <c r="S41" s="10">
        <f t="shared" si="2"/>
        <v>5</v>
      </c>
      <c r="T41" s="10" t="str">
        <f t="shared" si="3"/>
        <v>OK</v>
      </c>
      <c r="U41" s="10">
        <f t="shared" si="4"/>
        <v>1</v>
      </c>
      <c r="V41" s="10"/>
      <c r="W41" s="10"/>
      <c r="X41" s="10"/>
      <c r="Y41" s="10"/>
      <c r="Z41" s="10"/>
    </row>
    <row r="42" ht="13.5" customHeight="1">
      <c r="A42" s="3">
        <v>752.0</v>
      </c>
      <c r="B42" s="12">
        <v>40577.0</v>
      </c>
      <c r="C42" s="3">
        <v>1.0</v>
      </c>
      <c r="D42" s="3">
        <v>0.0</v>
      </c>
      <c r="E42" s="3">
        <v>2.0</v>
      </c>
      <c r="F42" s="3">
        <v>17.0</v>
      </c>
      <c r="G42" s="3" t="b">
        <f t="shared" si="7"/>
        <v>0</v>
      </c>
      <c r="H42" s="3">
        <v>4.0</v>
      </c>
      <c r="I42" s="3">
        <v>1.0</v>
      </c>
      <c r="J42" s="3">
        <v>0.2</v>
      </c>
      <c r="K42" s="3">
        <v>0.197</v>
      </c>
      <c r="L42" s="3">
        <v>0.4</v>
      </c>
      <c r="M42" s="3">
        <v>0.194</v>
      </c>
      <c r="N42" s="3">
        <v>5.0</v>
      </c>
      <c r="O42" s="3">
        <v>170.0</v>
      </c>
      <c r="P42" s="3">
        <v>175.0</v>
      </c>
      <c r="Q42" s="10"/>
      <c r="R42" s="10" t="str">
        <f t="shared" si="1"/>
        <v>OK</v>
      </c>
      <c r="S42" s="10">
        <f t="shared" si="2"/>
        <v>5</v>
      </c>
      <c r="T42" s="10" t="str">
        <f t="shared" si="3"/>
        <v>OK</v>
      </c>
      <c r="U42" s="10">
        <f t="shared" si="4"/>
        <v>1</v>
      </c>
      <c r="V42" s="10"/>
      <c r="W42" s="10"/>
      <c r="X42" s="10"/>
      <c r="Y42" s="10"/>
      <c r="Z42" s="10"/>
    </row>
    <row r="43" ht="13.5" customHeight="1">
      <c r="A43" s="3">
        <v>848.0</v>
      </c>
      <c r="B43" s="12">
        <v>40581.0</v>
      </c>
      <c r="C43" s="3">
        <v>1.0</v>
      </c>
      <c r="D43" s="3">
        <v>0.0</v>
      </c>
      <c r="E43" s="3">
        <v>2.0</v>
      </c>
      <c r="F43" s="3">
        <v>18.0</v>
      </c>
      <c r="G43" s="3" t="b">
        <f t="shared" si="7"/>
        <v>0</v>
      </c>
      <c r="H43" s="3">
        <v>1.0</v>
      </c>
      <c r="I43" s="3">
        <v>2.0</v>
      </c>
      <c r="J43" s="3">
        <v>0.34</v>
      </c>
      <c r="K43" s="3">
        <v>0.3333</v>
      </c>
      <c r="L43" s="3">
        <v>0.66</v>
      </c>
      <c r="M43" s="3">
        <v>0.1343</v>
      </c>
      <c r="N43" s="3">
        <v>5.0</v>
      </c>
      <c r="O43" s="3">
        <v>170.0</v>
      </c>
      <c r="P43" s="3">
        <v>175.0</v>
      </c>
      <c r="Q43" s="10"/>
      <c r="R43" s="10" t="str">
        <f t="shared" si="1"/>
        <v>OK</v>
      </c>
      <c r="S43" s="10">
        <f t="shared" si="2"/>
        <v>5</v>
      </c>
      <c r="T43" s="10" t="str">
        <f t="shared" si="3"/>
        <v>OK</v>
      </c>
      <c r="U43" s="10">
        <f t="shared" si="4"/>
        <v>1</v>
      </c>
      <c r="V43" s="10"/>
      <c r="W43" s="10"/>
      <c r="X43" s="10"/>
      <c r="Y43" s="10"/>
      <c r="Z43" s="10"/>
    </row>
    <row r="44" ht="13.5" customHeight="1">
      <c r="A44" s="3">
        <v>818.0</v>
      </c>
      <c r="B44" s="12">
        <v>40580.0</v>
      </c>
      <c r="C44" s="3">
        <v>1.0</v>
      </c>
      <c r="D44" s="3">
        <v>0.0</v>
      </c>
      <c r="E44" s="3">
        <v>2.0</v>
      </c>
      <c r="F44" s="3">
        <v>12.0</v>
      </c>
      <c r="G44" s="3" t="b">
        <f t="shared" si="7"/>
        <v>0</v>
      </c>
      <c r="H44" s="3">
        <v>0.0</v>
      </c>
      <c r="I44" s="3">
        <v>1.0</v>
      </c>
      <c r="J44" s="3">
        <v>0.34</v>
      </c>
      <c r="K44" s="3">
        <v>0.3333</v>
      </c>
      <c r="L44" s="3">
        <v>0.46</v>
      </c>
      <c r="M44" s="3">
        <v>0.0</v>
      </c>
      <c r="N44" s="3">
        <v>48.0</v>
      </c>
      <c r="O44" s="3">
        <v>126.0</v>
      </c>
      <c r="P44" s="3">
        <v>174.0</v>
      </c>
      <c r="Q44" s="10"/>
      <c r="R44" s="10" t="str">
        <f t="shared" si="1"/>
        <v>OK</v>
      </c>
      <c r="S44" s="10">
        <f t="shared" si="2"/>
        <v>5</v>
      </c>
      <c r="T44" s="10" t="str">
        <f t="shared" si="3"/>
        <v>OK</v>
      </c>
      <c r="U44" s="10">
        <f t="shared" si="4"/>
        <v>1</v>
      </c>
      <c r="V44" s="10"/>
      <c r="W44" s="10"/>
      <c r="X44" s="10"/>
      <c r="Y44" s="10"/>
      <c r="Z44" s="10"/>
    </row>
    <row r="45" ht="13.5" customHeight="1">
      <c r="A45" s="3">
        <v>940.0</v>
      </c>
      <c r="B45" s="12">
        <v>40585.0</v>
      </c>
      <c r="C45" s="3">
        <v>1.0</v>
      </c>
      <c r="D45" s="3">
        <v>0.0</v>
      </c>
      <c r="E45" s="3">
        <v>2.0</v>
      </c>
      <c r="F45" s="3">
        <v>18.0</v>
      </c>
      <c r="G45" s="3" t="b">
        <f t="shared" si="7"/>
        <v>0</v>
      </c>
      <c r="H45" s="3">
        <v>5.0</v>
      </c>
      <c r="I45" s="3">
        <v>1.0</v>
      </c>
      <c r="J45" s="3">
        <v>0.28</v>
      </c>
      <c r="K45" s="3">
        <v>0.3182</v>
      </c>
      <c r="L45" s="3">
        <v>0.28</v>
      </c>
      <c r="M45" s="3">
        <v>0.0</v>
      </c>
      <c r="N45" s="3">
        <v>9.0</v>
      </c>
      <c r="O45" s="3">
        <v>165.0</v>
      </c>
      <c r="P45" s="3">
        <v>174.0</v>
      </c>
      <c r="Q45" s="10"/>
      <c r="R45" s="10" t="str">
        <f t="shared" si="1"/>
        <v>OK</v>
      </c>
      <c r="S45" s="10">
        <f t="shared" si="2"/>
        <v>5</v>
      </c>
      <c r="T45" s="10" t="str">
        <f t="shared" si="3"/>
        <v>OK</v>
      </c>
      <c r="U45" s="10">
        <f t="shared" si="4"/>
        <v>1</v>
      </c>
      <c r="V45" s="10"/>
      <c r="W45" s="10"/>
      <c r="X45" s="10"/>
      <c r="Y45" s="10"/>
      <c r="Z45" s="10"/>
    </row>
    <row r="46" ht="13.5" customHeight="1">
      <c r="A46" s="3">
        <v>961.0</v>
      </c>
      <c r="B46" s="12">
        <v>40586.0</v>
      </c>
      <c r="C46" s="3">
        <v>1.0</v>
      </c>
      <c r="D46" s="3">
        <v>0.0</v>
      </c>
      <c r="E46" s="3">
        <v>2.0</v>
      </c>
      <c r="F46" s="3">
        <v>15.0</v>
      </c>
      <c r="G46" s="3" t="b">
        <f t="shared" si="7"/>
        <v>0</v>
      </c>
      <c r="H46" s="3">
        <v>6.0</v>
      </c>
      <c r="I46" s="3">
        <v>1.0</v>
      </c>
      <c r="J46" s="3">
        <v>0.34</v>
      </c>
      <c r="K46" s="3">
        <v>0.303</v>
      </c>
      <c r="L46" s="3">
        <v>0.29</v>
      </c>
      <c r="M46" s="3">
        <v>0.4179</v>
      </c>
      <c r="N46" s="3">
        <v>47.0</v>
      </c>
      <c r="O46" s="3">
        <v>127.0</v>
      </c>
      <c r="P46" s="3">
        <v>174.0</v>
      </c>
      <c r="Q46" s="10"/>
      <c r="R46" s="10" t="str">
        <f t="shared" si="1"/>
        <v>OK</v>
      </c>
      <c r="S46" s="10">
        <f t="shared" si="2"/>
        <v>5</v>
      </c>
      <c r="T46" s="10" t="str">
        <f t="shared" si="3"/>
        <v>OK</v>
      </c>
      <c r="U46" s="10">
        <f t="shared" si="4"/>
        <v>1</v>
      </c>
      <c r="V46" s="10"/>
      <c r="W46" s="10"/>
      <c r="X46" s="10"/>
      <c r="Y46" s="10"/>
      <c r="Z46" s="10"/>
    </row>
    <row r="47" ht="13.5" customHeight="1">
      <c r="A47" s="10">
        <f>dataset_1!A133</f>
        <v>132</v>
      </c>
      <c r="B47" s="11">
        <f>dataset_1!B133</f>
        <v>40549</v>
      </c>
      <c r="C47" s="10">
        <f>dataset_1!C133</f>
        <v>1</v>
      </c>
      <c r="D47" s="10">
        <f>dataset_1!D133</f>
        <v>0</v>
      </c>
      <c r="E47" s="10">
        <f>dataset_1!E133</f>
        <v>1</v>
      </c>
      <c r="F47" s="10">
        <f>dataset_1!F133</f>
        <v>17</v>
      </c>
      <c r="G47" s="10" t="b">
        <f>dataset_1!G133</f>
        <v>0</v>
      </c>
      <c r="H47" s="10">
        <f>dataset_1!H133</f>
        <v>4</v>
      </c>
      <c r="I47" s="10">
        <f>dataset_1!I133</f>
        <v>1</v>
      </c>
      <c r="J47" s="10">
        <f>dataset_1!J133</f>
        <v>0.22</v>
      </c>
      <c r="K47" s="10">
        <f>VLOOKUP(A47,dataset_2!$A$2:$G$611,2,0)</f>
        <v>0.2273</v>
      </c>
      <c r="L47" s="10">
        <f>VLOOKUP(A47,dataset_2!$A$2:$G$611,3,0)</f>
        <v>0.51</v>
      </c>
      <c r="M47" s="10">
        <f>VLOOKUP(A47,dataset_2!$A$2:$G$611,4,0)</f>
        <v>0.1642</v>
      </c>
      <c r="N47" s="10">
        <f>VLOOKUP(A47,dataset_2!$A$2:$G$611,5,0)</f>
        <v>9</v>
      </c>
      <c r="O47" s="10">
        <f>VLOOKUP(A47,dataset_2!$A$2:$G$611,6,0)</f>
        <v>163</v>
      </c>
      <c r="P47" s="10">
        <f>VLOOKUP(A47,dataset_2!$A$2:$G$611,7,0)</f>
        <v>172</v>
      </c>
      <c r="Q47" s="10"/>
      <c r="R47" s="10" t="str">
        <f t="shared" si="1"/>
        <v>OK</v>
      </c>
      <c r="S47" s="10">
        <f t="shared" si="2"/>
        <v>5</v>
      </c>
      <c r="T47" s="10" t="str">
        <f t="shared" si="3"/>
        <v>OK</v>
      </c>
      <c r="U47" s="10">
        <f t="shared" si="4"/>
        <v>1</v>
      </c>
      <c r="V47" s="10"/>
      <c r="W47" s="10"/>
      <c r="X47" s="10"/>
      <c r="Y47" s="10"/>
      <c r="Z47" s="10"/>
    </row>
    <row r="48" ht="13.5" customHeight="1">
      <c r="A48" s="3">
        <v>895.0</v>
      </c>
      <c r="B48" s="12">
        <v>40583.0</v>
      </c>
      <c r="C48" s="3">
        <v>1.0</v>
      </c>
      <c r="D48" s="3">
        <v>0.0</v>
      </c>
      <c r="E48" s="3">
        <v>2.0</v>
      </c>
      <c r="F48" s="3">
        <v>18.0</v>
      </c>
      <c r="G48" s="3" t="b">
        <f>FALSE()</f>
        <v>0</v>
      </c>
      <c r="H48" s="3">
        <v>3.0</v>
      </c>
      <c r="I48" s="3">
        <v>2.0</v>
      </c>
      <c r="J48" s="3">
        <v>0.18</v>
      </c>
      <c r="K48" s="3">
        <v>0.1667</v>
      </c>
      <c r="L48" s="3">
        <v>0.47</v>
      </c>
      <c r="M48" s="3">
        <v>0.2985</v>
      </c>
      <c r="N48" s="3">
        <v>2.0</v>
      </c>
      <c r="O48" s="3">
        <v>168.0</v>
      </c>
      <c r="P48" s="3">
        <v>170.0</v>
      </c>
      <c r="Q48" s="10"/>
      <c r="R48" s="10" t="str">
        <f t="shared" si="1"/>
        <v>OK</v>
      </c>
      <c r="S48" s="10">
        <f t="shared" si="2"/>
        <v>5</v>
      </c>
      <c r="T48" s="10" t="str">
        <f t="shared" si="3"/>
        <v>OK</v>
      </c>
      <c r="U48" s="10">
        <f t="shared" si="4"/>
        <v>1</v>
      </c>
      <c r="V48" s="10"/>
      <c r="W48" s="10"/>
      <c r="X48" s="10"/>
      <c r="Y48" s="10"/>
      <c r="Z48" s="10"/>
    </row>
    <row r="49" ht="13.5" customHeight="1">
      <c r="A49" s="10">
        <f>dataset_1!A111</f>
        <v>110</v>
      </c>
      <c r="B49" s="11">
        <f>dataset_1!B111</f>
        <v>40548</v>
      </c>
      <c r="C49" s="10">
        <f>dataset_1!C111</f>
        <v>1</v>
      </c>
      <c r="D49" s="10">
        <f>dataset_1!D111</f>
        <v>0</v>
      </c>
      <c r="E49" s="10">
        <f>dataset_1!E111</f>
        <v>1</v>
      </c>
      <c r="F49" s="10">
        <f>dataset_1!F111</f>
        <v>18</v>
      </c>
      <c r="G49" s="10" t="b">
        <f>dataset_1!G111</f>
        <v>0</v>
      </c>
      <c r="H49" s="10">
        <f>dataset_1!H111</f>
        <v>3</v>
      </c>
      <c r="I49" s="10">
        <f>dataset_1!I111</f>
        <v>1</v>
      </c>
      <c r="J49" s="10">
        <f>dataset_1!J111</f>
        <v>0.24</v>
      </c>
      <c r="K49" s="10">
        <f>VLOOKUP(A49,dataset_2!$A$2:$G$611,2,0)</f>
        <v>0.2424</v>
      </c>
      <c r="L49" s="10">
        <f>VLOOKUP(A49,dataset_2!$A$2:$G$611,3,0)</f>
        <v>0.38</v>
      </c>
      <c r="M49" s="10">
        <f>VLOOKUP(A49,dataset_2!$A$2:$G$611,4,0)</f>
        <v>0.1343</v>
      </c>
      <c r="N49" s="10">
        <f>VLOOKUP(A49,dataset_2!$A$2:$G$611,5,0)</f>
        <v>3</v>
      </c>
      <c r="O49" s="10">
        <f>VLOOKUP(A49,dataset_2!$A$2:$G$611,6,0)</f>
        <v>166</v>
      </c>
      <c r="P49" s="10">
        <f>VLOOKUP(A49,dataset_2!$A$2:$G$611,7,0)</f>
        <v>169</v>
      </c>
      <c r="Q49" s="10"/>
      <c r="R49" s="10" t="str">
        <f t="shared" si="1"/>
        <v>OK</v>
      </c>
      <c r="S49" s="10">
        <f t="shared" si="2"/>
        <v>5</v>
      </c>
      <c r="T49" s="10" t="str">
        <f t="shared" si="3"/>
        <v>OK</v>
      </c>
      <c r="U49" s="10">
        <f t="shared" si="4"/>
        <v>1</v>
      </c>
      <c r="V49" s="10"/>
      <c r="W49" s="10"/>
      <c r="X49" s="10"/>
      <c r="Y49" s="10"/>
      <c r="Z49" s="10"/>
    </row>
    <row r="50" ht="13.5" customHeight="1">
      <c r="A50" s="3">
        <v>706.0</v>
      </c>
      <c r="B50" s="12">
        <v>40575.0</v>
      </c>
      <c r="C50" s="3">
        <v>1.0</v>
      </c>
      <c r="D50" s="3">
        <v>0.0</v>
      </c>
      <c r="E50" s="3">
        <v>2.0</v>
      </c>
      <c r="F50" s="3">
        <v>18.0</v>
      </c>
      <c r="G50" s="3" t="b">
        <f>FALSE()</f>
        <v>0</v>
      </c>
      <c r="H50" s="3">
        <v>2.0</v>
      </c>
      <c r="I50" s="3">
        <v>2.0</v>
      </c>
      <c r="J50" s="3">
        <v>0.24</v>
      </c>
      <c r="K50" s="3">
        <v>0.2576</v>
      </c>
      <c r="L50" s="3">
        <v>0.81</v>
      </c>
      <c r="M50" s="3">
        <v>0.1045</v>
      </c>
      <c r="N50" s="3">
        <v>3.0</v>
      </c>
      <c r="O50" s="3">
        <v>165.0</v>
      </c>
      <c r="P50" s="3">
        <v>168.0</v>
      </c>
      <c r="Q50" s="10"/>
      <c r="R50" s="10" t="str">
        <f t="shared" si="1"/>
        <v>OK</v>
      </c>
      <c r="S50" s="10">
        <f t="shared" si="2"/>
        <v>5</v>
      </c>
      <c r="T50" s="10" t="str">
        <f t="shared" si="3"/>
        <v>OK</v>
      </c>
      <c r="U50" s="10">
        <f t="shared" si="4"/>
        <v>1</v>
      </c>
      <c r="V50" s="10"/>
      <c r="W50" s="10"/>
      <c r="X50" s="10"/>
      <c r="Y50" s="10"/>
      <c r="Z50" s="10"/>
    </row>
    <row r="51" ht="13.5" customHeight="1">
      <c r="A51" s="10">
        <f>dataset_1!A466</f>
        <v>465</v>
      </c>
      <c r="B51" s="11">
        <f>dataset_1!B466</f>
        <v>40564</v>
      </c>
      <c r="C51" s="10">
        <f>dataset_1!C466</f>
        <v>1</v>
      </c>
      <c r="D51" s="10">
        <f>dataset_1!D466</f>
        <v>0</v>
      </c>
      <c r="E51" s="10">
        <f>dataset_1!E466</f>
        <v>1</v>
      </c>
      <c r="F51" s="10">
        <f>dataset_1!F466</f>
        <v>9</v>
      </c>
      <c r="G51" s="10" t="b">
        <f>dataset_1!G466</f>
        <v>0</v>
      </c>
      <c r="H51" s="10">
        <f>dataset_1!H466</f>
        <v>5</v>
      </c>
      <c r="I51" s="10">
        <f>dataset_1!I466</f>
        <v>1</v>
      </c>
      <c r="J51" s="10">
        <f>dataset_1!J466</f>
        <v>0.2</v>
      </c>
      <c r="K51" s="10">
        <f>VLOOKUP(A51,dataset_2!$A$2:$G$611,2,0)</f>
        <v>0.1818</v>
      </c>
      <c r="L51" s="10">
        <f>VLOOKUP(A51,dataset_2!$A$2:$G$611,3,0)</f>
        <v>0.51</v>
      </c>
      <c r="M51" s="10">
        <f>VLOOKUP(A51,dataset_2!$A$2:$G$611,4,0)</f>
        <v>0.3582</v>
      </c>
      <c r="N51" s="10">
        <f>VLOOKUP(A51,dataset_2!$A$2:$G$611,5,0)</f>
        <v>7</v>
      </c>
      <c r="O51" s="10">
        <f>VLOOKUP(A51,dataset_2!$A$2:$G$611,6,0)</f>
        <v>159</v>
      </c>
      <c r="P51" s="10">
        <f>VLOOKUP(A51,dataset_2!$A$2:$G$611,7,0)</f>
        <v>166</v>
      </c>
      <c r="Q51" s="10"/>
      <c r="R51" s="10" t="str">
        <f t="shared" si="1"/>
        <v>OK</v>
      </c>
      <c r="S51" s="10">
        <f t="shared" si="2"/>
        <v>5</v>
      </c>
      <c r="T51" s="10" t="str">
        <f t="shared" si="3"/>
        <v>OK</v>
      </c>
      <c r="U51" s="10">
        <f t="shared" si="4"/>
        <v>1</v>
      </c>
      <c r="V51" s="10"/>
      <c r="W51" s="10"/>
      <c r="X51" s="10"/>
      <c r="Y51" s="10"/>
      <c r="Z51" s="10"/>
    </row>
    <row r="52" ht="13.5" customHeight="1">
      <c r="A52" s="3">
        <v>894.0</v>
      </c>
      <c r="B52" s="12">
        <v>40583.0</v>
      </c>
      <c r="C52" s="3">
        <v>1.0</v>
      </c>
      <c r="D52" s="3">
        <v>0.0</v>
      </c>
      <c r="E52" s="3">
        <v>2.0</v>
      </c>
      <c r="F52" s="3">
        <v>17.0</v>
      </c>
      <c r="G52" s="3" t="b">
        <f t="shared" ref="G52:G53" si="8">FALSE()</f>
        <v>0</v>
      </c>
      <c r="H52" s="3">
        <v>3.0</v>
      </c>
      <c r="I52" s="3">
        <v>2.0</v>
      </c>
      <c r="J52" s="3">
        <v>0.2</v>
      </c>
      <c r="K52" s="3">
        <v>0.197</v>
      </c>
      <c r="L52" s="3">
        <v>0.34</v>
      </c>
      <c r="M52" s="3">
        <v>0.2537</v>
      </c>
      <c r="N52" s="3">
        <v>9.0</v>
      </c>
      <c r="O52" s="3">
        <v>157.0</v>
      </c>
      <c r="P52" s="3">
        <v>166.0</v>
      </c>
      <c r="Q52" s="10"/>
      <c r="R52" s="10" t="str">
        <f t="shared" si="1"/>
        <v>OK</v>
      </c>
      <c r="S52" s="10">
        <f t="shared" si="2"/>
        <v>5</v>
      </c>
      <c r="T52" s="10" t="str">
        <f t="shared" si="3"/>
        <v>OK</v>
      </c>
      <c r="U52" s="10">
        <f t="shared" si="4"/>
        <v>1</v>
      </c>
      <c r="V52" s="10"/>
      <c r="W52" s="10"/>
      <c r="X52" s="10"/>
      <c r="Y52" s="10"/>
      <c r="Z52" s="10"/>
    </row>
    <row r="53" ht="13.5" customHeight="1">
      <c r="A53" s="3">
        <v>917.0</v>
      </c>
      <c r="B53" s="12">
        <v>40584.0</v>
      </c>
      <c r="C53" s="3">
        <v>1.0</v>
      </c>
      <c r="D53" s="3">
        <v>0.0</v>
      </c>
      <c r="E53" s="3">
        <v>2.0</v>
      </c>
      <c r="F53" s="3">
        <v>17.0</v>
      </c>
      <c r="G53" s="3" t="b">
        <f t="shared" si="8"/>
        <v>0</v>
      </c>
      <c r="H53" s="3">
        <v>4.0</v>
      </c>
      <c r="I53" s="3">
        <v>1.0</v>
      </c>
      <c r="J53" s="3">
        <v>0.18</v>
      </c>
      <c r="K53" s="3">
        <v>0.1818</v>
      </c>
      <c r="L53" s="3">
        <v>0.26</v>
      </c>
      <c r="M53" s="3">
        <v>0.194</v>
      </c>
      <c r="N53" s="3">
        <v>6.0</v>
      </c>
      <c r="O53" s="3">
        <v>159.0</v>
      </c>
      <c r="P53" s="3">
        <v>165.0</v>
      </c>
      <c r="Q53" s="10"/>
      <c r="R53" s="10" t="str">
        <f t="shared" si="1"/>
        <v>OK</v>
      </c>
      <c r="S53" s="10">
        <f t="shared" si="2"/>
        <v>5</v>
      </c>
      <c r="T53" s="10" t="str">
        <f t="shared" si="3"/>
        <v>OK</v>
      </c>
      <c r="U53" s="10">
        <f t="shared" si="4"/>
        <v>1</v>
      </c>
      <c r="V53" s="10"/>
      <c r="W53" s="10"/>
      <c r="X53" s="10"/>
      <c r="Y53" s="10"/>
      <c r="Z53" s="10"/>
    </row>
    <row r="54" ht="13.5" customHeight="1">
      <c r="A54" s="10">
        <f>dataset_1!A134</f>
        <v>133</v>
      </c>
      <c r="B54" s="11">
        <f>dataset_1!B134</f>
        <v>40549</v>
      </c>
      <c r="C54" s="10">
        <f>dataset_1!C134</f>
        <v>1</v>
      </c>
      <c r="D54" s="10">
        <f>dataset_1!D134</f>
        <v>0</v>
      </c>
      <c r="E54" s="10">
        <f>dataset_1!E134</f>
        <v>1</v>
      </c>
      <c r="F54" s="10">
        <f>dataset_1!F134</f>
        <v>18</v>
      </c>
      <c r="G54" s="10" t="b">
        <f>dataset_1!G134</f>
        <v>0</v>
      </c>
      <c r="H54" s="10">
        <f>dataset_1!H134</f>
        <v>4</v>
      </c>
      <c r="I54" s="10">
        <f>dataset_1!I134</f>
        <v>1</v>
      </c>
      <c r="J54" s="10">
        <f>dataset_1!J134</f>
        <v>0.22</v>
      </c>
      <c r="K54" s="10">
        <f>VLOOKUP(A54,dataset_2!$A$2:$G$611,2,0)</f>
        <v>0.2273</v>
      </c>
      <c r="L54" s="10">
        <f>VLOOKUP(A54,dataset_2!$A$2:$G$611,3,0)</f>
        <v>0.51</v>
      </c>
      <c r="M54" s="10">
        <f>VLOOKUP(A54,dataset_2!$A$2:$G$611,4,0)</f>
        <v>0.1343</v>
      </c>
      <c r="N54" s="10">
        <f>VLOOKUP(A54,dataset_2!$A$2:$G$611,5,0)</f>
        <v>5</v>
      </c>
      <c r="O54" s="10">
        <f>VLOOKUP(A54,dataset_2!$A$2:$G$611,6,0)</f>
        <v>158</v>
      </c>
      <c r="P54" s="10">
        <f>VLOOKUP(A54,dataset_2!$A$2:$G$611,7,0)</f>
        <v>163</v>
      </c>
      <c r="Q54" s="10"/>
      <c r="R54" s="10" t="str">
        <f t="shared" si="1"/>
        <v>OK</v>
      </c>
      <c r="S54" s="10">
        <f t="shared" si="2"/>
        <v>5</v>
      </c>
      <c r="T54" s="10" t="str">
        <f t="shared" si="3"/>
        <v>OK</v>
      </c>
      <c r="U54" s="10">
        <f t="shared" si="4"/>
        <v>1</v>
      </c>
      <c r="V54" s="10"/>
      <c r="W54" s="10"/>
      <c r="X54" s="10"/>
      <c r="Y54" s="10"/>
      <c r="Z54" s="10"/>
    </row>
    <row r="55" ht="13.5" customHeight="1">
      <c r="A55" s="10">
        <f>dataset_1!A296</f>
        <v>295</v>
      </c>
      <c r="B55" s="11">
        <f>dataset_1!B296</f>
        <v>40556</v>
      </c>
      <c r="C55" s="10">
        <f>dataset_1!C296</f>
        <v>1</v>
      </c>
      <c r="D55" s="10">
        <f>dataset_1!D296</f>
        <v>0</v>
      </c>
      <c r="E55" s="10">
        <f>dataset_1!E296</f>
        <v>1</v>
      </c>
      <c r="F55" s="10">
        <f>dataset_1!F296</f>
        <v>17</v>
      </c>
      <c r="G55" s="10" t="b">
        <f>dataset_1!G296</f>
        <v>0</v>
      </c>
      <c r="H55" s="10">
        <f>dataset_1!H296</f>
        <v>4</v>
      </c>
      <c r="I55" s="10">
        <f>dataset_1!I296</f>
        <v>1</v>
      </c>
      <c r="J55" s="10">
        <f>dataset_1!J296</f>
        <v>0.2</v>
      </c>
      <c r="K55" s="10">
        <f>VLOOKUP(A55,dataset_2!$A$2:$G$611,2,0)</f>
        <v>0.1818</v>
      </c>
      <c r="L55" s="10">
        <f>VLOOKUP(A55,dataset_2!$A$2:$G$611,3,0)</f>
        <v>0.4</v>
      </c>
      <c r="M55" s="10">
        <f>VLOOKUP(A55,dataset_2!$A$2:$G$611,4,0)</f>
        <v>0.2836</v>
      </c>
      <c r="N55" s="10">
        <f>VLOOKUP(A55,dataset_2!$A$2:$G$611,5,0)</f>
        <v>4</v>
      </c>
      <c r="O55" s="10">
        <f>VLOOKUP(A55,dataset_2!$A$2:$G$611,6,0)</f>
        <v>158</v>
      </c>
      <c r="P55" s="10">
        <f>VLOOKUP(A55,dataset_2!$A$2:$G$611,7,0)</f>
        <v>162</v>
      </c>
      <c r="Q55" s="10"/>
      <c r="R55" s="10" t="str">
        <f t="shared" si="1"/>
        <v>OK</v>
      </c>
      <c r="S55" s="10">
        <f t="shared" si="2"/>
        <v>5</v>
      </c>
      <c r="T55" s="10" t="str">
        <f t="shared" si="3"/>
        <v>OK</v>
      </c>
      <c r="U55" s="10">
        <f t="shared" si="4"/>
        <v>1</v>
      </c>
      <c r="V55" s="10"/>
      <c r="W55" s="10"/>
      <c r="X55" s="10"/>
      <c r="Y55" s="10"/>
      <c r="Z55" s="10"/>
    </row>
    <row r="56" ht="13.5" customHeight="1">
      <c r="A56" s="3">
        <v>984.0</v>
      </c>
      <c r="B56" s="12">
        <v>40587.0</v>
      </c>
      <c r="C56" s="3">
        <v>1.0</v>
      </c>
      <c r="D56" s="3">
        <v>0.0</v>
      </c>
      <c r="E56" s="3">
        <v>2.0</v>
      </c>
      <c r="F56" s="3">
        <v>15.0</v>
      </c>
      <c r="G56" s="3" t="b">
        <f>FALSE()</f>
        <v>0</v>
      </c>
      <c r="H56" s="3">
        <v>0.0</v>
      </c>
      <c r="I56" s="3">
        <v>2.0</v>
      </c>
      <c r="J56" s="3">
        <v>0.4</v>
      </c>
      <c r="K56" s="3">
        <v>0.4091</v>
      </c>
      <c r="L56" s="3">
        <v>0.3</v>
      </c>
      <c r="M56" s="3">
        <v>0.2985</v>
      </c>
      <c r="N56" s="3">
        <v>40.0</v>
      </c>
      <c r="O56" s="3">
        <v>122.0</v>
      </c>
      <c r="P56" s="3">
        <v>162.0</v>
      </c>
      <c r="Q56" s="10"/>
      <c r="R56" s="10" t="str">
        <f t="shared" si="1"/>
        <v>OK</v>
      </c>
      <c r="S56" s="10">
        <f t="shared" si="2"/>
        <v>5</v>
      </c>
      <c r="T56" s="10" t="str">
        <f t="shared" si="3"/>
        <v>OK</v>
      </c>
      <c r="U56" s="10">
        <f t="shared" si="4"/>
        <v>1</v>
      </c>
      <c r="V56" s="10"/>
      <c r="W56" s="10"/>
      <c r="X56" s="10"/>
      <c r="Y56" s="10"/>
      <c r="Z56" s="10"/>
    </row>
    <row r="57" ht="13.5" customHeight="1">
      <c r="A57" s="10">
        <f>dataset_1!A427</f>
        <v>426</v>
      </c>
      <c r="B57" s="11">
        <f>dataset_1!B427</f>
        <v>40562</v>
      </c>
      <c r="C57" s="10">
        <f>dataset_1!C427</f>
        <v>1</v>
      </c>
      <c r="D57" s="10">
        <f>dataset_1!D427</f>
        <v>0</v>
      </c>
      <c r="E57" s="10">
        <f>dataset_1!E427</f>
        <v>1</v>
      </c>
      <c r="F57" s="10">
        <f>dataset_1!F427</f>
        <v>18</v>
      </c>
      <c r="G57" s="10" t="b">
        <f>dataset_1!G427</f>
        <v>0</v>
      </c>
      <c r="H57" s="10">
        <f>dataset_1!H427</f>
        <v>3</v>
      </c>
      <c r="I57" s="10">
        <f>dataset_1!I427</f>
        <v>1</v>
      </c>
      <c r="J57" s="10">
        <f>dataset_1!J427</f>
        <v>0.34</v>
      </c>
      <c r="K57" s="10">
        <f>VLOOKUP(A57,dataset_2!$A$2:$G$611,2,0)</f>
        <v>0.3182</v>
      </c>
      <c r="L57" s="10">
        <f>VLOOKUP(A57,dataset_2!$A$2:$G$611,3,0)</f>
        <v>0.61</v>
      </c>
      <c r="M57" s="10">
        <f>VLOOKUP(A57,dataset_2!$A$2:$G$611,4,0)</f>
        <v>0.2836</v>
      </c>
      <c r="N57" s="10">
        <f>VLOOKUP(A57,dataset_2!$A$2:$G$611,5,0)</f>
        <v>5</v>
      </c>
      <c r="O57" s="10">
        <f>VLOOKUP(A57,dataset_2!$A$2:$G$611,6,0)</f>
        <v>156</v>
      </c>
      <c r="P57" s="10">
        <f>VLOOKUP(A57,dataset_2!$A$2:$G$611,7,0)</f>
        <v>161</v>
      </c>
      <c r="Q57" s="10"/>
      <c r="R57" s="10" t="str">
        <f t="shared" si="1"/>
        <v>OK</v>
      </c>
      <c r="S57" s="10">
        <f t="shared" si="2"/>
        <v>5</v>
      </c>
      <c r="T57" s="10" t="str">
        <f t="shared" si="3"/>
        <v>OK</v>
      </c>
      <c r="U57" s="10">
        <f t="shared" si="4"/>
        <v>1</v>
      </c>
      <c r="V57" s="10"/>
      <c r="W57" s="10"/>
      <c r="X57" s="10"/>
      <c r="Y57" s="10"/>
      <c r="Z57" s="10"/>
    </row>
    <row r="58" ht="13.5" customHeight="1">
      <c r="A58" s="10">
        <f>dataset_1!A474</f>
        <v>473</v>
      </c>
      <c r="B58" s="11">
        <f>dataset_1!B474</f>
        <v>40564</v>
      </c>
      <c r="C58" s="10">
        <f>dataset_1!C474</f>
        <v>1</v>
      </c>
      <c r="D58" s="10">
        <f>dataset_1!D474</f>
        <v>0</v>
      </c>
      <c r="E58" s="10">
        <f>dataset_1!E474</f>
        <v>1</v>
      </c>
      <c r="F58" s="10">
        <f>dataset_1!F474</f>
        <v>17</v>
      </c>
      <c r="G58" s="10" t="b">
        <f>dataset_1!G474</f>
        <v>0</v>
      </c>
      <c r="H58" s="10">
        <f>dataset_1!H474</f>
        <v>5</v>
      </c>
      <c r="I58" s="10">
        <f>dataset_1!I474</f>
        <v>1</v>
      </c>
      <c r="J58" s="10">
        <f>dataset_1!J474</f>
        <v>0.14</v>
      </c>
      <c r="K58" s="10">
        <f>VLOOKUP(A58,dataset_2!$A$2:$G$611,2,0)</f>
        <v>0.1212</v>
      </c>
      <c r="L58" s="10">
        <f>VLOOKUP(A58,dataset_2!$A$2:$G$611,3,0)</f>
        <v>0.28</v>
      </c>
      <c r="M58" s="10">
        <f>VLOOKUP(A58,dataset_2!$A$2:$G$611,4,0)</f>
        <v>0.3582</v>
      </c>
      <c r="N58" s="10">
        <f>VLOOKUP(A58,dataset_2!$A$2:$G$611,5,0)</f>
        <v>10</v>
      </c>
      <c r="O58" s="10">
        <f>VLOOKUP(A58,dataset_2!$A$2:$G$611,6,0)</f>
        <v>151</v>
      </c>
      <c r="P58" s="10">
        <f>VLOOKUP(A58,dataset_2!$A$2:$G$611,7,0)</f>
        <v>161</v>
      </c>
      <c r="Q58" s="10"/>
      <c r="R58" s="10" t="str">
        <f t="shared" si="1"/>
        <v>OK</v>
      </c>
      <c r="S58" s="10">
        <f t="shared" si="2"/>
        <v>5</v>
      </c>
      <c r="T58" s="10" t="str">
        <f t="shared" si="3"/>
        <v>OK</v>
      </c>
      <c r="U58" s="10">
        <f t="shared" si="4"/>
        <v>1</v>
      </c>
      <c r="V58" s="10"/>
      <c r="W58" s="10"/>
      <c r="X58" s="10"/>
      <c r="Y58" s="10"/>
      <c r="Z58" s="10"/>
    </row>
    <row r="59" ht="13.5" customHeight="1">
      <c r="A59" s="3">
        <v>682.0</v>
      </c>
      <c r="B59" s="12">
        <v>40574.0</v>
      </c>
      <c r="C59" s="3">
        <v>1.0</v>
      </c>
      <c r="D59" s="3">
        <v>0.0</v>
      </c>
      <c r="E59" s="3">
        <v>1.0</v>
      </c>
      <c r="F59" s="3">
        <v>17.0</v>
      </c>
      <c r="G59" s="3" t="b">
        <f t="shared" ref="G59:G62" si="9">FALSE()</f>
        <v>0</v>
      </c>
      <c r="H59" s="3">
        <v>1.0</v>
      </c>
      <c r="I59" s="3">
        <v>2.0</v>
      </c>
      <c r="J59" s="3">
        <v>0.16</v>
      </c>
      <c r="K59" s="3">
        <v>0.1515</v>
      </c>
      <c r="L59" s="3">
        <v>0.59</v>
      </c>
      <c r="M59" s="3">
        <v>0.194</v>
      </c>
      <c r="N59" s="3">
        <v>6.0</v>
      </c>
      <c r="O59" s="3">
        <v>155.0</v>
      </c>
      <c r="P59" s="3">
        <v>161.0</v>
      </c>
      <c r="Q59" s="10"/>
      <c r="R59" s="10" t="str">
        <f t="shared" si="1"/>
        <v>OK</v>
      </c>
      <c r="S59" s="10">
        <f t="shared" si="2"/>
        <v>5</v>
      </c>
      <c r="T59" s="10" t="str">
        <f t="shared" si="3"/>
        <v>OK</v>
      </c>
      <c r="U59" s="10">
        <f t="shared" si="4"/>
        <v>1</v>
      </c>
      <c r="V59" s="10"/>
      <c r="W59" s="10"/>
      <c r="X59" s="10"/>
      <c r="Y59" s="10"/>
      <c r="Z59" s="10"/>
    </row>
    <row r="60" ht="13.5" customHeight="1">
      <c r="A60" s="3">
        <v>820.0</v>
      </c>
      <c r="B60" s="12">
        <v>40580.0</v>
      </c>
      <c r="C60" s="3">
        <v>1.0</v>
      </c>
      <c r="D60" s="3">
        <v>0.0</v>
      </c>
      <c r="E60" s="3">
        <v>2.0</v>
      </c>
      <c r="F60" s="3">
        <v>14.0</v>
      </c>
      <c r="G60" s="3" t="b">
        <f t="shared" si="9"/>
        <v>0</v>
      </c>
      <c r="H60" s="3">
        <v>0.0</v>
      </c>
      <c r="I60" s="3">
        <v>1.0</v>
      </c>
      <c r="J60" s="3">
        <v>0.34</v>
      </c>
      <c r="K60" s="3">
        <v>0.3485</v>
      </c>
      <c r="L60" s="3">
        <v>0.46</v>
      </c>
      <c r="M60" s="3">
        <v>0.0896</v>
      </c>
      <c r="N60" s="3">
        <v>47.0</v>
      </c>
      <c r="O60" s="3">
        <v>114.0</v>
      </c>
      <c r="P60" s="3">
        <v>161.0</v>
      </c>
      <c r="Q60" s="10"/>
      <c r="R60" s="10" t="str">
        <f t="shared" si="1"/>
        <v>OK</v>
      </c>
      <c r="S60" s="10">
        <f t="shared" si="2"/>
        <v>5</v>
      </c>
      <c r="T60" s="10" t="str">
        <f t="shared" si="3"/>
        <v>OK</v>
      </c>
      <c r="U60" s="10">
        <f t="shared" si="4"/>
        <v>1</v>
      </c>
      <c r="V60" s="10"/>
      <c r="W60" s="10"/>
      <c r="X60" s="10"/>
      <c r="Y60" s="10"/>
      <c r="Z60" s="10"/>
    </row>
    <row r="61" ht="13.5" customHeight="1">
      <c r="A61" s="3">
        <v>983.0</v>
      </c>
      <c r="B61" s="12">
        <v>40587.0</v>
      </c>
      <c r="C61" s="3">
        <v>1.0</v>
      </c>
      <c r="D61" s="3">
        <v>0.0</v>
      </c>
      <c r="E61" s="3">
        <v>2.0</v>
      </c>
      <c r="F61" s="3">
        <v>14.0</v>
      </c>
      <c r="G61" s="3" t="b">
        <f t="shared" si="9"/>
        <v>0</v>
      </c>
      <c r="H61" s="3">
        <v>0.0</v>
      </c>
      <c r="I61" s="3">
        <v>2.0</v>
      </c>
      <c r="J61" s="3">
        <v>0.4</v>
      </c>
      <c r="K61" s="3">
        <v>0.4091</v>
      </c>
      <c r="L61" s="3">
        <v>0.3</v>
      </c>
      <c r="M61" s="3">
        <v>0.4179</v>
      </c>
      <c r="N61" s="3">
        <v>51.0</v>
      </c>
      <c r="O61" s="3">
        <v>110.0</v>
      </c>
      <c r="P61" s="3">
        <v>161.0</v>
      </c>
      <c r="Q61" s="10"/>
      <c r="R61" s="10" t="str">
        <f t="shared" si="1"/>
        <v>OK</v>
      </c>
      <c r="S61" s="10">
        <f t="shared" si="2"/>
        <v>5</v>
      </c>
      <c r="T61" s="10" t="str">
        <f t="shared" si="3"/>
        <v>OK</v>
      </c>
      <c r="U61" s="10">
        <f t="shared" si="4"/>
        <v>1</v>
      </c>
      <c r="V61" s="10"/>
      <c r="W61" s="10"/>
      <c r="X61" s="10"/>
      <c r="Y61" s="10"/>
      <c r="Z61" s="10"/>
    </row>
    <row r="62" ht="13.5" customHeight="1">
      <c r="A62" s="3">
        <v>918.0</v>
      </c>
      <c r="B62" s="12">
        <v>40584.0</v>
      </c>
      <c r="C62" s="3">
        <v>1.0</v>
      </c>
      <c r="D62" s="3">
        <v>0.0</v>
      </c>
      <c r="E62" s="3">
        <v>2.0</v>
      </c>
      <c r="F62" s="3">
        <v>18.0</v>
      </c>
      <c r="G62" s="3" t="b">
        <f t="shared" si="9"/>
        <v>0</v>
      </c>
      <c r="H62" s="3">
        <v>4.0</v>
      </c>
      <c r="I62" s="3">
        <v>1.0</v>
      </c>
      <c r="J62" s="3">
        <v>0.16</v>
      </c>
      <c r="K62" s="3">
        <v>0.1818</v>
      </c>
      <c r="L62" s="3">
        <v>0.28</v>
      </c>
      <c r="M62" s="3">
        <v>0.1343</v>
      </c>
      <c r="N62" s="3">
        <v>3.0</v>
      </c>
      <c r="O62" s="3">
        <v>157.0</v>
      </c>
      <c r="P62" s="3">
        <v>160.0</v>
      </c>
      <c r="Q62" s="10"/>
      <c r="R62" s="10" t="str">
        <f t="shared" si="1"/>
        <v>OK</v>
      </c>
      <c r="S62" s="10">
        <f t="shared" si="2"/>
        <v>5</v>
      </c>
      <c r="T62" s="10" t="str">
        <f t="shared" si="3"/>
        <v>OK</v>
      </c>
      <c r="U62" s="10">
        <f t="shared" si="4"/>
        <v>1</v>
      </c>
      <c r="V62" s="10"/>
      <c r="W62" s="10"/>
      <c r="X62" s="10"/>
      <c r="Y62" s="10"/>
      <c r="Z62" s="10"/>
    </row>
    <row r="63" ht="13.5" customHeight="1">
      <c r="A63" s="10">
        <f>dataset_1!A319</f>
        <v>318</v>
      </c>
      <c r="B63" s="11">
        <f>dataset_1!B319</f>
        <v>40557</v>
      </c>
      <c r="C63" s="10">
        <f>dataset_1!C319</f>
        <v>1</v>
      </c>
      <c r="D63" s="10">
        <f>dataset_1!D319</f>
        <v>0</v>
      </c>
      <c r="E63" s="10">
        <f>dataset_1!E319</f>
        <v>1</v>
      </c>
      <c r="F63" s="10">
        <f>dataset_1!F319</f>
        <v>17</v>
      </c>
      <c r="G63" s="10" t="b">
        <f>dataset_1!G319</f>
        <v>0</v>
      </c>
      <c r="H63" s="10">
        <f>dataset_1!H319</f>
        <v>5</v>
      </c>
      <c r="I63" s="10">
        <f>dataset_1!I319</f>
        <v>1</v>
      </c>
      <c r="J63" s="10">
        <f>dataset_1!J319</f>
        <v>0.22</v>
      </c>
      <c r="K63" s="10">
        <f>VLOOKUP(A63,dataset_2!$A$2:$G$611,2,0)</f>
        <v>0.2273</v>
      </c>
      <c r="L63" s="10">
        <f>VLOOKUP(A63,dataset_2!$A$2:$G$611,3,0)</f>
        <v>0.41</v>
      </c>
      <c r="M63" s="10">
        <f>VLOOKUP(A63,dataset_2!$A$2:$G$611,4,0)</f>
        <v>0.1642</v>
      </c>
      <c r="N63" s="10">
        <f>VLOOKUP(A63,dataset_2!$A$2:$G$611,5,0)</f>
        <v>4</v>
      </c>
      <c r="O63" s="10">
        <f>VLOOKUP(A63,dataset_2!$A$2:$G$611,6,0)</f>
        <v>155</v>
      </c>
      <c r="P63" s="10">
        <f>VLOOKUP(A63,dataset_2!$A$2:$G$611,7,0)</f>
        <v>159</v>
      </c>
      <c r="Q63" s="10"/>
      <c r="R63" s="10" t="str">
        <f t="shared" si="1"/>
        <v>OK</v>
      </c>
      <c r="S63" s="10">
        <f t="shared" si="2"/>
        <v>5</v>
      </c>
      <c r="T63" s="10" t="str">
        <f t="shared" si="3"/>
        <v>OK</v>
      </c>
      <c r="U63" s="10">
        <f t="shared" si="4"/>
        <v>1</v>
      </c>
      <c r="V63" s="10"/>
      <c r="W63" s="10"/>
      <c r="X63" s="10"/>
      <c r="Y63" s="10"/>
      <c r="Z63" s="10"/>
    </row>
    <row r="64" ht="13.5" customHeight="1">
      <c r="A64" s="10">
        <f>dataset_1!A310</f>
        <v>309</v>
      </c>
      <c r="B64" s="11">
        <f>dataset_1!B310</f>
        <v>40557</v>
      </c>
      <c r="C64" s="10">
        <f>dataset_1!C310</f>
        <v>1</v>
      </c>
      <c r="D64" s="10">
        <f>dataset_1!D310</f>
        <v>0</v>
      </c>
      <c r="E64" s="10">
        <f>dataset_1!E310</f>
        <v>1</v>
      </c>
      <c r="F64" s="10">
        <f>dataset_1!F310</f>
        <v>8</v>
      </c>
      <c r="G64" s="10" t="b">
        <f>dataset_1!G310</f>
        <v>0</v>
      </c>
      <c r="H64" s="10">
        <f>dataset_1!H310</f>
        <v>5</v>
      </c>
      <c r="I64" s="10">
        <f>dataset_1!I310</f>
        <v>1</v>
      </c>
      <c r="J64" s="10">
        <f>dataset_1!J310</f>
        <v>0.12</v>
      </c>
      <c r="K64" s="10">
        <f>VLOOKUP(A64,dataset_2!$A$2:$G$611,2,0)</f>
        <v>0.1667</v>
      </c>
      <c r="L64" s="10">
        <f>VLOOKUP(A64,dataset_2!$A$2:$G$611,3,0)</f>
        <v>0.68</v>
      </c>
      <c r="M64" s="10">
        <f>VLOOKUP(A64,dataset_2!$A$2:$G$611,4,0)</f>
        <v>0</v>
      </c>
      <c r="N64" s="10">
        <f>VLOOKUP(A64,dataset_2!$A$2:$G$611,5,0)</f>
        <v>2</v>
      </c>
      <c r="O64" s="10">
        <f>VLOOKUP(A64,dataset_2!$A$2:$G$611,6,0)</f>
        <v>156</v>
      </c>
      <c r="P64" s="10">
        <f>VLOOKUP(A64,dataset_2!$A$2:$G$611,7,0)</f>
        <v>158</v>
      </c>
      <c r="Q64" s="10"/>
      <c r="R64" s="10" t="str">
        <f t="shared" si="1"/>
        <v>OK</v>
      </c>
      <c r="S64" s="10">
        <f t="shared" si="2"/>
        <v>5</v>
      </c>
      <c r="T64" s="10" t="str">
        <f t="shared" si="3"/>
        <v>OK</v>
      </c>
      <c r="U64" s="10">
        <f t="shared" si="4"/>
        <v>1</v>
      </c>
      <c r="V64" s="10"/>
      <c r="W64" s="10"/>
      <c r="X64" s="10"/>
      <c r="Y64" s="10"/>
      <c r="Z64" s="10"/>
    </row>
    <row r="65" ht="13.5" customHeight="1">
      <c r="A65" s="10">
        <f>dataset_1!A64</f>
        <v>63</v>
      </c>
      <c r="B65" s="11">
        <f>dataset_1!B64</f>
        <v>40546</v>
      </c>
      <c r="C65" s="10">
        <f>dataset_1!C64</f>
        <v>1</v>
      </c>
      <c r="D65" s="10">
        <f>dataset_1!D64</f>
        <v>0</v>
      </c>
      <c r="E65" s="10">
        <f>dataset_1!E64</f>
        <v>1</v>
      </c>
      <c r="F65" s="10">
        <f>dataset_1!F64</f>
        <v>17</v>
      </c>
      <c r="G65" s="10" t="b">
        <f>dataset_1!G64</f>
        <v>0</v>
      </c>
      <c r="H65" s="10">
        <f>dataset_1!H64</f>
        <v>1</v>
      </c>
      <c r="I65" s="10">
        <f>dataset_1!I64</f>
        <v>1</v>
      </c>
      <c r="J65" s="10">
        <f>dataset_1!J64</f>
        <v>0.24</v>
      </c>
      <c r="K65" s="10">
        <f>VLOOKUP(A65,dataset_2!$A$2:$G$611,2,0)</f>
        <v>0.2273</v>
      </c>
      <c r="L65" s="10">
        <f>VLOOKUP(A65,dataset_2!$A$2:$G$611,3,0)</f>
        <v>0.3</v>
      </c>
      <c r="M65" s="10">
        <f>VLOOKUP(A65,dataset_2!$A$2:$G$611,4,0)</f>
        <v>0.2239</v>
      </c>
      <c r="N65" s="10">
        <f>VLOOKUP(A65,dataset_2!$A$2:$G$611,5,0)</f>
        <v>11</v>
      </c>
      <c r="O65" s="10">
        <f>VLOOKUP(A65,dataset_2!$A$2:$G$611,6,0)</f>
        <v>146</v>
      </c>
      <c r="P65" s="10">
        <f>VLOOKUP(A65,dataset_2!$A$2:$G$611,7,0)</f>
        <v>157</v>
      </c>
      <c r="Q65" s="10"/>
      <c r="R65" s="10" t="str">
        <f t="shared" si="1"/>
        <v>OK</v>
      </c>
      <c r="S65" s="10">
        <f t="shared" si="2"/>
        <v>5</v>
      </c>
      <c r="T65" s="10" t="str">
        <f t="shared" si="3"/>
        <v>OK</v>
      </c>
      <c r="U65" s="10">
        <f t="shared" si="4"/>
        <v>1</v>
      </c>
      <c r="V65" s="10"/>
      <c r="W65" s="10"/>
      <c r="X65" s="10"/>
      <c r="Y65" s="10"/>
      <c r="Z65" s="10"/>
    </row>
    <row r="66" ht="13.5" customHeight="1">
      <c r="A66" s="10">
        <f>dataset_1!A65</f>
        <v>64</v>
      </c>
      <c r="B66" s="11">
        <f>dataset_1!B65</f>
        <v>40546</v>
      </c>
      <c r="C66" s="10">
        <f>dataset_1!C65</f>
        <v>1</v>
      </c>
      <c r="D66" s="10">
        <f>dataset_1!D65</f>
        <v>0</v>
      </c>
      <c r="E66" s="10">
        <f>dataset_1!E65</f>
        <v>1</v>
      </c>
      <c r="F66" s="10">
        <f>dataset_1!F65</f>
        <v>18</v>
      </c>
      <c r="G66" s="10" t="b">
        <f>dataset_1!G65</f>
        <v>0</v>
      </c>
      <c r="H66" s="10">
        <f>dataset_1!H65</f>
        <v>1</v>
      </c>
      <c r="I66" s="10">
        <f>dataset_1!I65</f>
        <v>1</v>
      </c>
      <c r="J66" s="10">
        <f>dataset_1!J65</f>
        <v>0.24</v>
      </c>
      <c r="K66" s="10">
        <f>VLOOKUP(A66,dataset_2!$A$2:$G$611,2,0)</f>
        <v>0.2576</v>
      </c>
      <c r="L66" s="10">
        <f>VLOOKUP(A66,dataset_2!$A$2:$G$611,3,0)</f>
        <v>0.32</v>
      </c>
      <c r="M66" s="10">
        <f>VLOOKUP(A66,dataset_2!$A$2:$G$611,4,0)</f>
        <v>0.1045</v>
      </c>
      <c r="N66" s="10">
        <f>VLOOKUP(A66,dataset_2!$A$2:$G$611,5,0)</f>
        <v>9</v>
      </c>
      <c r="O66" s="10">
        <f>VLOOKUP(A66,dataset_2!$A$2:$G$611,6,0)</f>
        <v>148</v>
      </c>
      <c r="P66" s="10">
        <f>VLOOKUP(A66,dataset_2!$A$2:$G$611,7,0)</f>
        <v>157</v>
      </c>
      <c r="Q66" s="10"/>
      <c r="R66" s="10" t="str">
        <f t="shared" si="1"/>
        <v>OK</v>
      </c>
      <c r="S66" s="10">
        <f t="shared" si="2"/>
        <v>5</v>
      </c>
      <c r="T66" s="10" t="str">
        <f t="shared" si="3"/>
        <v>OK</v>
      </c>
      <c r="U66" s="10">
        <f t="shared" si="4"/>
        <v>1</v>
      </c>
      <c r="V66" s="10"/>
      <c r="W66" s="10"/>
      <c r="X66" s="10"/>
      <c r="Y66" s="10"/>
      <c r="Z66" s="10"/>
    </row>
    <row r="67" ht="13.5" customHeight="1">
      <c r="A67" s="10">
        <f>dataset_1!A604</f>
        <v>603</v>
      </c>
      <c r="B67" s="11">
        <f>dataset_1!B604</f>
        <v>40571</v>
      </c>
      <c r="C67" s="10">
        <f>dataset_1!C604</f>
        <v>1</v>
      </c>
      <c r="D67" s="10">
        <f>dataset_1!D604</f>
        <v>0</v>
      </c>
      <c r="E67" s="10">
        <f>dataset_1!E604</f>
        <v>1</v>
      </c>
      <c r="F67" s="10">
        <f>dataset_1!F604</f>
        <v>8</v>
      </c>
      <c r="G67" s="10" t="b">
        <f>dataset_1!G604</f>
        <v>0</v>
      </c>
      <c r="H67" s="10">
        <f>dataset_1!H604</f>
        <v>5</v>
      </c>
      <c r="I67" s="10">
        <f>dataset_1!I604</f>
        <v>2</v>
      </c>
      <c r="J67" s="10">
        <f>dataset_1!J604</f>
        <v>0.16</v>
      </c>
      <c r="K67" s="10">
        <f>VLOOKUP(A67,dataset_2!$A$2:$G$611,2,0)</f>
        <v>0.197</v>
      </c>
      <c r="L67" s="10">
        <f>VLOOKUP(A67,dataset_2!$A$2:$G$611,3,0)</f>
        <v>0.86</v>
      </c>
      <c r="M67" s="10">
        <f>VLOOKUP(A67,dataset_2!$A$2:$G$611,4,0)</f>
        <v>0.0896</v>
      </c>
      <c r="N67" s="10">
        <f>VLOOKUP(A67,dataset_2!$A$2:$G$611,5,0)</f>
        <v>2</v>
      </c>
      <c r="O67" s="10">
        <f>VLOOKUP(A67,dataset_2!$A$2:$G$611,6,0)</f>
        <v>155</v>
      </c>
      <c r="P67" s="10">
        <f>VLOOKUP(A67,dataset_2!$A$2:$G$611,7,0)</f>
        <v>157</v>
      </c>
      <c r="Q67" s="10"/>
      <c r="R67" s="10" t="str">
        <f t="shared" si="1"/>
        <v>OK</v>
      </c>
      <c r="S67" s="10">
        <f t="shared" si="2"/>
        <v>5</v>
      </c>
      <c r="T67" s="10" t="str">
        <f t="shared" si="3"/>
        <v>OK</v>
      </c>
      <c r="U67" s="10">
        <f t="shared" si="4"/>
        <v>1</v>
      </c>
      <c r="V67" s="10"/>
      <c r="W67" s="10"/>
      <c r="X67" s="10"/>
      <c r="Y67" s="10"/>
      <c r="Z67" s="10"/>
    </row>
    <row r="68" ht="13.5" customHeight="1">
      <c r="A68" s="3">
        <v>822.0</v>
      </c>
      <c r="B68" s="12">
        <v>40580.0</v>
      </c>
      <c r="C68" s="3">
        <v>1.0</v>
      </c>
      <c r="D68" s="3">
        <v>0.0</v>
      </c>
      <c r="E68" s="3">
        <v>2.0</v>
      </c>
      <c r="F68" s="3">
        <v>16.0</v>
      </c>
      <c r="G68" s="3" t="b">
        <f t="shared" ref="G68:G69" si="10">FALSE()</f>
        <v>0</v>
      </c>
      <c r="H68" s="3">
        <v>0.0</v>
      </c>
      <c r="I68" s="3">
        <v>1.0</v>
      </c>
      <c r="J68" s="3">
        <v>0.34</v>
      </c>
      <c r="K68" s="3">
        <v>0.3485</v>
      </c>
      <c r="L68" s="3">
        <v>0.49</v>
      </c>
      <c r="M68" s="3">
        <v>0.1045</v>
      </c>
      <c r="N68" s="3">
        <v>42.0</v>
      </c>
      <c r="O68" s="3">
        <v>115.0</v>
      </c>
      <c r="P68" s="3">
        <v>157.0</v>
      </c>
      <c r="Q68" s="10"/>
      <c r="R68" s="10" t="str">
        <f t="shared" si="1"/>
        <v>OK</v>
      </c>
      <c r="S68" s="10">
        <f t="shared" si="2"/>
        <v>5</v>
      </c>
      <c r="T68" s="10" t="str">
        <f t="shared" si="3"/>
        <v>OK</v>
      </c>
      <c r="U68" s="10">
        <f t="shared" si="4"/>
        <v>1</v>
      </c>
      <c r="V68" s="10"/>
      <c r="W68" s="10"/>
      <c r="X68" s="10"/>
      <c r="Y68" s="10"/>
      <c r="Z68" s="10"/>
    </row>
    <row r="69" ht="13.5" customHeight="1">
      <c r="A69" s="3">
        <v>683.0</v>
      </c>
      <c r="B69" s="12">
        <v>40574.0</v>
      </c>
      <c r="C69" s="3">
        <v>1.0</v>
      </c>
      <c r="D69" s="3">
        <v>0.0</v>
      </c>
      <c r="E69" s="3">
        <v>1.0</v>
      </c>
      <c r="F69" s="3">
        <v>18.0</v>
      </c>
      <c r="G69" s="3" t="b">
        <f t="shared" si="10"/>
        <v>0</v>
      </c>
      <c r="H69" s="3">
        <v>1.0</v>
      </c>
      <c r="I69" s="3">
        <v>2.0</v>
      </c>
      <c r="J69" s="3">
        <v>0.16</v>
      </c>
      <c r="K69" s="3">
        <v>0.1515</v>
      </c>
      <c r="L69" s="3">
        <v>0.55</v>
      </c>
      <c r="M69" s="3">
        <v>0.2239</v>
      </c>
      <c r="N69" s="3">
        <v>3.0</v>
      </c>
      <c r="O69" s="3">
        <v>153.0</v>
      </c>
      <c r="P69" s="3">
        <v>156.0</v>
      </c>
      <c r="Q69" s="10"/>
      <c r="R69" s="10" t="str">
        <f t="shared" si="1"/>
        <v>OK</v>
      </c>
      <c r="S69" s="10">
        <f t="shared" si="2"/>
        <v>5</v>
      </c>
      <c r="T69" s="10" t="str">
        <f t="shared" si="3"/>
        <v>OK</v>
      </c>
      <c r="U69" s="10">
        <f t="shared" si="4"/>
        <v>1</v>
      </c>
      <c r="V69" s="10"/>
      <c r="W69" s="10"/>
      <c r="X69" s="10"/>
      <c r="Y69" s="10"/>
      <c r="Z69" s="10"/>
    </row>
    <row r="70" ht="13.5" customHeight="1">
      <c r="A70" s="10">
        <f>dataset_1!A229</f>
        <v>228</v>
      </c>
      <c r="B70" s="11">
        <f>dataset_1!B229</f>
        <v>40553</v>
      </c>
      <c r="C70" s="10">
        <f>dataset_1!C229</f>
        <v>1</v>
      </c>
      <c r="D70" s="10">
        <f>dataset_1!D229</f>
        <v>0</v>
      </c>
      <c r="E70" s="10">
        <f>dataset_1!E229</f>
        <v>1</v>
      </c>
      <c r="F70" s="10">
        <f>dataset_1!F229</f>
        <v>18</v>
      </c>
      <c r="G70" s="10" t="b">
        <f>dataset_1!G229</f>
        <v>0</v>
      </c>
      <c r="H70" s="10">
        <f>dataset_1!H229</f>
        <v>1</v>
      </c>
      <c r="I70" s="10">
        <f>dataset_1!I229</f>
        <v>1</v>
      </c>
      <c r="J70" s="10">
        <f>dataset_1!J229</f>
        <v>0.2</v>
      </c>
      <c r="K70" s="10">
        <f>VLOOKUP(A70,dataset_2!$A$2:$G$611,2,0)</f>
        <v>0.197</v>
      </c>
      <c r="L70" s="10">
        <f>VLOOKUP(A70,dataset_2!$A$2:$G$611,3,0)</f>
        <v>0.4</v>
      </c>
      <c r="M70" s="10">
        <f>VLOOKUP(A70,dataset_2!$A$2:$G$611,4,0)</f>
        <v>0.2239</v>
      </c>
      <c r="N70" s="10">
        <f>VLOOKUP(A70,dataset_2!$A$2:$G$611,5,0)</f>
        <v>1</v>
      </c>
      <c r="O70" s="10">
        <f>VLOOKUP(A70,dataset_2!$A$2:$G$611,6,0)</f>
        <v>154</v>
      </c>
      <c r="P70" s="10">
        <f>VLOOKUP(A70,dataset_2!$A$2:$G$611,7,0)</f>
        <v>155</v>
      </c>
      <c r="Q70" s="10"/>
      <c r="R70" s="10" t="str">
        <f t="shared" si="1"/>
        <v>OK</v>
      </c>
      <c r="S70" s="10">
        <f t="shared" si="2"/>
        <v>5</v>
      </c>
      <c r="T70" s="10" t="str">
        <f t="shared" si="3"/>
        <v>OK</v>
      </c>
      <c r="U70" s="10">
        <f t="shared" si="4"/>
        <v>1</v>
      </c>
      <c r="V70" s="10"/>
      <c r="W70" s="10"/>
      <c r="X70" s="10"/>
      <c r="Y70" s="10"/>
      <c r="Z70" s="10"/>
    </row>
    <row r="71" ht="13.5" customHeight="1">
      <c r="A71" s="3">
        <v>720.0</v>
      </c>
      <c r="B71" s="12">
        <v>40576.0</v>
      </c>
      <c r="C71" s="3">
        <v>1.0</v>
      </c>
      <c r="D71" s="3">
        <v>0.0</v>
      </c>
      <c r="E71" s="3">
        <v>2.0</v>
      </c>
      <c r="F71" s="3">
        <v>8.0</v>
      </c>
      <c r="G71" s="3" t="b">
        <f t="shared" ref="G71:G72" si="11">FALSE()</f>
        <v>0</v>
      </c>
      <c r="H71" s="3">
        <v>3.0</v>
      </c>
      <c r="I71" s="3">
        <v>3.0</v>
      </c>
      <c r="J71" s="3">
        <v>0.22</v>
      </c>
      <c r="K71" s="3">
        <v>0.2121</v>
      </c>
      <c r="L71" s="3">
        <v>0.93</v>
      </c>
      <c r="M71" s="3">
        <v>0.2239</v>
      </c>
      <c r="N71" s="3">
        <v>1.0</v>
      </c>
      <c r="O71" s="3">
        <v>154.0</v>
      </c>
      <c r="P71" s="3">
        <v>155.0</v>
      </c>
      <c r="Q71" s="10"/>
      <c r="R71" s="10" t="str">
        <f t="shared" si="1"/>
        <v>OK</v>
      </c>
      <c r="S71" s="10">
        <f t="shared" si="2"/>
        <v>5</v>
      </c>
      <c r="T71" s="10" t="str">
        <f t="shared" si="3"/>
        <v>OK</v>
      </c>
      <c r="U71" s="10">
        <f t="shared" si="4"/>
        <v>1</v>
      </c>
      <c r="V71" s="10"/>
      <c r="W71" s="10"/>
      <c r="X71" s="10"/>
      <c r="Y71" s="10"/>
      <c r="Z71" s="10"/>
    </row>
    <row r="72" ht="13.5" customHeight="1">
      <c r="A72" s="3">
        <v>776.0</v>
      </c>
      <c r="B72" s="12">
        <v>40578.0</v>
      </c>
      <c r="C72" s="3">
        <v>1.0</v>
      </c>
      <c r="D72" s="3">
        <v>0.0</v>
      </c>
      <c r="E72" s="3">
        <v>2.0</v>
      </c>
      <c r="F72" s="3">
        <v>18.0</v>
      </c>
      <c r="G72" s="3" t="b">
        <f t="shared" si="11"/>
        <v>0</v>
      </c>
      <c r="H72" s="3">
        <v>5.0</v>
      </c>
      <c r="I72" s="3">
        <v>2.0</v>
      </c>
      <c r="J72" s="3">
        <v>0.24</v>
      </c>
      <c r="K72" s="3">
        <v>0.2576</v>
      </c>
      <c r="L72" s="3">
        <v>0.6</v>
      </c>
      <c r="M72" s="3">
        <v>0.1045</v>
      </c>
      <c r="N72" s="3">
        <v>3.0</v>
      </c>
      <c r="O72" s="3">
        <v>152.0</v>
      </c>
      <c r="P72" s="3">
        <v>155.0</v>
      </c>
      <c r="Q72" s="10"/>
      <c r="R72" s="10" t="str">
        <f t="shared" si="1"/>
        <v>OK</v>
      </c>
      <c r="S72" s="10">
        <f t="shared" si="2"/>
        <v>5</v>
      </c>
      <c r="T72" s="10" t="str">
        <f t="shared" si="3"/>
        <v>OK</v>
      </c>
      <c r="U72" s="10">
        <f t="shared" si="4"/>
        <v>1</v>
      </c>
      <c r="V72" s="10"/>
      <c r="W72" s="10"/>
      <c r="X72" s="10"/>
      <c r="Y72" s="10"/>
      <c r="Z72" s="10"/>
    </row>
    <row r="73" ht="13.5" customHeight="1">
      <c r="A73" s="10">
        <f>dataset_1!A55</f>
        <v>54</v>
      </c>
      <c r="B73" s="11">
        <f>dataset_1!B55</f>
        <v>40546</v>
      </c>
      <c r="C73" s="10">
        <f>dataset_1!C55</f>
        <v>1</v>
      </c>
      <c r="D73" s="10">
        <f>dataset_1!D55</f>
        <v>0</v>
      </c>
      <c r="E73" s="10">
        <f>dataset_1!E55</f>
        <v>1</v>
      </c>
      <c r="F73" s="10">
        <f>dataset_1!F55</f>
        <v>8</v>
      </c>
      <c r="G73" s="10" t="b">
        <f>dataset_1!G55</f>
        <v>0</v>
      </c>
      <c r="H73" s="10">
        <f>dataset_1!H55</f>
        <v>1</v>
      </c>
      <c r="I73" s="10">
        <f>dataset_1!I55</f>
        <v>1</v>
      </c>
      <c r="J73" s="10">
        <f>dataset_1!J55</f>
        <v>0.14</v>
      </c>
      <c r="K73" s="10">
        <f>VLOOKUP(A73,dataset_2!$A$2:$G$611,2,0)</f>
        <v>0.1212</v>
      </c>
      <c r="L73" s="10">
        <f>VLOOKUP(A73,dataset_2!$A$2:$G$611,3,0)</f>
        <v>0.5</v>
      </c>
      <c r="M73" s="10">
        <f>VLOOKUP(A73,dataset_2!$A$2:$G$611,4,0)</f>
        <v>0.2836</v>
      </c>
      <c r="N73" s="10">
        <f>VLOOKUP(A73,dataset_2!$A$2:$G$611,5,0)</f>
        <v>1</v>
      </c>
      <c r="O73" s="10">
        <f>VLOOKUP(A73,dataset_2!$A$2:$G$611,6,0)</f>
        <v>153</v>
      </c>
      <c r="P73" s="10">
        <f>VLOOKUP(A73,dataset_2!$A$2:$G$611,7,0)</f>
        <v>154</v>
      </c>
      <c r="Q73" s="10"/>
      <c r="R73" s="10" t="str">
        <f t="shared" si="1"/>
        <v>OK</v>
      </c>
      <c r="S73" s="10">
        <f t="shared" si="2"/>
        <v>5</v>
      </c>
      <c r="T73" s="10" t="str">
        <f t="shared" si="3"/>
        <v>OK</v>
      </c>
      <c r="U73" s="10">
        <f t="shared" si="4"/>
        <v>1</v>
      </c>
      <c r="V73" s="10"/>
      <c r="W73" s="10"/>
      <c r="X73" s="10"/>
      <c r="Y73" s="10"/>
      <c r="Z73" s="10"/>
    </row>
    <row r="74" ht="13.5" customHeight="1">
      <c r="A74" s="3">
        <v>982.0</v>
      </c>
      <c r="B74" s="12">
        <v>40587.0</v>
      </c>
      <c r="C74" s="3">
        <v>1.0</v>
      </c>
      <c r="D74" s="3">
        <v>0.0</v>
      </c>
      <c r="E74" s="3">
        <v>2.0</v>
      </c>
      <c r="F74" s="3">
        <v>13.0</v>
      </c>
      <c r="G74" s="3" t="b">
        <f>FALSE()</f>
        <v>0</v>
      </c>
      <c r="H74" s="3">
        <v>0.0</v>
      </c>
      <c r="I74" s="3">
        <v>1.0</v>
      </c>
      <c r="J74" s="3">
        <v>0.38</v>
      </c>
      <c r="K74" s="3">
        <v>0.3939</v>
      </c>
      <c r="L74" s="3">
        <v>0.29</v>
      </c>
      <c r="M74" s="3">
        <v>0.3582</v>
      </c>
      <c r="N74" s="3">
        <v>62.0</v>
      </c>
      <c r="O74" s="3">
        <v>92.0</v>
      </c>
      <c r="P74" s="3">
        <v>154.0</v>
      </c>
      <c r="Q74" s="10"/>
      <c r="R74" s="10" t="str">
        <f t="shared" si="1"/>
        <v>OK</v>
      </c>
      <c r="S74" s="10">
        <f t="shared" si="2"/>
        <v>5</v>
      </c>
      <c r="T74" s="10" t="str">
        <f t="shared" si="3"/>
        <v>OK</v>
      </c>
      <c r="U74" s="10">
        <f t="shared" si="4"/>
        <v>1</v>
      </c>
      <c r="V74" s="10"/>
      <c r="W74" s="10"/>
      <c r="X74" s="10"/>
      <c r="Y74" s="10"/>
      <c r="Z74" s="10"/>
    </row>
    <row r="75" ht="13.5" customHeight="1">
      <c r="A75" s="10">
        <f>dataset_1!A544</f>
        <v>543</v>
      </c>
      <c r="B75" s="11">
        <f>dataset_1!B544</f>
        <v>40567</v>
      </c>
      <c r="C75" s="10">
        <f>dataset_1!C544</f>
        <v>1</v>
      </c>
      <c r="D75" s="10">
        <f>dataset_1!D544</f>
        <v>0</v>
      </c>
      <c r="E75" s="10">
        <f>dataset_1!E544</f>
        <v>1</v>
      </c>
      <c r="F75" s="10">
        <f>dataset_1!F544</f>
        <v>18</v>
      </c>
      <c r="G75" s="10" t="b">
        <f>dataset_1!G544</f>
        <v>0</v>
      </c>
      <c r="H75" s="10">
        <f>dataset_1!H544</f>
        <v>1</v>
      </c>
      <c r="I75" s="10">
        <f>dataset_1!I544</f>
        <v>1</v>
      </c>
      <c r="J75" s="10">
        <f>dataset_1!J544</f>
        <v>0.14</v>
      </c>
      <c r="K75" s="10">
        <f>VLOOKUP(A75,dataset_2!$A$2:$G$611,2,0)</f>
        <v>0.1364</v>
      </c>
      <c r="L75" s="10">
        <f>VLOOKUP(A75,dataset_2!$A$2:$G$611,3,0)</f>
        <v>0.59</v>
      </c>
      <c r="M75" s="10">
        <f>VLOOKUP(A75,dataset_2!$A$2:$G$611,4,0)</f>
        <v>0.194</v>
      </c>
      <c r="N75" s="10">
        <f>VLOOKUP(A75,dataset_2!$A$2:$G$611,5,0)</f>
        <v>8</v>
      </c>
      <c r="O75" s="10">
        <f>VLOOKUP(A75,dataset_2!$A$2:$G$611,6,0)</f>
        <v>145</v>
      </c>
      <c r="P75" s="10">
        <f>VLOOKUP(A75,dataset_2!$A$2:$G$611,7,0)</f>
        <v>153</v>
      </c>
      <c r="Q75" s="10"/>
      <c r="R75" s="10" t="str">
        <f t="shared" si="1"/>
        <v>OK</v>
      </c>
      <c r="S75" s="10">
        <f t="shared" si="2"/>
        <v>5</v>
      </c>
      <c r="T75" s="10" t="str">
        <f t="shared" si="3"/>
        <v>OK</v>
      </c>
      <c r="U75" s="10">
        <f t="shared" si="4"/>
        <v>1</v>
      </c>
      <c r="V75" s="10"/>
      <c r="W75" s="10"/>
      <c r="X75" s="10"/>
      <c r="Y75" s="10"/>
      <c r="Z75" s="10"/>
    </row>
    <row r="76" ht="13.5" customHeight="1">
      <c r="A76" s="10">
        <f>dataset_1!A452</f>
        <v>451</v>
      </c>
      <c r="B76" s="11">
        <f>dataset_1!B452</f>
        <v>40563</v>
      </c>
      <c r="C76" s="10">
        <f>dataset_1!C452</f>
        <v>1</v>
      </c>
      <c r="D76" s="10">
        <f>dataset_1!D452</f>
        <v>0</v>
      </c>
      <c r="E76" s="10">
        <f>dataset_1!E452</f>
        <v>1</v>
      </c>
      <c r="F76" s="10">
        <f>dataset_1!F452</f>
        <v>19</v>
      </c>
      <c r="G76" s="10" t="b">
        <f>dataset_1!G452</f>
        <v>0</v>
      </c>
      <c r="H76" s="10">
        <f>dataset_1!H452</f>
        <v>4</v>
      </c>
      <c r="I76" s="10">
        <f>dataset_1!I452</f>
        <v>1</v>
      </c>
      <c r="J76" s="10">
        <f>dataset_1!J452</f>
        <v>0.26</v>
      </c>
      <c r="K76" s="10">
        <f>VLOOKUP(A76,dataset_2!$A$2:$G$611,2,0)</f>
        <v>0.2273</v>
      </c>
      <c r="L76" s="10">
        <f>VLOOKUP(A76,dataset_2!$A$2:$G$611,3,0)</f>
        <v>0.56</v>
      </c>
      <c r="M76" s="10">
        <f>VLOOKUP(A76,dataset_2!$A$2:$G$611,4,0)</f>
        <v>0.3284</v>
      </c>
      <c r="N76" s="10">
        <f>VLOOKUP(A76,dataset_2!$A$2:$G$611,5,0)</f>
        <v>6</v>
      </c>
      <c r="O76" s="10">
        <f>VLOOKUP(A76,dataset_2!$A$2:$G$611,6,0)</f>
        <v>146</v>
      </c>
      <c r="P76" s="10">
        <f>VLOOKUP(A76,dataset_2!$A$2:$G$611,7,0)</f>
        <v>152</v>
      </c>
      <c r="Q76" s="10"/>
      <c r="R76" s="10" t="str">
        <f t="shared" si="1"/>
        <v>OK</v>
      </c>
      <c r="S76" s="10">
        <f t="shared" si="2"/>
        <v>5</v>
      </c>
      <c r="T76" s="10" t="str">
        <f t="shared" si="3"/>
        <v>OK</v>
      </c>
      <c r="U76" s="10">
        <f t="shared" si="4"/>
        <v>1</v>
      </c>
      <c r="V76" s="10"/>
      <c r="W76" s="10"/>
      <c r="X76" s="10"/>
      <c r="Y76" s="10"/>
      <c r="Z76" s="10"/>
    </row>
    <row r="77" ht="13.5" customHeight="1">
      <c r="A77" s="3">
        <v>872.0</v>
      </c>
      <c r="B77" s="12">
        <v>40582.0</v>
      </c>
      <c r="C77" s="3">
        <v>1.0</v>
      </c>
      <c r="D77" s="3">
        <v>0.0</v>
      </c>
      <c r="E77" s="3">
        <v>2.0</v>
      </c>
      <c r="F77" s="3">
        <v>18.0</v>
      </c>
      <c r="G77" s="3" t="b">
        <f t="shared" ref="G77:G80" si="12">FALSE()</f>
        <v>0</v>
      </c>
      <c r="H77" s="3">
        <v>2.0</v>
      </c>
      <c r="I77" s="3">
        <v>1.0</v>
      </c>
      <c r="J77" s="3">
        <v>0.2</v>
      </c>
      <c r="K77" s="3">
        <v>0.1818</v>
      </c>
      <c r="L77" s="3">
        <v>0.32</v>
      </c>
      <c r="M77" s="3">
        <v>0.3881</v>
      </c>
      <c r="N77" s="3">
        <v>1.0</v>
      </c>
      <c r="O77" s="3">
        <v>151.0</v>
      </c>
      <c r="P77" s="3">
        <v>152.0</v>
      </c>
      <c r="Q77" s="10"/>
      <c r="R77" s="10" t="str">
        <f t="shared" si="1"/>
        <v>OK</v>
      </c>
      <c r="S77" s="10">
        <f t="shared" si="2"/>
        <v>5</v>
      </c>
      <c r="T77" s="10" t="str">
        <f t="shared" si="3"/>
        <v>OK</v>
      </c>
      <c r="U77" s="10">
        <f t="shared" si="4"/>
        <v>1</v>
      </c>
      <c r="V77" s="10"/>
      <c r="W77" s="10"/>
      <c r="X77" s="10"/>
      <c r="Y77" s="10"/>
      <c r="Z77" s="10"/>
    </row>
    <row r="78" ht="13.5" customHeight="1">
      <c r="A78" s="3">
        <v>981.0</v>
      </c>
      <c r="B78" s="12">
        <v>40587.0</v>
      </c>
      <c r="C78" s="3">
        <v>1.0</v>
      </c>
      <c r="D78" s="3">
        <v>0.0</v>
      </c>
      <c r="E78" s="3">
        <v>2.0</v>
      </c>
      <c r="F78" s="3">
        <v>12.0</v>
      </c>
      <c r="G78" s="3" t="b">
        <f t="shared" si="12"/>
        <v>0</v>
      </c>
      <c r="H78" s="3">
        <v>0.0</v>
      </c>
      <c r="I78" s="3">
        <v>1.0</v>
      </c>
      <c r="J78" s="3">
        <v>0.36</v>
      </c>
      <c r="K78" s="3">
        <v>0.3182</v>
      </c>
      <c r="L78" s="3">
        <v>0.32</v>
      </c>
      <c r="M78" s="3">
        <v>0.4627</v>
      </c>
      <c r="N78" s="3">
        <v>58.0</v>
      </c>
      <c r="O78" s="3">
        <v>94.0</v>
      </c>
      <c r="P78" s="3">
        <v>152.0</v>
      </c>
      <c r="Q78" s="10"/>
      <c r="R78" s="10" t="str">
        <f t="shared" si="1"/>
        <v>OK</v>
      </c>
      <c r="S78" s="10">
        <f t="shared" si="2"/>
        <v>5</v>
      </c>
      <c r="T78" s="10" t="str">
        <f t="shared" si="3"/>
        <v>OK</v>
      </c>
      <c r="U78" s="10">
        <f t="shared" si="4"/>
        <v>1</v>
      </c>
      <c r="V78" s="10"/>
      <c r="W78" s="10"/>
      <c r="X78" s="10"/>
      <c r="Y78" s="10"/>
      <c r="Z78" s="10"/>
    </row>
    <row r="79" ht="13.5" customHeight="1">
      <c r="A79" s="3">
        <v>612.0</v>
      </c>
      <c r="B79" s="12">
        <v>40571.0</v>
      </c>
      <c r="C79" s="3">
        <v>1.0</v>
      </c>
      <c r="D79" s="3">
        <v>0.0</v>
      </c>
      <c r="E79" s="3">
        <v>1.0</v>
      </c>
      <c r="F79" s="3">
        <v>17.0</v>
      </c>
      <c r="G79" s="3" t="b">
        <f t="shared" si="12"/>
        <v>0</v>
      </c>
      <c r="H79" s="3">
        <v>5.0</v>
      </c>
      <c r="I79" s="3">
        <v>1.0</v>
      </c>
      <c r="J79" s="3">
        <v>0.24</v>
      </c>
      <c r="K79" s="3">
        <v>0.2424</v>
      </c>
      <c r="L79" s="3">
        <v>0.75</v>
      </c>
      <c r="M79" s="3">
        <v>0.1343</v>
      </c>
      <c r="N79" s="3">
        <v>2.0</v>
      </c>
      <c r="O79" s="3">
        <v>147.0</v>
      </c>
      <c r="P79" s="3">
        <v>149.0</v>
      </c>
      <c r="Q79" s="10"/>
      <c r="R79" s="10" t="str">
        <f t="shared" si="1"/>
        <v>OK</v>
      </c>
      <c r="S79" s="10">
        <f t="shared" si="2"/>
        <v>5</v>
      </c>
      <c r="T79" s="10" t="str">
        <f t="shared" si="3"/>
        <v>OK</v>
      </c>
      <c r="U79" s="10">
        <f t="shared" si="4"/>
        <v>1</v>
      </c>
      <c r="V79" s="10"/>
      <c r="W79" s="10"/>
      <c r="X79" s="10"/>
      <c r="Y79" s="10"/>
      <c r="Z79" s="10"/>
    </row>
    <row r="80" ht="13.5" customHeight="1">
      <c r="A80" s="3">
        <v>753.0</v>
      </c>
      <c r="B80" s="12">
        <v>40577.0</v>
      </c>
      <c r="C80" s="3">
        <v>1.0</v>
      </c>
      <c r="D80" s="3">
        <v>0.0</v>
      </c>
      <c r="E80" s="3">
        <v>2.0</v>
      </c>
      <c r="F80" s="3">
        <v>18.0</v>
      </c>
      <c r="G80" s="3" t="b">
        <f t="shared" si="12"/>
        <v>0</v>
      </c>
      <c r="H80" s="3">
        <v>4.0</v>
      </c>
      <c r="I80" s="3">
        <v>1.0</v>
      </c>
      <c r="J80" s="3">
        <v>0.2</v>
      </c>
      <c r="K80" s="3">
        <v>0.2121</v>
      </c>
      <c r="L80" s="3">
        <v>0.4</v>
      </c>
      <c r="M80" s="3">
        <v>0.1642</v>
      </c>
      <c r="N80" s="3">
        <v>2.0</v>
      </c>
      <c r="O80" s="3">
        <v>145.0</v>
      </c>
      <c r="P80" s="3">
        <v>147.0</v>
      </c>
      <c r="Q80" s="10"/>
      <c r="R80" s="10" t="str">
        <f t="shared" si="1"/>
        <v>OK</v>
      </c>
      <c r="S80" s="10">
        <f t="shared" si="2"/>
        <v>5</v>
      </c>
      <c r="T80" s="10" t="str">
        <f t="shared" si="3"/>
        <v>OK</v>
      </c>
      <c r="U80" s="10">
        <f t="shared" si="4"/>
        <v>1</v>
      </c>
      <c r="V80" s="10"/>
      <c r="W80" s="10"/>
      <c r="X80" s="10"/>
      <c r="Y80" s="10"/>
      <c r="Z80" s="10"/>
    </row>
    <row r="81" ht="13.5" customHeight="1">
      <c r="A81" s="10">
        <f>dataset_1!A568</f>
        <v>567</v>
      </c>
      <c r="B81" s="11">
        <f>dataset_1!B568</f>
        <v>40568</v>
      </c>
      <c r="C81" s="10">
        <f>dataset_1!C568</f>
        <v>1</v>
      </c>
      <c r="D81" s="10">
        <f>dataset_1!D568</f>
        <v>0</v>
      </c>
      <c r="E81" s="10">
        <f>dataset_1!E568</f>
        <v>1</v>
      </c>
      <c r="F81" s="10">
        <f>dataset_1!F568</f>
        <v>19</v>
      </c>
      <c r="G81" s="10" t="b">
        <f>dataset_1!G568</f>
        <v>0</v>
      </c>
      <c r="H81" s="10">
        <f>dataset_1!H568</f>
        <v>2</v>
      </c>
      <c r="I81" s="10">
        <f>dataset_1!I568</f>
        <v>2</v>
      </c>
      <c r="J81" s="10">
        <f>dataset_1!J568</f>
        <v>0.26</v>
      </c>
      <c r="K81" s="10">
        <f>VLOOKUP(A81,dataset_2!$A$2:$G$611,2,0)</f>
        <v>0.2576</v>
      </c>
      <c r="L81" s="10">
        <f>VLOOKUP(A81,dataset_2!$A$2:$G$611,3,0)</f>
        <v>0.65</v>
      </c>
      <c r="M81" s="10">
        <f>VLOOKUP(A81,dataset_2!$A$2:$G$611,4,0)</f>
        <v>0.1642</v>
      </c>
      <c r="N81" s="10">
        <f>VLOOKUP(A81,dataset_2!$A$2:$G$611,5,0)</f>
        <v>13</v>
      </c>
      <c r="O81" s="10">
        <f>VLOOKUP(A81,dataset_2!$A$2:$G$611,6,0)</f>
        <v>133</v>
      </c>
      <c r="P81" s="10">
        <f>VLOOKUP(A81,dataset_2!$A$2:$G$611,7,0)</f>
        <v>146</v>
      </c>
      <c r="Q81" s="10"/>
      <c r="R81" s="10" t="str">
        <f t="shared" si="1"/>
        <v>OK</v>
      </c>
      <c r="S81" s="10">
        <f t="shared" si="2"/>
        <v>5</v>
      </c>
      <c r="T81" s="10" t="str">
        <f t="shared" si="3"/>
        <v>OK</v>
      </c>
      <c r="U81" s="10">
        <f t="shared" si="4"/>
        <v>1</v>
      </c>
      <c r="V81" s="10"/>
      <c r="W81" s="10"/>
      <c r="X81" s="10"/>
      <c r="Y81" s="10"/>
      <c r="Z81" s="10"/>
    </row>
    <row r="82" ht="13.5" customHeight="1">
      <c r="A82" s="3">
        <v>962.0</v>
      </c>
      <c r="B82" s="12">
        <v>40586.0</v>
      </c>
      <c r="C82" s="3">
        <v>1.0</v>
      </c>
      <c r="D82" s="3">
        <v>0.0</v>
      </c>
      <c r="E82" s="3">
        <v>2.0</v>
      </c>
      <c r="F82" s="3">
        <v>16.0</v>
      </c>
      <c r="G82" s="3" t="b">
        <f>FALSE()</f>
        <v>0</v>
      </c>
      <c r="H82" s="3">
        <v>6.0</v>
      </c>
      <c r="I82" s="3">
        <v>1.0</v>
      </c>
      <c r="J82" s="3">
        <v>0.34</v>
      </c>
      <c r="K82" s="3">
        <v>0.303</v>
      </c>
      <c r="L82" s="3">
        <v>0.29</v>
      </c>
      <c r="M82" s="3">
        <v>0.4179</v>
      </c>
      <c r="N82" s="3">
        <v>42.0</v>
      </c>
      <c r="O82" s="3">
        <v>103.0</v>
      </c>
      <c r="P82" s="3">
        <v>145.0</v>
      </c>
      <c r="Q82" s="10"/>
      <c r="R82" s="10" t="str">
        <f t="shared" si="1"/>
        <v>OK</v>
      </c>
      <c r="S82" s="10">
        <f t="shared" si="2"/>
        <v>5</v>
      </c>
      <c r="T82" s="10" t="str">
        <f t="shared" si="3"/>
        <v>OK</v>
      </c>
      <c r="U82" s="10">
        <f t="shared" si="4"/>
        <v>1</v>
      </c>
      <c r="V82" s="10"/>
      <c r="W82" s="10"/>
      <c r="X82" s="10"/>
      <c r="Y82" s="10"/>
      <c r="Z82" s="10"/>
    </row>
    <row r="83" ht="13.5" customHeight="1">
      <c r="A83" s="10">
        <f>dataset_1!A297</f>
        <v>296</v>
      </c>
      <c r="B83" s="11">
        <f>dataset_1!B297</f>
        <v>40556</v>
      </c>
      <c r="C83" s="10">
        <f>dataset_1!C297</f>
        <v>1</v>
      </c>
      <c r="D83" s="10">
        <f>dataset_1!D297</f>
        <v>0</v>
      </c>
      <c r="E83" s="10">
        <f>dataset_1!E297</f>
        <v>1</v>
      </c>
      <c r="F83" s="10">
        <f>dataset_1!F297</f>
        <v>18</v>
      </c>
      <c r="G83" s="10" t="b">
        <f>dataset_1!G297</f>
        <v>0</v>
      </c>
      <c r="H83" s="10">
        <f>dataset_1!H297</f>
        <v>4</v>
      </c>
      <c r="I83" s="10">
        <f>dataset_1!I297</f>
        <v>1</v>
      </c>
      <c r="J83" s="10">
        <f>dataset_1!J297</f>
        <v>0.2</v>
      </c>
      <c r="K83" s="10">
        <f>VLOOKUP(A83,dataset_2!$A$2:$G$611,2,0)</f>
        <v>0.1818</v>
      </c>
      <c r="L83" s="10">
        <f>VLOOKUP(A83,dataset_2!$A$2:$G$611,3,0)</f>
        <v>0.4</v>
      </c>
      <c r="M83" s="10">
        <f>VLOOKUP(A83,dataset_2!$A$2:$G$611,4,0)</f>
        <v>0.3284</v>
      </c>
      <c r="N83" s="10">
        <f>VLOOKUP(A83,dataset_2!$A$2:$G$611,5,0)</f>
        <v>3</v>
      </c>
      <c r="O83" s="10">
        <f>VLOOKUP(A83,dataset_2!$A$2:$G$611,6,0)</f>
        <v>141</v>
      </c>
      <c r="P83" s="10">
        <f>VLOOKUP(A83,dataset_2!$A$2:$G$611,7,0)</f>
        <v>144</v>
      </c>
      <c r="Q83" s="10"/>
      <c r="R83" s="10" t="str">
        <f t="shared" si="1"/>
        <v>OK</v>
      </c>
      <c r="S83" s="10">
        <f t="shared" si="2"/>
        <v>5</v>
      </c>
      <c r="T83" s="10" t="str">
        <f t="shared" si="3"/>
        <v>OK</v>
      </c>
      <c r="U83" s="10">
        <f t="shared" si="4"/>
        <v>1</v>
      </c>
      <c r="V83" s="10"/>
      <c r="W83" s="10"/>
      <c r="X83" s="10"/>
      <c r="Y83" s="10"/>
      <c r="Z83" s="10"/>
    </row>
    <row r="84" ht="13.5" customHeight="1">
      <c r="A84" s="10">
        <f>dataset_1!A558</f>
        <v>557</v>
      </c>
      <c r="B84" s="11">
        <f>dataset_1!B558</f>
        <v>40568</v>
      </c>
      <c r="C84" s="10">
        <f>dataset_1!C558</f>
        <v>1</v>
      </c>
      <c r="D84" s="10">
        <f>dataset_1!D558</f>
        <v>0</v>
      </c>
      <c r="E84" s="10">
        <f>dataset_1!E558</f>
        <v>1</v>
      </c>
      <c r="F84" s="10">
        <f>dataset_1!F558</f>
        <v>9</v>
      </c>
      <c r="G84" s="10" t="b">
        <f>dataset_1!G558</f>
        <v>0</v>
      </c>
      <c r="H84" s="10">
        <f>dataset_1!H558</f>
        <v>2</v>
      </c>
      <c r="I84" s="10">
        <f>dataset_1!I558</f>
        <v>2</v>
      </c>
      <c r="J84" s="10">
        <f>dataset_1!J558</f>
        <v>0.2</v>
      </c>
      <c r="K84" s="10">
        <f>VLOOKUP(A84,dataset_2!$A$2:$G$611,2,0)</f>
        <v>0.2273</v>
      </c>
      <c r="L84" s="10">
        <f>VLOOKUP(A84,dataset_2!$A$2:$G$611,3,0)</f>
        <v>0.64</v>
      </c>
      <c r="M84" s="10">
        <f>VLOOKUP(A84,dataset_2!$A$2:$G$611,4,0)</f>
        <v>0.0896</v>
      </c>
      <c r="N84" s="10">
        <f>VLOOKUP(A84,dataset_2!$A$2:$G$611,5,0)</f>
        <v>10</v>
      </c>
      <c r="O84" s="10">
        <f>VLOOKUP(A84,dataset_2!$A$2:$G$611,6,0)</f>
        <v>134</v>
      </c>
      <c r="P84" s="10">
        <f>VLOOKUP(A84,dataset_2!$A$2:$G$611,7,0)</f>
        <v>144</v>
      </c>
      <c r="Q84" s="10"/>
      <c r="R84" s="10" t="str">
        <f t="shared" si="1"/>
        <v>OK</v>
      </c>
      <c r="S84" s="10">
        <f t="shared" si="2"/>
        <v>5</v>
      </c>
      <c r="T84" s="10" t="str">
        <f t="shared" si="3"/>
        <v>OK</v>
      </c>
      <c r="U84" s="10">
        <f t="shared" si="4"/>
        <v>1</v>
      </c>
      <c r="V84" s="10"/>
      <c r="W84" s="10"/>
      <c r="X84" s="10"/>
      <c r="Y84" s="10"/>
      <c r="Z84" s="10"/>
    </row>
    <row r="85" ht="13.5" customHeight="1">
      <c r="A85" s="10">
        <f>dataset_1!A442</f>
        <v>441</v>
      </c>
      <c r="B85" s="11">
        <f>dataset_1!B442</f>
        <v>40563</v>
      </c>
      <c r="C85" s="10">
        <f>dataset_1!C442</f>
        <v>1</v>
      </c>
      <c r="D85" s="10">
        <f>dataset_1!D442</f>
        <v>0</v>
      </c>
      <c r="E85" s="10">
        <f>dataset_1!E442</f>
        <v>1</v>
      </c>
      <c r="F85" s="10">
        <f>dataset_1!F442</f>
        <v>9</v>
      </c>
      <c r="G85" s="10" t="b">
        <f>dataset_1!G442</f>
        <v>0</v>
      </c>
      <c r="H85" s="10">
        <f>dataset_1!H442</f>
        <v>4</v>
      </c>
      <c r="I85" s="10">
        <f>dataset_1!I442</f>
        <v>2</v>
      </c>
      <c r="J85" s="10">
        <f>dataset_1!J442</f>
        <v>0.24</v>
      </c>
      <c r="K85" s="10">
        <f>VLOOKUP(A85,dataset_2!$A$2:$G$611,2,0)</f>
        <v>0.2273</v>
      </c>
      <c r="L85" s="10">
        <f>VLOOKUP(A85,dataset_2!$A$2:$G$611,3,0)</f>
        <v>0.52</v>
      </c>
      <c r="M85" s="10">
        <f>VLOOKUP(A85,dataset_2!$A$2:$G$611,4,0)</f>
        <v>0.2239</v>
      </c>
      <c r="N85" s="10">
        <f>VLOOKUP(A85,dataset_2!$A$2:$G$611,5,0)</f>
        <v>3</v>
      </c>
      <c r="O85" s="10">
        <f>VLOOKUP(A85,dataset_2!$A$2:$G$611,6,0)</f>
        <v>140</v>
      </c>
      <c r="P85" s="10">
        <f>VLOOKUP(A85,dataset_2!$A$2:$G$611,7,0)</f>
        <v>143</v>
      </c>
      <c r="Q85" s="10"/>
      <c r="R85" s="10" t="str">
        <f t="shared" si="1"/>
        <v>OK</v>
      </c>
      <c r="S85" s="10">
        <f t="shared" si="2"/>
        <v>5</v>
      </c>
      <c r="T85" s="10" t="str">
        <f t="shared" si="3"/>
        <v>OK</v>
      </c>
      <c r="U85" s="10">
        <f t="shared" si="4"/>
        <v>1</v>
      </c>
      <c r="V85" s="10"/>
      <c r="W85" s="10"/>
      <c r="X85" s="10"/>
      <c r="Y85" s="10"/>
      <c r="Z85" s="10"/>
    </row>
    <row r="86" ht="13.5" customHeight="1">
      <c r="A86" s="3">
        <v>931.0</v>
      </c>
      <c r="B86" s="12">
        <v>40585.0</v>
      </c>
      <c r="C86" s="3">
        <v>1.0</v>
      </c>
      <c r="D86" s="3">
        <v>0.0</v>
      </c>
      <c r="E86" s="3">
        <v>2.0</v>
      </c>
      <c r="F86" s="3">
        <v>9.0</v>
      </c>
      <c r="G86" s="3" t="b">
        <f>FALSE()</f>
        <v>0</v>
      </c>
      <c r="H86" s="3">
        <v>5.0</v>
      </c>
      <c r="I86" s="3">
        <v>1.0</v>
      </c>
      <c r="J86" s="3">
        <v>0.12</v>
      </c>
      <c r="K86" s="3">
        <v>0.1212</v>
      </c>
      <c r="L86" s="3">
        <v>0.74</v>
      </c>
      <c r="M86" s="3">
        <v>0.2239</v>
      </c>
      <c r="N86" s="3">
        <v>8.0</v>
      </c>
      <c r="O86" s="3">
        <v>132.0</v>
      </c>
      <c r="P86" s="3">
        <v>140.0</v>
      </c>
      <c r="Q86" s="10"/>
      <c r="R86" s="10" t="str">
        <f t="shared" si="1"/>
        <v>OK</v>
      </c>
      <c r="S86" s="10">
        <f t="shared" si="2"/>
        <v>5</v>
      </c>
      <c r="T86" s="10" t="str">
        <f t="shared" si="3"/>
        <v>OK</v>
      </c>
      <c r="U86" s="10">
        <f t="shared" si="4"/>
        <v>1</v>
      </c>
      <c r="V86" s="10"/>
      <c r="W86" s="10"/>
      <c r="X86" s="10"/>
      <c r="Y86" s="10"/>
      <c r="Z86" s="10"/>
    </row>
    <row r="87" ht="13.5" customHeight="1">
      <c r="A87" s="10">
        <f>dataset_1!A272</f>
        <v>271</v>
      </c>
      <c r="B87" s="11">
        <f>dataset_1!B272</f>
        <v>40555</v>
      </c>
      <c r="C87" s="10">
        <f>dataset_1!C272</f>
        <v>1</v>
      </c>
      <c r="D87" s="10">
        <f>dataset_1!D272</f>
        <v>0</v>
      </c>
      <c r="E87" s="10">
        <f>dataset_1!E272</f>
        <v>1</v>
      </c>
      <c r="F87" s="10">
        <f>dataset_1!F272</f>
        <v>17</v>
      </c>
      <c r="G87" s="10" t="b">
        <f>dataset_1!G272</f>
        <v>0</v>
      </c>
      <c r="H87" s="10">
        <f>dataset_1!H272</f>
        <v>3</v>
      </c>
      <c r="I87" s="10">
        <f>dataset_1!I272</f>
        <v>1</v>
      </c>
      <c r="J87" s="10">
        <f>dataset_1!J272</f>
        <v>0.2</v>
      </c>
      <c r="K87" s="10">
        <f>VLOOKUP(A87,dataset_2!$A$2:$G$611,2,0)</f>
        <v>0.1818</v>
      </c>
      <c r="L87" s="10">
        <f>VLOOKUP(A87,dataset_2!$A$2:$G$611,3,0)</f>
        <v>0.47</v>
      </c>
      <c r="M87" s="10">
        <f>VLOOKUP(A87,dataset_2!$A$2:$G$611,4,0)</f>
        <v>0.3582</v>
      </c>
      <c r="N87" s="10">
        <f>VLOOKUP(A87,dataset_2!$A$2:$G$611,5,0)</f>
        <v>0</v>
      </c>
      <c r="O87" s="10">
        <f>VLOOKUP(A87,dataset_2!$A$2:$G$611,6,0)</f>
        <v>139</v>
      </c>
      <c r="P87" s="10">
        <f>VLOOKUP(A87,dataset_2!$A$2:$G$611,7,0)</f>
        <v>139</v>
      </c>
      <c r="Q87" s="10"/>
      <c r="R87" s="10" t="str">
        <f t="shared" si="1"/>
        <v>OK</v>
      </c>
      <c r="S87" s="10">
        <f t="shared" si="2"/>
        <v>5</v>
      </c>
      <c r="T87" s="10" t="str">
        <f t="shared" si="3"/>
        <v>OK</v>
      </c>
      <c r="U87" s="10">
        <f t="shared" si="4"/>
        <v>1</v>
      </c>
      <c r="V87" s="10"/>
      <c r="W87" s="10"/>
      <c r="X87" s="10"/>
      <c r="Y87" s="10"/>
      <c r="Z87" s="10"/>
    </row>
    <row r="88" ht="13.5" customHeight="1">
      <c r="A88" s="10">
        <f>dataset_1!A288</f>
        <v>287</v>
      </c>
      <c r="B88" s="11">
        <f>dataset_1!B288</f>
        <v>40556</v>
      </c>
      <c r="C88" s="10">
        <f>dataset_1!C288</f>
        <v>1</v>
      </c>
      <c r="D88" s="10">
        <f>dataset_1!D288</f>
        <v>0</v>
      </c>
      <c r="E88" s="10">
        <f>dataset_1!E288</f>
        <v>1</v>
      </c>
      <c r="F88" s="10">
        <f>dataset_1!F288</f>
        <v>9</v>
      </c>
      <c r="G88" s="10" t="b">
        <f>dataset_1!G288</f>
        <v>0</v>
      </c>
      <c r="H88" s="10">
        <f>dataset_1!H288</f>
        <v>4</v>
      </c>
      <c r="I88" s="10">
        <f>dataset_1!I288</f>
        <v>1</v>
      </c>
      <c r="J88" s="10">
        <f>dataset_1!J288</f>
        <v>0.14</v>
      </c>
      <c r="K88" s="10">
        <f>VLOOKUP(A88,dataset_2!$A$2:$G$611,2,0)</f>
        <v>0.1212</v>
      </c>
      <c r="L88" s="10">
        <f>VLOOKUP(A88,dataset_2!$A$2:$G$611,3,0)</f>
        <v>0.5</v>
      </c>
      <c r="M88" s="10">
        <f>VLOOKUP(A88,dataset_2!$A$2:$G$611,4,0)</f>
        <v>0.3284</v>
      </c>
      <c r="N88" s="10">
        <f>VLOOKUP(A88,dataset_2!$A$2:$G$611,5,0)</f>
        <v>2</v>
      </c>
      <c r="O88" s="10">
        <f>VLOOKUP(A88,dataset_2!$A$2:$G$611,6,0)</f>
        <v>137</v>
      </c>
      <c r="P88" s="10">
        <f>VLOOKUP(A88,dataset_2!$A$2:$G$611,7,0)</f>
        <v>139</v>
      </c>
      <c r="Q88" s="10"/>
      <c r="R88" s="10" t="str">
        <f t="shared" si="1"/>
        <v>OK</v>
      </c>
      <c r="S88" s="10">
        <f t="shared" si="2"/>
        <v>5</v>
      </c>
      <c r="T88" s="10" t="str">
        <f t="shared" si="3"/>
        <v>OK</v>
      </c>
      <c r="U88" s="10">
        <f t="shared" si="4"/>
        <v>1</v>
      </c>
      <c r="V88" s="10"/>
      <c r="W88" s="10"/>
      <c r="X88" s="10"/>
      <c r="Y88" s="10"/>
      <c r="Z88" s="10"/>
    </row>
    <row r="89" ht="13.5" customHeight="1">
      <c r="A89" s="10">
        <f>dataset_1!A320</f>
        <v>319</v>
      </c>
      <c r="B89" s="11">
        <f>dataset_1!B320</f>
        <v>40557</v>
      </c>
      <c r="C89" s="10">
        <f>dataset_1!C320</f>
        <v>1</v>
      </c>
      <c r="D89" s="10">
        <f>dataset_1!D320</f>
        <v>0</v>
      </c>
      <c r="E89" s="10">
        <f>dataset_1!E320</f>
        <v>1</v>
      </c>
      <c r="F89" s="10">
        <f>dataset_1!F320</f>
        <v>18</v>
      </c>
      <c r="G89" s="10" t="b">
        <f>dataset_1!G320</f>
        <v>0</v>
      </c>
      <c r="H89" s="10">
        <f>dataset_1!H320</f>
        <v>5</v>
      </c>
      <c r="I89" s="10">
        <f>dataset_1!I320</f>
        <v>1</v>
      </c>
      <c r="J89" s="10">
        <f>dataset_1!J320</f>
        <v>0.2</v>
      </c>
      <c r="K89" s="10">
        <f>VLOOKUP(A89,dataset_2!$A$2:$G$611,2,0)</f>
        <v>0.2576</v>
      </c>
      <c r="L89" s="10">
        <f>VLOOKUP(A89,dataset_2!$A$2:$G$611,3,0)</f>
        <v>0.47</v>
      </c>
      <c r="M89" s="10">
        <f>VLOOKUP(A89,dataset_2!$A$2:$G$611,4,0)</f>
        <v>0</v>
      </c>
      <c r="N89" s="10">
        <f>VLOOKUP(A89,dataset_2!$A$2:$G$611,5,0)</f>
        <v>5</v>
      </c>
      <c r="O89" s="10">
        <f>VLOOKUP(A89,dataset_2!$A$2:$G$611,6,0)</f>
        <v>134</v>
      </c>
      <c r="P89" s="10">
        <f>VLOOKUP(A89,dataset_2!$A$2:$G$611,7,0)</f>
        <v>139</v>
      </c>
      <c r="Q89" s="10"/>
      <c r="R89" s="10" t="str">
        <f t="shared" si="1"/>
        <v>OK</v>
      </c>
      <c r="S89" s="10">
        <f t="shared" si="2"/>
        <v>5</v>
      </c>
      <c r="T89" s="10" t="str">
        <f t="shared" si="3"/>
        <v>OK</v>
      </c>
      <c r="U89" s="10">
        <f t="shared" si="4"/>
        <v>1</v>
      </c>
      <c r="V89" s="10"/>
      <c r="W89" s="10"/>
      <c r="X89" s="10"/>
      <c r="Y89" s="10"/>
      <c r="Z89" s="10"/>
    </row>
    <row r="90" ht="13.5" customHeight="1">
      <c r="A90" s="10">
        <f>dataset_1!A273</f>
        <v>272</v>
      </c>
      <c r="B90" s="11">
        <f>dataset_1!B273</f>
        <v>40555</v>
      </c>
      <c r="C90" s="10">
        <f>dataset_1!C273</f>
        <v>1</v>
      </c>
      <c r="D90" s="10">
        <f>dataset_1!D273</f>
        <v>0</v>
      </c>
      <c r="E90" s="10">
        <f>dataset_1!E273</f>
        <v>1</v>
      </c>
      <c r="F90" s="10">
        <f>dataset_1!F273</f>
        <v>18</v>
      </c>
      <c r="G90" s="10" t="b">
        <f>dataset_1!G273</f>
        <v>0</v>
      </c>
      <c r="H90" s="10">
        <f>dataset_1!H273</f>
        <v>3</v>
      </c>
      <c r="I90" s="10">
        <f>dataset_1!I273</f>
        <v>1</v>
      </c>
      <c r="J90" s="10">
        <f>dataset_1!J273</f>
        <v>0.2</v>
      </c>
      <c r="K90" s="10">
        <f>VLOOKUP(A90,dataset_2!$A$2:$G$611,2,0)</f>
        <v>0.1515</v>
      </c>
      <c r="L90" s="10">
        <f>VLOOKUP(A90,dataset_2!$A$2:$G$611,3,0)</f>
        <v>0.47</v>
      </c>
      <c r="M90" s="10">
        <f>VLOOKUP(A90,dataset_2!$A$2:$G$611,4,0)</f>
        <v>0.5224</v>
      </c>
      <c r="N90" s="10">
        <f>VLOOKUP(A90,dataset_2!$A$2:$G$611,5,0)</f>
        <v>2</v>
      </c>
      <c r="O90" s="10">
        <f>VLOOKUP(A90,dataset_2!$A$2:$G$611,6,0)</f>
        <v>135</v>
      </c>
      <c r="P90" s="10">
        <f>VLOOKUP(A90,dataset_2!$A$2:$G$611,7,0)</f>
        <v>137</v>
      </c>
      <c r="Q90" s="10"/>
      <c r="R90" s="10" t="str">
        <f t="shared" si="1"/>
        <v>OK</v>
      </c>
      <c r="S90" s="10">
        <f t="shared" si="2"/>
        <v>5</v>
      </c>
      <c r="T90" s="10" t="str">
        <f t="shared" si="3"/>
        <v>OK</v>
      </c>
      <c r="U90" s="10">
        <f t="shared" si="4"/>
        <v>1</v>
      </c>
      <c r="V90" s="10"/>
      <c r="W90" s="10"/>
      <c r="X90" s="10"/>
      <c r="Y90" s="10"/>
      <c r="Z90" s="10"/>
    </row>
    <row r="91" ht="13.5" customHeight="1">
      <c r="A91" s="3">
        <v>963.0</v>
      </c>
      <c r="B91" s="12">
        <v>40586.0</v>
      </c>
      <c r="C91" s="3">
        <v>1.0</v>
      </c>
      <c r="D91" s="3">
        <v>0.0</v>
      </c>
      <c r="E91" s="3">
        <v>2.0</v>
      </c>
      <c r="F91" s="3">
        <v>17.0</v>
      </c>
      <c r="G91" s="3" t="b">
        <f>FALSE()</f>
        <v>0</v>
      </c>
      <c r="H91" s="3">
        <v>6.0</v>
      </c>
      <c r="I91" s="3">
        <v>1.0</v>
      </c>
      <c r="J91" s="3">
        <v>0.32</v>
      </c>
      <c r="K91" s="3">
        <v>0.2879</v>
      </c>
      <c r="L91" s="3">
        <v>0.31</v>
      </c>
      <c r="M91" s="3">
        <v>0.5224</v>
      </c>
      <c r="N91" s="3">
        <v>24.0</v>
      </c>
      <c r="O91" s="3">
        <v>113.0</v>
      </c>
      <c r="P91" s="3">
        <v>137.0</v>
      </c>
      <c r="Q91" s="10"/>
      <c r="R91" s="10" t="str">
        <f t="shared" si="1"/>
        <v>OK</v>
      </c>
      <c r="S91" s="10">
        <f t="shared" si="2"/>
        <v>5</v>
      </c>
      <c r="T91" s="10" t="str">
        <f t="shared" si="3"/>
        <v>OK</v>
      </c>
      <c r="U91" s="10">
        <f t="shared" si="4"/>
        <v>1</v>
      </c>
      <c r="V91" s="10"/>
      <c r="W91" s="10"/>
      <c r="X91" s="10"/>
      <c r="Y91" s="10"/>
      <c r="Z91" s="10"/>
    </row>
    <row r="92" ht="13.5" customHeight="1">
      <c r="A92" s="10">
        <f>dataset_1!A250</f>
        <v>249</v>
      </c>
      <c r="B92" s="11">
        <f>dataset_1!B250</f>
        <v>40554</v>
      </c>
      <c r="C92" s="10">
        <f>dataset_1!C250</f>
        <v>1</v>
      </c>
      <c r="D92" s="10">
        <f>dataset_1!D250</f>
        <v>0</v>
      </c>
      <c r="E92" s="10">
        <f>dataset_1!E250</f>
        <v>1</v>
      </c>
      <c r="F92" s="10">
        <f>dataset_1!F250</f>
        <v>17</v>
      </c>
      <c r="G92" s="10" t="b">
        <f>dataset_1!G250</f>
        <v>0</v>
      </c>
      <c r="H92" s="10">
        <f>dataset_1!H250</f>
        <v>2</v>
      </c>
      <c r="I92" s="10">
        <f>dataset_1!I250</f>
        <v>2</v>
      </c>
      <c r="J92" s="10">
        <f>dataset_1!J250</f>
        <v>0.16</v>
      </c>
      <c r="K92" s="10">
        <f>VLOOKUP(A92,dataset_2!$A$2:$G$611,2,0)</f>
        <v>0.1515</v>
      </c>
      <c r="L92" s="10">
        <f>VLOOKUP(A92,dataset_2!$A$2:$G$611,3,0)</f>
        <v>0.86</v>
      </c>
      <c r="M92" s="10">
        <f>VLOOKUP(A92,dataset_2!$A$2:$G$611,4,0)</f>
        <v>0.2239</v>
      </c>
      <c r="N92" s="10">
        <f>VLOOKUP(A92,dataset_2!$A$2:$G$611,5,0)</f>
        <v>6</v>
      </c>
      <c r="O92" s="10">
        <f>VLOOKUP(A92,dataset_2!$A$2:$G$611,6,0)</f>
        <v>130</v>
      </c>
      <c r="P92" s="10">
        <f>VLOOKUP(A92,dataset_2!$A$2:$G$611,7,0)</f>
        <v>136</v>
      </c>
      <c r="Q92" s="10"/>
      <c r="R92" s="10" t="str">
        <f t="shared" si="1"/>
        <v>OK</v>
      </c>
      <c r="S92" s="10">
        <f t="shared" si="2"/>
        <v>5</v>
      </c>
      <c r="T92" s="10" t="str">
        <f t="shared" si="3"/>
        <v>OK</v>
      </c>
      <c r="U92" s="10">
        <f t="shared" si="4"/>
        <v>1</v>
      </c>
      <c r="V92" s="10"/>
      <c r="W92" s="10"/>
      <c r="X92" s="10"/>
      <c r="Y92" s="10"/>
      <c r="Z92" s="10"/>
    </row>
    <row r="93" ht="13.5" customHeight="1">
      <c r="A93" s="3">
        <v>696.0</v>
      </c>
      <c r="B93" s="12">
        <v>40575.0</v>
      </c>
      <c r="C93" s="3">
        <v>1.0</v>
      </c>
      <c r="D93" s="3">
        <v>0.0</v>
      </c>
      <c r="E93" s="3">
        <v>2.0</v>
      </c>
      <c r="F93" s="3">
        <v>8.0</v>
      </c>
      <c r="G93" s="3" t="b">
        <f t="shared" ref="G93:G95" si="13">FALSE()</f>
        <v>0</v>
      </c>
      <c r="H93" s="3">
        <v>2.0</v>
      </c>
      <c r="I93" s="3">
        <v>3.0</v>
      </c>
      <c r="J93" s="3">
        <v>0.16</v>
      </c>
      <c r="K93" s="3">
        <v>0.2273</v>
      </c>
      <c r="L93" s="3">
        <v>0.93</v>
      </c>
      <c r="M93" s="3">
        <v>0.0</v>
      </c>
      <c r="N93" s="3">
        <v>3.0</v>
      </c>
      <c r="O93" s="3">
        <v>132.0</v>
      </c>
      <c r="P93" s="3">
        <v>135.0</v>
      </c>
      <c r="Q93" s="10"/>
      <c r="R93" s="10" t="str">
        <f t="shared" si="1"/>
        <v>OK</v>
      </c>
      <c r="S93" s="10">
        <f t="shared" si="2"/>
        <v>5</v>
      </c>
      <c r="T93" s="10" t="str">
        <f t="shared" si="3"/>
        <v>OK</v>
      </c>
      <c r="U93" s="10">
        <f t="shared" si="4"/>
        <v>1</v>
      </c>
      <c r="V93" s="10"/>
      <c r="W93" s="10"/>
      <c r="X93" s="10"/>
      <c r="Y93" s="10"/>
      <c r="Z93" s="10"/>
    </row>
    <row r="94" ht="13.5" customHeight="1">
      <c r="A94" s="3">
        <v>863.0</v>
      </c>
      <c r="B94" s="12">
        <v>40582.0</v>
      </c>
      <c r="C94" s="3">
        <v>1.0</v>
      </c>
      <c r="D94" s="3">
        <v>0.0</v>
      </c>
      <c r="E94" s="3">
        <v>2.0</v>
      </c>
      <c r="F94" s="3">
        <v>9.0</v>
      </c>
      <c r="G94" s="3" t="b">
        <f t="shared" si="13"/>
        <v>0</v>
      </c>
      <c r="H94" s="3">
        <v>2.0</v>
      </c>
      <c r="I94" s="3">
        <v>1.0</v>
      </c>
      <c r="J94" s="3">
        <v>0.24</v>
      </c>
      <c r="K94" s="3">
        <v>0.197</v>
      </c>
      <c r="L94" s="3">
        <v>0.52</v>
      </c>
      <c r="M94" s="3">
        <v>0.4925</v>
      </c>
      <c r="N94" s="3">
        <v>7.0</v>
      </c>
      <c r="O94" s="3">
        <v>128.0</v>
      </c>
      <c r="P94" s="3">
        <v>135.0</v>
      </c>
      <c r="Q94" s="10"/>
      <c r="R94" s="10" t="str">
        <f t="shared" si="1"/>
        <v>OK</v>
      </c>
      <c r="S94" s="10">
        <f t="shared" si="2"/>
        <v>5</v>
      </c>
      <c r="T94" s="10" t="str">
        <f t="shared" si="3"/>
        <v>OK</v>
      </c>
      <c r="U94" s="10">
        <f t="shared" si="4"/>
        <v>1</v>
      </c>
      <c r="V94" s="10"/>
      <c r="W94" s="10"/>
      <c r="X94" s="10"/>
      <c r="Y94" s="10"/>
      <c r="Z94" s="10"/>
    </row>
    <row r="95" ht="13.5" customHeight="1">
      <c r="A95" s="3">
        <v>959.0</v>
      </c>
      <c r="B95" s="12">
        <v>40586.0</v>
      </c>
      <c r="C95" s="3">
        <v>1.0</v>
      </c>
      <c r="D95" s="3">
        <v>0.0</v>
      </c>
      <c r="E95" s="3">
        <v>2.0</v>
      </c>
      <c r="F95" s="3">
        <v>13.0</v>
      </c>
      <c r="G95" s="3" t="b">
        <f t="shared" si="13"/>
        <v>0</v>
      </c>
      <c r="H95" s="3">
        <v>6.0</v>
      </c>
      <c r="I95" s="3">
        <v>1.0</v>
      </c>
      <c r="J95" s="3">
        <v>0.3</v>
      </c>
      <c r="K95" s="3">
        <v>0.2727</v>
      </c>
      <c r="L95" s="3">
        <v>0.39</v>
      </c>
      <c r="M95" s="3">
        <v>0.4179</v>
      </c>
      <c r="N95" s="3">
        <v>32.0</v>
      </c>
      <c r="O95" s="3">
        <v>103.0</v>
      </c>
      <c r="P95" s="3">
        <v>135.0</v>
      </c>
      <c r="Q95" s="10"/>
      <c r="R95" s="10" t="str">
        <f t="shared" si="1"/>
        <v>OK</v>
      </c>
      <c r="S95" s="10">
        <f t="shared" si="2"/>
        <v>5</v>
      </c>
      <c r="T95" s="10" t="str">
        <f t="shared" si="3"/>
        <v>OK</v>
      </c>
      <c r="U95" s="10">
        <f t="shared" si="4"/>
        <v>1</v>
      </c>
      <c r="V95" s="10"/>
      <c r="W95" s="10"/>
      <c r="X95" s="10"/>
      <c r="Y95" s="10"/>
      <c r="Z95" s="10"/>
    </row>
    <row r="96" ht="13.5" customHeight="1">
      <c r="A96" s="10">
        <f>dataset_1!A148</f>
        <v>147</v>
      </c>
      <c r="B96" s="11">
        <f>dataset_1!B148</f>
        <v>40550</v>
      </c>
      <c r="C96" s="10">
        <f>dataset_1!C148</f>
        <v>1</v>
      </c>
      <c r="D96" s="10">
        <f>dataset_1!D148</f>
        <v>0</v>
      </c>
      <c r="E96" s="10">
        <f>dataset_1!E148</f>
        <v>1</v>
      </c>
      <c r="F96" s="10">
        <f>dataset_1!F148</f>
        <v>9</v>
      </c>
      <c r="G96" s="10" t="b">
        <f>dataset_1!G148</f>
        <v>0</v>
      </c>
      <c r="H96" s="10">
        <f>dataset_1!H148</f>
        <v>5</v>
      </c>
      <c r="I96" s="10">
        <f>dataset_1!I148</f>
        <v>1</v>
      </c>
      <c r="J96" s="10">
        <f>dataset_1!J148</f>
        <v>0.2</v>
      </c>
      <c r="K96" s="10">
        <f>VLOOKUP(A96,dataset_2!$A$2:$G$611,2,0)</f>
        <v>0.1818</v>
      </c>
      <c r="L96" s="10">
        <f>VLOOKUP(A96,dataset_2!$A$2:$G$611,3,0)</f>
        <v>0.47</v>
      </c>
      <c r="M96" s="10">
        <f>VLOOKUP(A96,dataset_2!$A$2:$G$611,4,0)</f>
        <v>0.2985</v>
      </c>
      <c r="N96" s="10">
        <f>VLOOKUP(A96,dataset_2!$A$2:$G$611,5,0)</f>
        <v>9</v>
      </c>
      <c r="O96" s="10">
        <f>VLOOKUP(A96,dataset_2!$A$2:$G$611,6,0)</f>
        <v>125</v>
      </c>
      <c r="P96" s="10">
        <f>VLOOKUP(A96,dataset_2!$A$2:$G$611,7,0)</f>
        <v>134</v>
      </c>
      <c r="Q96" s="10"/>
      <c r="R96" s="10" t="str">
        <f t="shared" si="1"/>
        <v>OK</v>
      </c>
      <c r="S96" s="10">
        <f t="shared" si="2"/>
        <v>5</v>
      </c>
      <c r="T96" s="10" t="str">
        <f t="shared" si="3"/>
        <v>OK</v>
      </c>
      <c r="U96" s="10">
        <f t="shared" si="4"/>
        <v>1</v>
      </c>
      <c r="V96" s="10"/>
      <c r="W96" s="10"/>
      <c r="X96" s="10"/>
      <c r="Y96" s="10"/>
      <c r="Z96" s="10"/>
    </row>
    <row r="97" ht="13.5" customHeight="1">
      <c r="A97" s="3">
        <v>985.0</v>
      </c>
      <c r="B97" s="12">
        <v>40587.0</v>
      </c>
      <c r="C97" s="3">
        <v>1.0</v>
      </c>
      <c r="D97" s="3">
        <v>0.0</v>
      </c>
      <c r="E97" s="3">
        <v>2.0</v>
      </c>
      <c r="F97" s="3">
        <v>16.0</v>
      </c>
      <c r="G97" s="3" t="b">
        <f>FALSE()</f>
        <v>0</v>
      </c>
      <c r="H97" s="3">
        <v>0.0</v>
      </c>
      <c r="I97" s="3">
        <v>2.0</v>
      </c>
      <c r="J97" s="3">
        <v>0.42</v>
      </c>
      <c r="K97" s="3">
        <v>0.4242</v>
      </c>
      <c r="L97" s="3">
        <v>0.28</v>
      </c>
      <c r="M97" s="3">
        <v>0.3284</v>
      </c>
      <c r="N97" s="3">
        <v>28.0</v>
      </c>
      <c r="O97" s="3">
        <v>106.0</v>
      </c>
      <c r="P97" s="3">
        <v>134.0</v>
      </c>
      <c r="Q97" s="10"/>
      <c r="R97" s="10" t="str">
        <f t="shared" si="1"/>
        <v>OK</v>
      </c>
      <c r="S97" s="10">
        <f t="shared" si="2"/>
        <v>5</v>
      </c>
      <c r="T97" s="10" t="str">
        <f t="shared" si="3"/>
        <v>OK</v>
      </c>
      <c r="U97" s="10">
        <f t="shared" si="4"/>
        <v>1</v>
      </c>
      <c r="V97" s="10"/>
      <c r="W97" s="10"/>
      <c r="X97" s="10"/>
      <c r="Y97" s="10"/>
      <c r="Z97" s="10"/>
    </row>
    <row r="98" ht="13.5" customHeight="1">
      <c r="A98" s="10">
        <f>dataset_1!A404</f>
        <v>403</v>
      </c>
      <c r="B98" s="11">
        <f>dataset_1!B404</f>
        <v>40561</v>
      </c>
      <c r="C98" s="10">
        <f>dataset_1!C404</f>
        <v>1</v>
      </c>
      <c r="D98" s="10">
        <f>dataset_1!D404</f>
        <v>0</v>
      </c>
      <c r="E98" s="10">
        <f>dataset_1!E404</f>
        <v>1</v>
      </c>
      <c r="F98" s="10">
        <f>dataset_1!F404</f>
        <v>18</v>
      </c>
      <c r="G98" s="10" t="b">
        <f>dataset_1!G404</f>
        <v>0</v>
      </c>
      <c r="H98" s="10">
        <f>dataset_1!H404</f>
        <v>2</v>
      </c>
      <c r="I98" s="10">
        <f>dataset_1!I404</f>
        <v>2</v>
      </c>
      <c r="J98" s="10">
        <f>dataset_1!J404</f>
        <v>0.22</v>
      </c>
      <c r="K98" s="10">
        <f>VLOOKUP(A98,dataset_2!$A$2:$G$611,2,0)</f>
        <v>0.2273</v>
      </c>
      <c r="L98" s="10">
        <f>VLOOKUP(A98,dataset_2!$A$2:$G$611,3,0)</f>
        <v>0.8</v>
      </c>
      <c r="M98" s="10">
        <f>VLOOKUP(A98,dataset_2!$A$2:$G$611,4,0)</f>
        <v>0.1642</v>
      </c>
      <c r="N98" s="10">
        <f>VLOOKUP(A98,dataset_2!$A$2:$G$611,5,0)</f>
        <v>1</v>
      </c>
      <c r="O98" s="10">
        <f>VLOOKUP(A98,dataset_2!$A$2:$G$611,6,0)</f>
        <v>132</v>
      </c>
      <c r="P98" s="10">
        <f>VLOOKUP(A98,dataset_2!$A$2:$G$611,7,0)</f>
        <v>133</v>
      </c>
      <c r="Q98" s="10"/>
      <c r="R98" s="10" t="str">
        <f t="shared" si="1"/>
        <v>OK</v>
      </c>
      <c r="S98" s="10">
        <f t="shared" si="2"/>
        <v>5</v>
      </c>
      <c r="T98" s="10" t="str">
        <f t="shared" si="3"/>
        <v>OK</v>
      </c>
      <c r="U98" s="10">
        <f t="shared" si="4"/>
        <v>1</v>
      </c>
      <c r="V98" s="10"/>
      <c r="W98" s="10"/>
      <c r="X98" s="10"/>
      <c r="Y98" s="10"/>
      <c r="Z98" s="10"/>
    </row>
    <row r="99" ht="13.5" customHeight="1">
      <c r="A99" s="3">
        <v>744.0</v>
      </c>
      <c r="B99" s="12">
        <v>40577.0</v>
      </c>
      <c r="C99" s="3">
        <v>1.0</v>
      </c>
      <c r="D99" s="3">
        <v>0.0</v>
      </c>
      <c r="E99" s="3">
        <v>2.0</v>
      </c>
      <c r="F99" s="3">
        <v>9.0</v>
      </c>
      <c r="G99" s="3" t="b">
        <f>FALSE()</f>
        <v>0</v>
      </c>
      <c r="H99" s="3">
        <v>4.0</v>
      </c>
      <c r="I99" s="3">
        <v>1.0</v>
      </c>
      <c r="J99" s="3">
        <v>0.16</v>
      </c>
      <c r="K99" s="3">
        <v>0.1364</v>
      </c>
      <c r="L99" s="3">
        <v>0.47</v>
      </c>
      <c r="M99" s="3">
        <v>0.2985</v>
      </c>
      <c r="N99" s="3">
        <v>6.0</v>
      </c>
      <c r="O99" s="3">
        <v>127.0</v>
      </c>
      <c r="P99" s="3">
        <v>133.0</v>
      </c>
      <c r="Q99" s="10"/>
      <c r="R99" s="10" t="str">
        <f t="shared" si="1"/>
        <v>OK</v>
      </c>
      <c r="S99" s="10">
        <f t="shared" si="2"/>
        <v>5</v>
      </c>
      <c r="T99" s="10" t="str">
        <f t="shared" si="3"/>
        <v>OK</v>
      </c>
      <c r="U99" s="10">
        <f t="shared" si="4"/>
        <v>1</v>
      </c>
      <c r="V99" s="10"/>
      <c r="W99" s="10"/>
      <c r="X99" s="10"/>
      <c r="Y99" s="10"/>
      <c r="Z99" s="10"/>
    </row>
    <row r="100" ht="13.5" customHeight="1">
      <c r="A100" s="10">
        <f>dataset_1!A112</f>
        <v>111</v>
      </c>
      <c r="B100" s="11">
        <f>dataset_1!B112</f>
        <v>40548</v>
      </c>
      <c r="C100" s="10">
        <f>dataset_1!C112</f>
        <v>1</v>
      </c>
      <c r="D100" s="10">
        <f>dataset_1!D112</f>
        <v>0</v>
      </c>
      <c r="E100" s="10">
        <f>dataset_1!E112</f>
        <v>1</v>
      </c>
      <c r="F100" s="10">
        <f>dataset_1!F112</f>
        <v>19</v>
      </c>
      <c r="G100" s="10" t="b">
        <f>dataset_1!G112</f>
        <v>0</v>
      </c>
      <c r="H100" s="10">
        <f>dataset_1!H112</f>
        <v>3</v>
      </c>
      <c r="I100" s="10">
        <f>dataset_1!I112</f>
        <v>1</v>
      </c>
      <c r="J100" s="10">
        <f>dataset_1!J112</f>
        <v>0.24</v>
      </c>
      <c r="K100" s="10">
        <f>VLOOKUP(A100,dataset_2!$A$2:$G$611,2,0)</f>
        <v>0.2576</v>
      </c>
      <c r="L100" s="10">
        <f>VLOOKUP(A100,dataset_2!$A$2:$G$611,3,0)</f>
        <v>0.38</v>
      </c>
      <c r="M100" s="10">
        <f>VLOOKUP(A100,dataset_2!$A$2:$G$611,4,0)</f>
        <v>0.1045</v>
      </c>
      <c r="N100" s="10">
        <f>VLOOKUP(A100,dataset_2!$A$2:$G$611,5,0)</f>
        <v>5</v>
      </c>
      <c r="O100" s="10">
        <f>VLOOKUP(A100,dataset_2!$A$2:$G$611,6,0)</f>
        <v>127</v>
      </c>
      <c r="P100" s="10">
        <f>VLOOKUP(A100,dataset_2!$A$2:$G$611,7,0)</f>
        <v>132</v>
      </c>
      <c r="Q100" s="10"/>
      <c r="R100" s="10" t="str">
        <f t="shared" si="1"/>
        <v>OK</v>
      </c>
      <c r="S100" s="10">
        <f t="shared" si="2"/>
        <v>5</v>
      </c>
      <c r="T100" s="10" t="str">
        <f t="shared" si="3"/>
        <v>OK</v>
      </c>
      <c r="U100" s="10">
        <f t="shared" si="4"/>
        <v>1</v>
      </c>
      <c r="V100" s="10"/>
      <c r="W100" s="10"/>
      <c r="X100" s="10"/>
      <c r="Y100" s="10"/>
      <c r="Z100" s="10"/>
    </row>
    <row r="101" ht="13.5" customHeight="1">
      <c r="A101" s="10">
        <f>dataset_1!A242</f>
        <v>241</v>
      </c>
      <c r="B101" s="11">
        <f>dataset_1!B242</f>
        <v>40554</v>
      </c>
      <c r="C101" s="10">
        <f>dataset_1!C242</f>
        <v>1</v>
      </c>
      <c r="D101" s="10">
        <f>dataset_1!D242</f>
        <v>0</v>
      </c>
      <c r="E101" s="10">
        <f>dataset_1!E242</f>
        <v>1</v>
      </c>
      <c r="F101" s="10">
        <f>dataset_1!F242</f>
        <v>9</v>
      </c>
      <c r="G101" s="10" t="b">
        <f>dataset_1!G242</f>
        <v>0</v>
      </c>
      <c r="H101" s="10">
        <f>dataset_1!H242</f>
        <v>2</v>
      </c>
      <c r="I101" s="10">
        <f>dataset_1!I242</f>
        <v>2</v>
      </c>
      <c r="J101" s="10">
        <f>dataset_1!J242</f>
        <v>0.18</v>
      </c>
      <c r="K101" s="10">
        <f>VLOOKUP(A101,dataset_2!$A$2:$G$611,2,0)</f>
        <v>0.197</v>
      </c>
      <c r="L101" s="10">
        <f>VLOOKUP(A101,dataset_2!$A$2:$G$611,3,0)</f>
        <v>0.51</v>
      </c>
      <c r="M101" s="10">
        <f>VLOOKUP(A101,dataset_2!$A$2:$G$611,4,0)</f>
        <v>0.1642</v>
      </c>
      <c r="N101" s="10">
        <f>VLOOKUP(A101,dataset_2!$A$2:$G$611,5,0)</f>
        <v>3</v>
      </c>
      <c r="O101" s="10">
        <f>VLOOKUP(A101,dataset_2!$A$2:$G$611,6,0)</f>
        <v>127</v>
      </c>
      <c r="P101" s="10">
        <f>VLOOKUP(A101,dataset_2!$A$2:$G$611,7,0)</f>
        <v>130</v>
      </c>
      <c r="Q101" s="10"/>
      <c r="R101" s="10" t="str">
        <f t="shared" si="1"/>
        <v>OK</v>
      </c>
      <c r="S101" s="10">
        <f t="shared" si="2"/>
        <v>5</v>
      </c>
      <c r="T101" s="10" t="str">
        <f t="shared" si="3"/>
        <v>OK</v>
      </c>
      <c r="U101" s="10">
        <f t="shared" si="4"/>
        <v>1</v>
      </c>
      <c r="V101" s="10"/>
      <c r="W101" s="10"/>
      <c r="X101" s="10"/>
      <c r="Y101" s="10"/>
      <c r="Z101" s="10"/>
    </row>
    <row r="102" ht="13.5" customHeight="1">
      <c r="A102" s="10">
        <f>dataset_1!A341</f>
        <v>340</v>
      </c>
      <c r="B102" s="11">
        <f>dataset_1!B341</f>
        <v>40558</v>
      </c>
      <c r="C102" s="10">
        <f>dataset_1!C341</f>
        <v>1</v>
      </c>
      <c r="D102" s="10">
        <f>dataset_1!D341</f>
        <v>0</v>
      </c>
      <c r="E102" s="10">
        <f>dataset_1!E341</f>
        <v>1</v>
      </c>
      <c r="F102" s="10">
        <f>dataset_1!F341</f>
        <v>15</v>
      </c>
      <c r="G102" s="10" t="b">
        <f>dataset_1!G341</f>
        <v>0</v>
      </c>
      <c r="H102" s="10">
        <f>dataset_1!H341</f>
        <v>6</v>
      </c>
      <c r="I102" s="10">
        <f>dataset_1!I341</f>
        <v>2</v>
      </c>
      <c r="J102" s="10">
        <f>dataset_1!J341</f>
        <v>0.32</v>
      </c>
      <c r="K102" s="10">
        <f>VLOOKUP(A102,dataset_2!$A$2:$G$611,2,0)</f>
        <v>0.3182</v>
      </c>
      <c r="L102" s="10">
        <f>VLOOKUP(A102,dataset_2!$A$2:$G$611,3,0)</f>
        <v>0.36</v>
      </c>
      <c r="M102" s="10">
        <f>VLOOKUP(A102,dataset_2!$A$2:$G$611,4,0)</f>
        <v>0.194</v>
      </c>
      <c r="N102" s="10">
        <f>VLOOKUP(A102,dataset_2!$A$2:$G$611,5,0)</f>
        <v>21</v>
      </c>
      <c r="O102" s="10">
        <f>VLOOKUP(A102,dataset_2!$A$2:$G$611,6,0)</f>
        <v>108</v>
      </c>
      <c r="P102" s="10">
        <f>VLOOKUP(A102,dataset_2!$A$2:$G$611,7,0)</f>
        <v>129</v>
      </c>
      <c r="Q102" s="10"/>
      <c r="R102" s="10" t="str">
        <f t="shared" si="1"/>
        <v>OK</v>
      </c>
      <c r="S102" s="10">
        <f t="shared" si="2"/>
        <v>5</v>
      </c>
      <c r="T102" s="10" t="str">
        <f t="shared" si="3"/>
        <v>OK</v>
      </c>
      <c r="U102" s="10">
        <f t="shared" si="4"/>
        <v>1</v>
      </c>
      <c r="V102" s="10"/>
      <c r="W102" s="10"/>
      <c r="X102" s="10"/>
      <c r="Y102" s="10"/>
      <c r="Z102" s="10"/>
    </row>
    <row r="103" ht="13.5" customHeight="1">
      <c r="A103" s="10">
        <f>dataset_1!A263</f>
        <v>262</v>
      </c>
      <c r="B103" s="11">
        <f>dataset_1!B263</f>
        <v>40555</v>
      </c>
      <c r="C103" s="10">
        <f>dataset_1!C263</f>
        <v>1</v>
      </c>
      <c r="D103" s="10">
        <f>dataset_1!D263</f>
        <v>0</v>
      </c>
      <c r="E103" s="10">
        <f>dataset_1!E263</f>
        <v>1</v>
      </c>
      <c r="F103" s="10">
        <f>dataset_1!F263</f>
        <v>8</v>
      </c>
      <c r="G103" s="10" t="b">
        <f>dataset_1!G263</f>
        <v>0</v>
      </c>
      <c r="H103" s="10">
        <f>dataset_1!H263</f>
        <v>3</v>
      </c>
      <c r="I103" s="10">
        <f>dataset_1!I263</f>
        <v>1</v>
      </c>
      <c r="J103" s="10">
        <f>dataset_1!J263</f>
        <v>0.16</v>
      </c>
      <c r="K103" s="10">
        <f>VLOOKUP(A103,dataset_2!$A$2:$G$611,2,0)</f>
        <v>0.1667</v>
      </c>
      <c r="L103" s="10">
        <f>VLOOKUP(A103,dataset_2!$A$2:$G$611,3,0)</f>
        <v>0.59</v>
      </c>
      <c r="M103" s="10">
        <f>VLOOKUP(A103,dataset_2!$A$2:$G$611,4,0)</f>
        <v>0.1642</v>
      </c>
      <c r="N103" s="10">
        <f>VLOOKUP(A103,dataset_2!$A$2:$G$611,5,0)</f>
        <v>3</v>
      </c>
      <c r="O103" s="10">
        <f>VLOOKUP(A103,dataset_2!$A$2:$G$611,6,0)</f>
        <v>125</v>
      </c>
      <c r="P103" s="10">
        <f>VLOOKUP(A103,dataset_2!$A$2:$G$611,7,0)</f>
        <v>128</v>
      </c>
      <c r="Q103" s="10"/>
      <c r="R103" s="10" t="str">
        <f t="shared" si="1"/>
        <v>OK</v>
      </c>
      <c r="S103" s="10">
        <f t="shared" si="2"/>
        <v>5</v>
      </c>
      <c r="T103" s="10" t="str">
        <f t="shared" si="3"/>
        <v>OK</v>
      </c>
      <c r="U103" s="10">
        <f t="shared" si="4"/>
        <v>1</v>
      </c>
      <c r="V103" s="10"/>
      <c r="W103" s="10"/>
      <c r="X103" s="10"/>
      <c r="Y103" s="10"/>
      <c r="Z103" s="10"/>
    </row>
    <row r="104" ht="13.5" customHeight="1">
      <c r="A104" s="10">
        <f>dataset_1!A342</f>
        <v>341</v>
      </c>
      <c r="B104" s="11">
        <f>dataset_1!B342</f>
        <v>40558</v>
      </c>
      <c r="C104" s="10">
        <f>dataset_1!C342</f>
        <v>1</v>
      </c>
      <c r="D104" s="10">
        <f>dataset_1!D342</f>
        <v>0</v>
      </c>
      <c r="E104" s="10">
        <f>dataset_1!E342</f>
        <v>1</v>
      </c>
      <c r="F104" s="10">
        <f>dataset_1!F342</f>
        <v>16</v>
      </c>
      <c r="G104" s="10" t="b">
        <f>dataset_1!G342</f>
        <v>0</v>
      </c>
      <c r="H104" s="10">
        <f>dataset_1!H342</f>
        <v>6</v>
      </c>
      <c r="I104" s="10">
        <f>dataset_1!I342</f>
        <v>2</v>
      </c>
      <c r="J104" s="10">
        <f>dataset_1!J342</f>
        <v>0.34</v>
      </c>
      <c r="K104" s="10">
        <f>VLOOKUP(A104,dataset_2!$A$2:$G$611,2,0)</f>
        <v>0.3333</v>
      </c>
      <c r="L104" s="10">
        <f>VLOOKUP(A104,dataset_2!$A$2:$G$611,3,0)</f>
        <v>0.34</v>
      </c>
      <c r="M104" s="10">
        <f>VLOOKUP(A104,dataset_2!$A$2:$G$611,4,0)</f>
        <v>0.194</v>
      </c>
      <c r="N104" s="10">
        <f>VLOOKUP(A104,dataset_2!$A$2:$G$611,5,0)</f>
        <v>33</v>
      </c>
      <c r="O104" s="10">
        <f>VLOOKUP(A104,dataset_2!$A$2:$G$611,6,0)</f>
        <v>95</v>
      </c>
      <c r="P104" s="10">
        <f>VLOOKUP(A104,dataset_2!$A$2:$G$611,7,0)</f>
        <v>128</v>
      </c>
      <c r="Q104" s="10"/>
      <c r="R104" s="10" t="str">
        <f t="shared" si="1"/>
        <v>OK</v>
      </c>
      <c r="S104" s="10">
        <f t="shared" si="2"/>
        <v>5</v>
      </c>
      <c r="T104" s="10" t="str">
        <f t="shared" si="3"/>
        <v>OK</v>
      </c>
      <c r="U104" s="10">
        <f t="shared" si="4"/>
        <v>1</v>
      </c>
      <c r="V104" s="10"/>
      <c r="W104" s="10"/>
      <c r="X104" s="10"/>
      <c r="Y104" s="10"/>
      <c r="Z104" s="10"/>
    </row>
    <row r="105" ht="13.5" customHeight="1">
      <c r="A105" s="3">
        <v>849.0</v>
      </c>
      <c r="B105" s="12">
        <v>40581.0</v>
      </c>
      <c r="C105" s="3">
        <v>1.0</v>
      </c>
      <c r="D105" s="3">
        <v>0.0</v>
      </c>
      <c r="E105" s="3">
        <v>2.0</v>
      </c>
      <c r="F105" s="3">
        <v>19.0</v>
      </c>
      <c r="G105" s="3" t="b">
        <f t="shared" ref="G105:G106" si="14">FALSE()</f>
        <v>0</v>
      </c>
      <c r="H105" s="3">
        <v>1.0</v>
      </c>
      <c r="I105" s="3">
        <v>2.0</v>
      </c>
      <c r="J105" s="3">
        <v>0.32</v>
      </c>
      <c r="K105" s="3">
        <v>0.3485</v>
      </c>
      <c r="L105" s="3">
        <v>0.7</v>
      </c>
      <c r="M105" s="3">
        <v>0.0</v>
      </c>
      <c r="N105" s="3">
        <v>5.0</v>
      </c>
      <c r="O105" s="3">
        <v>123.0</v>
      </c>
      <c r="P105" s="3">
        <v>128.0</v>
      </c>
      <c r="Q105" s="10"/>
      <c r="R105" s="10" t="str">
        <f t="shared" si="1"/>
        <v>OK</v>
      </c>
      <c r="S105" s="10">
        <f t="shared" si="2"/>
        <v>5</v>
      </c>
      <c r="T105" s="10" t="str">
        <f t="shared" si="3"/>
        <v>OK</v>
      </c>
      <c r="U105" s="10">
        <f t="shared" si="4"/>
        <v>1</v>
      </c>
      <c r="V105" s="10"/>
      <c r="W105" s="10"/>
      <c r="X105" s="10"/>
      <c r="Y105" s="10"/>
      <c r="Z105" s="10"/>
    </row>
    <row r="106" ht="13.5" customHeight="1">
      <c r="A106" s="3">
        <v>767.0</v>
      </c>
      <c r="B106" s="12">
        <v>40578.0</v>
      </c>
      <c r="C106" s="3">
        <v>1.0</v>
      </c>
      <c r="D106" s="3">
        <v>0.0</v>
      </c>
      <c r="E106" s="3">
        <v>2.0</v>
      </c>
      <c r="F106" s="3">
        <v>9.0</v>
      </c>
      <c r="G106" s="3" t="b">
        <f t="shared" si="14"/>
        <v>0</v>
      </c>
      <c r="H106" s="3">
        <v>5.0</v>
      </c>
      <c r="I106" s="3">
        <v>2.0</v>
      </c>
      <c r="J106" s="3">
        <v>0.16</v>
      </c>
      <c r="K106" s="3">
        <v>0.1818</v>
      </c>
      <c r="L106" s="3">
        <v>0.8</v>
      </c>
      <c r="M106" s="3">
        <v>0.1343</v>
      </c>
      <c r="N106" s="3">
        <v>3.0</v>
      </c>
      <c r="O106" s="3">
        <v>124.0</v>
      </c>
      <c r="P106" s="3">
        <v>127.0</v>
      </c>
      <c r="Q106" s="10"/>
      <c r="R106" s="10" t="str">
        <f t="shared" si="1"/>
        <v>OK</v>
      </c>
      <c r="S106" s="10">
        <f t="shared" si="2"/>
        <v>5</v>
      </c>
      <c r="T106" s="10" t="str">
        <f t="shared" si="3"/>
        <v>OK</v>
      </c>
      <c r="U106" s="10">
        <f t="shared" si="4"/>
        <v>1</v>
      </c>
      <c r="V106" s="10"/>
      <c r="W106" s="10"/>
      <c r="X106" s="10"/>
      <c r="Y106" s="10"/>
      <c r="Z106" s="10"/>
    </row>
    <row r="107" ht="13.5" customHeight="1">
      <c r="A107" s="10">
        <f>dataset_1!A453</f>
        <v>452</v>
      </c>
      <c r="B107" s="11">
        <f>dataset_1!B453</f>
        <v>40563</v>
      </c>
      <c r="C107" s="10">
        <f>dataset_1!C453</f>
        <v>1</v>
      </c>
      <c r="D107" s="10">
        <f>dataset_1!D453</f>
        <v>0</v>
      </c>
      <c r="E107" s="10">
        <f>dataset_1!E453</f>
        <v>1</v>
      </c>
      <c r="F107" s="10">
        <f>dataset_1!F453</f>
        <v>20</v>
      </c>
      <c r="G107" s="10" t="b">
        <f>dataset_1!G453</f>
        <v>0</v>
      </c>
      <c r="H107" s="10">
        <f>dataset_1!H453</f>
        <v>4</v>
      </c>
      <c r="I107" s="10">
        <f>dataset_1!I453</f>
        <v>2</v>
      </c>
      <c r="J107" s="10">
        <f>dataset_1!J453</f>
        <v>0.26</v>
      </c>
      <c r="K107" s="10">
        <f>VLOOKUP(A107,dataset_2!$A$2:$G$611,2,0)</f>
        <v>0.2424</v>
      </c>
      <c r="L107" s="10">
        <f>VLOOKUP(A107,dataset_2!$A$2:$G$611,3,0)</f>
        <v>0.6</v>
      </c>
      <c r="M107" s="10">
        <f>VLOOKUP(A107,dataset_2!$A$2:$G$611,4,0)</f>
        <v>0.2836</v>
      </c>
      <c r="N107" s="10">
        <f>VLOOKUP(A107,dataset_2!$A$2:$G$611,5,0)</f>
        <v>2</v>
      </c>
      <c r="O107" s="10">
        <f>VLOOKUP(A107,dataset_2!$A$2:$G$611,6,0)</f>
        <v>124</v>
      </c>
      <c r="P107" s="10">
        <f>VLOOKUP(A107,dataset_2!$A$2:$G$611,7,0)</f>
        <v>126</v>
      </c>
      <c r="Q107" s="10"/>
      <c r="R107" s="10" t="str">
        <f t="shared" si="1"/>
        <v>OK</v>
      </c>
      <c r="S107" s="10">
        <f t="shared" si="2"/>
        <v>5</v>
      </c>
      <c r="T107" s="10" t="str">
        <f t="shared" si="3"/>
        <v>OK</v>
      </c>
      <c r="U107" s="10">
        <f t="shared" si="4"/>
        <v>1</v>
      </c>
      <c r="V107" s="10"/>
      <c r="W107" s="10"/>
      <c r="X107" s="10"/>
      <c r="Y107" s="10"/>
      <c r="Z107" s="10"/>
    </row>
    <row r="108" ht="13.5" customHeight="1">
      <c r="A108" s="10">
        <f>dataset_1!A403</f>
        <v>402</v>
      </c>
      <c r="B108" s="11">
        <f>dataset_1!B403</f>
        <v>40561</v>
      </c>
      <c r="C108" s="10">
        <f>dataset_1!C403</f>
        <v>1</v>
      </c>
      <c r="D108" s="10">
        <f>dataset_1!D403</f>
        <v>0</v>
      </c>
      <c r="E108" s="10">
        <f>dataset_1!E403</f>
        <v>1</v>
      </c>
      <c r="F108" s="10">
        <f>dataset_1!F403</f>
        <v>17</v>
      </c>
      <c r="G108" s="10" t="b">
        <f>dataset_1!G403</f>
        <v>0</v>
      </c>
      <c r="H108" s="10">
        <f>dataset_1!H403</f>
        <v>2</v>
      </c>
      <c r="I108" s="10">
        <f>dataset_1!I403</f>
        <v>2</v>
      </c>
      <c r="J108" s="10">
        <f>dataset_1!J403</f>
        <v>0.22</v>
      </c>
      <c r="K108" s="10">
        <f>VLOOKUP(A108,dataset_2!$A$2:$G$611,2,0)</f>
        <v>0.2273</v>
      </c>
      <c r="L108" s="10">
        <f>VLOOKUP(A108,dataset_2!$A$2:$G$611,3,0)</f>
        <v>0.82</v>
      </c>
      <c r="M108" s="10">
        <f>VLOOKUP(A108,dataset_2!$A$2:$G$611,4,0)</f>
        <v>0.194</v>
      </c>
      <c r="N108" s="10">
        <f>VLOOKUP(A108,dataset_2!$A$2:$G$611,5,0)</f>
        <v>1</v>
      </c>
      <c r="O108" s="10">
        <f>VLOOKUP(A108,dataset_2!$A$2:$G$611,6,0)</f>
        <v>124</v>
      </c>
      <c r="P108" s="10">
        <f>VLOOKUP(A108,dataset_2!$A$2:$G$611,7,0)</f>
        <v>125</v>
      </c>
      <c r="Q108" s="10"/>
      <c r="R108" s="10" t="str">
        <f t="shared" si="1"/>
        <v>OK</v>
      </c>
      <c r="S108" s="10">
        <f t="shared" si="2"/>
        <v>5</v>
      </c>
      <c r="T108" s="10" t="str">
        <f t="shared" si="3"/>
        <v>OK</v>
      </c>
      <c r="U108" s="10">
        <f t="shared" si="4"/>
        <v>1</v>
      </c>
      <c r="V108" s="10"/>
      <c r="W108" s="10"/>
      <c r="X108" s="10"/>
      <c r="Y108" s="10"/>
      <c r="Z108" s="10"/>
    </row>
    <row r="109" ht="13.5" customHeight="1">
      <c r="A109" s="3">
        <v>938.0</v>
      </c>
      <c r="B109" s="12">
        <v>40585.0</v>
      </c>
      <c r="C109" s="3">
        <v>1.0</v>
      </c>
      <c r="D109" s="3">
        <v>0.0</v>
      </c>
      <c r="E109" s="3">
        <v>2.0</v>
      </c>
      <c r="F109" s="3">
        <v>16.0</v>
      </c>
      <c r="G109" s="3" t="b">
        <f t="shared" ref="G109:G110" si="15">FALSE()</f>
        <v>0</v>
      </c>
      <c r="H109" s="3">
        <v>5.0</v>
      </c>
      <c r="I109" s="3">
        <v>1.0</v>
      </c>
      <c r="J109" s="3">
        <v>0.3</v>
      </c>
      <c r="K109" s="3">
        <v>0.2879</v>
      </c>
      <c r="L109" s="3">
        <v>0.28</v>
      </c>
      <c r="M109" s="3">
        <v>0.194</v>
      </c>
      <c r="N109" s="3">
        <v>14.0</v>
      </c>
      <c r="O109" s="3">
        <v>111.0</v>
      </c>
      <c r="P109" s="3">
        <v>125.0</v>
      </c>
      <c r="Q109" s="10"/>
      <c r="R109" s="10" t="str">
        <f t="shared" si="1"/>
        <v>OK</v>
      </c>
      <c r="S109" s="10">
        <f t="shared" si="2"/>
        <v>5</v>
      </c>
      <c r="T109" s="10" t="str">
        <f t="shared" si="3"/>
        <v>OK</v>
      </c>
      <c r="U109" s="10">
        <f t="shared" si="4"/>
        <v>1</v>
      </c>
      <c r="V109" s="10"/>
      <c r="W109" s="10"/>
      <c r="X109" s="10"/>
      <c r="Y109" s="10"/>
      <c r="Z109" s="10"/>
    </row>
    <row r="110" ht="13.5" customHeight="1">
      <c r="A110" s="3">
        <v>986.0</v>
      </c>
      <c r="B110" s="12">
        <v>40587.0</v>
      </c>
      <c r="C110" s="3">
        <v>1.0</v>
      </c>
      <c r="D110" s="3">
        <v>0.0</v>
      </c>
      <c r="E110" s="3">
        <v>2.0</v>
      </c>
      <c r="F110" s="3">
        <v>17.0</v>
      </c>
      <c r="G110" s="3" t="b">
        <f t="shared" si="15"/>
        <v>0</v>
      </c>
      <c r="H110" s="3">
        <v>0.0</v>
      </c>
      <c r="I110" s="3">
        <v>1.0</v>
      </c>
      <c r="J110" s="3">
        <v>0.42</v>
      </c>
      <c r="K110" s="3">
        <v>0.4242</v>
      </c>
      <c r="L110" s="3">
        <v>0.28</v>
      </c>
      <c r="M110" s="3">
        <v>0.3284</v>
      </c>
      <c r="N110" s="3">
        <v>30.0</v>
      </c>
      <c r="O110" s="3">
        <v>95.0</v>
      </c>
      <c r="P110" s="3">
        <v>125.0</v>
      </c>
      <c r="Q110" s="10"/>
      <c r="R110" s="10" t="str">
        <f t="shared" si="1"/>
        <v>OK</v>
      </c>
      <c r="S110" s="10">
        <f t="shared" si="2"/>
        <v>5</v>
      </c>
      <c r="T110" s="10" t="str">
        <f t="shared" si="3"/>
        <v>OK</v>
      </c>
      <c r="U110" s="10">
        <f t="shared" si="4"/>
        <v>1</v>
      </c>
      <c r="V110" s="10"/>
      <c r="W110" s="10"/>
      <c r="X110" s="10"/>
      <c r="Y110" s="10"/>
      <c r="Z110" s="10"/>
    </row>
    <row r="111" ht="13.5" customHeight="1">
      <c r="A111" s="10">
        <f>dataset_1!A157</f>
        <v>156</v>
      </c>
      <c r="B111" s="11">
        <f>dataset_1!B157</f>
        <v>40550</v>
      </c>
      <c r="C111" s="10">
        <f>dataset_1!C157</f>
        <v>1</v>
      </c>
      <c r="D111" s="10">
        <f>dataset_1!D157</f>
        <v>0</v>
      </c>
      <c r="E111" s="10">
        <f>dataset_1!E157</f>
        <v>1</v>
      </c>
      <c r="F111" s="10">
        <f>dataset_1!F157</f>
        <v>18</v>
      </c>
      <c r="G111" s="10" t="b">
        <f>dataset_1!G157</f>
        <v>0</v>
      </c>
      <c r="H111" s="10">
        <f>dataset_1!H157</f>
        <v>5</v>
      </c>
      <c r="I111" s="10">
        <f>dataset_1!I157</f>
        <v>1</v>
      </c>
      <c r="J111" s="10">
        <f>dataset_1!J157</f>
        <v>0.2</v>
      </c>
      <c r="K111" s="10">
        <f>VLOOKUP(A111,dataset_2!$A$2:$G$611,2,0)</f>
        <v>0.2273</v>
      </c>
      <c r="L111" s="10">
        <f>VLOOKUP(A111,dataset_2!$A$2:$G$611,3,0)</f>
        <v>0.4</v>
      </c>
      <c r="M111" s="10">
        <f>VLOOKUP(A111,dataset_2!$A$2:$G$611,4,0)</f>
        <v>0.0896</v>
      </c>
      <c r="N111" s="10">
        <f>VLOOKUP(A111,dataset_2!$A$2:$G$611,5,0)</f>
        <v>7</v>
      </c>
      <c r="O111" s="10">
        <f>VLOOKUP(A111,dataset_2!$A$2:$G$611,6,0)</f>
        <v>116</v>
      </c>
      <c r="P111" s="10">
        <f>VLOOKUP(A111,dataset_2!$A$2:$G$611,7,0)</f>
        <v>123</v>
      </c>
      <c r="Q111" s="10"/>
      <c r="R111" s="10" t="str">
        <f t="shared" si="1"/>
        <v>OK</v>
      </c>
      <c r="S111" s="10">
        <f t="shared" si="2"/>
        <v>5</v>
      </c>
      <c r="T111" s="10" t="str">
        <f t="shared" si="3"/>
        <v>OK</v>
      </c>
      <c r="U111" s="10">
        <f t="shared" si="4"/>
        <v>1</v>
      </c>
      <c r="V111" s="10"/>
      <c r="W111" s="10"/>
      <c r="X111" s="10"/>
      <c r="Y111" s="10"/>
      <c r="Z111" s="10"/>
    </row>
    <row r="112" ht="13.5" customHeight="1">
      <c r="A112" s="3">
        <v>657.0</v>
      </c>
      <c r="B112" s="12">
        <v>40573.0</v>
      </c>
      <c r="C112" s="3">
        <v>1.0</v>
      </c>
      <c r="D112" s="3">
        <v>0.0</v>
      </c>
      <c r="E112" s="3">
        <v>1.0</v>
      </c>
      <c r="F112" s="3">
        <v>16.0</v>
      </c>
      <c r="G112" s="3" t="b">
        <f t="shared" ref="G112:G114" si="16">FALSE()</f>
        <v>0</v>
      </c>
      <c r="H112" s="3">
        <v>0.0</v>
      </c>
      <c r="I112" s="3">
        <v>1.0</v>
      </c>
      <c r="J112" s="3">
        <v>0.3</v>
      </c>
      <c r="K112" s="3">
        <v>0.3333</v>
      </c>
      <c r="L112" s="3">
        <v>0.56</v>
      </c>
      <c r="M112" s="3">
        <v>0.0</v>
      </c>
      <c r="N112" s="3">
        <v>19.0</v>
      </c>
      <c r="O112" s="3">
        <v>104.0</v>
      </c>
      <c r="P112" s="3">
        <v>123.0</v>
      </c>
      <c r="Q112" s="10"/>
      <c r="R112" s="10" t="str">
        <f t="shared" si="1"/>
        <v>OK</v>
      </c>
      <c r="S112" s="10">
        <f t="shared" si="2"/>
        <v>5</v>
      </c>
      <c r="T112" s="10" t="str">
        <f t="shared" si="3"/>
        <v>OK</v>
      </c>
      <c r="U112" s="10">
        <f t="shared" si="4"/>
        <v>1</v>
      </c>
      <c r="V112" s="10"/>
      <c r="W112" s="10"/>
      <c r="X112" s="10"/>
      <c r="Y112" s="10"/>
      <c r="Z112" s="10"/>
    </row>
    <row r="113" ht="13.5" customHeight="1">
      <c r="A113" s="3">
        <v>721.0</v>
      </c>
      <c r="B113" s="12">
        <v>40576.0</v>
      </c>
      <c r="C113" s="3">
        <v>1.0</v>
      </c>
      <c r="D113" s="3">
        <v>0.0</v>
      </c>
      <c r="E113" s="3">
        <v>2.0</v>
      </c>
      <c r="F113" s="3">
        <v>9.0</v>
      </c>
      <c r="G113" s="3" t="b">
        <f t="shared" si="16"/>
        <v>0</v>
      </c>
      <c r="H113" s="3">
        <v>3.0</v>
      </c>
      <c r="I113" s="3">
        <v>2.0</v>
      </c>
      <c r="J113" s="3">
        <v>0.24</v>
      </c>
      <c r="K113" s="3">
        <v>0.2576</v>
      </c>
      <c r="L113" s="3">
        <v>0.93</v>
      </c>
      <c r="M113" s="3">
        <v>0.0896</v>
      </c>
      <c r="N113" s="3">
        <v>4.0</v>
      </c>
      <c r="O113" s="3">
        <v>119.0</v>
      </c>
      <c r="P113" s="3">
        <v>123.0</v>
      </c>
      <c r="Q113" s="10"/>
      <c r="R113" s="10" t="str">
        <f t="shared" si="1"/>
        <v>OK</v>
      </c>
      <c r="S113" s="10">
        <f t="shared" si="2"/>
        <v>5</v>
      </c>
      <c r="T113" s="10" t="str">
        <f t="shared" si="3"/>
        <v>OK</v>
      </c>
      <c r="U113" s="10">
        <f t="shared" si="4"/>
        <v>1</v>
      </c>
      <c r="V113" s="10"/>
      <c r="W113" s="10"/>
      <c r="X113" s="10"/>
      <c r="Y113" s="10"/>
      <c r="Z113" s="10"/>
    </row>
    <row r="114" ht="13.5" customHeight="1">
      <c r="A114" s="3">
        <v>886.0</v>
      </c>
      <c r="B114" s="12">
        <v>40583.0</v>
      </c>
      <c r="C114" s="3">
        <v>1.0</v>
      </c>
      <c r="D114" s="3">
        <v>0.0</v>
      </c>
      <c r="E114" s="3">
        <v>2.0</v>
      </c>
      <c r="F114" s="3">
        <v>9.0</v>
      </c>
      <c r="G114" s="3" t="b">
        <f t="shared" si="16"/>
        <v>0</v>
      </c>
      <c r="H114" s="3">
        <v>3.0</v>
      </c>
      <c r="I114" s="3">
        <v>1.0</v>
      </c>
      <c r="J114" s="3">
        <v>0.12</v>
      </c>
      <c r="K114" s="3">
        <v>0.1364</v>
      </c>
      <c r="L114" s="3">
        <v>0.39</v>
      </c>
      <c r="M114" s="3">
        <v>0.1642</v>
      </c>
      <c r="N114" s="3">
        <v>4.0</v>
      </c>
      <c r="O114" s="3">
        <v>119.0</v>
      </c>
      <c r="P114" s="3">
        <v>123.0</v>
      </c>
      <c r="Q114" s="10"/>
      <c r="R114" s="10" t="str">
        <f t="shared" si="1"/>
        <v>OK</v>
      </c>
      <c r="S114" s="10">
        <f t="shared" si="2"/>
        <v>5</v>
      </c>
      <c r="T114" s="10" t="str">
        <f t="shared" si="3"/>
        <v>OK</v>
      </c>
      <c r="U114" s="10">
        <f t="shared" si="4"/>
        <v>1</v>
      </c>
      <c r="V114" s="10"/>
      <c r="W114" s="10"/>
      <c r="X114" s="10"/>
      <c r="Y114" s="10"/>
      <c r="Z114" s="10"/>
    </row>
    <row r="115" ht="13.5" customHeight="1">
      <c r="A115" s="10">
        <f>dataset_1!A125</f>
        <v>124</v>
      </c>
      <c r="B115" s="11">
        <f>dataset_1!B125</f>
        <v>40549</v>
      </c>
      <c r="C115" s="10">
        <f>dataset_1!C125</f>
        <v>1</v>
      </c>
      <c r="D115" s="10">
        <f>dataset_1!D125</f>
        <v>0</v>
      </c>
      <c r="E115" s="10">
        <f>dataset_1!E125</f>
        <v>1</v>
      </c>
      <c r="F115" s="10">
        <f>dataset_1!F125</f>
        <v>9</v>
      </c>
      <c r="G115" s="10" t="b">
        <f>dataset_1!G125</f>
        <v>0</v>
      </c>
      <c r="H115" s="10">
        <f>dataset_1!H125</f>
        <v>4</v>
      </c>
      <c r="I115" s="10">
        <f>dataset_1!I125</f>
        <v>2</v>
      </c>
      <c r="J115" s="10">
        <f>dataset_1!J125</f>
        <v>0.18</v>
      </c>
      <c r="K115" s="10">
        <f>VLOOKUP(A115,dataset_2!$A$2:$G$611,2,0)</f>
        <v>0.2424</v>
      </c>
      <c r="L115" s="10">
        <f>VLOOKUP(A115,dataset_2!$A$2:$G$611,3,0)</f>
        <v>0.51</v>
      </c>
      <c r="M115" s="10">
        <f>VLOOKUP(A115,dataset_2!$A$2:$G$611,4,0)</f>
        <v>0</v>
      </c>
      <c r="N115" s="10">
        <f>VLOOKUP(A115,dataset_2!$A$2:$G$611,5,0)</f>
        <v>6</v>
      </c>
      <c r="O115" s="10">
        <f>VLOOKUP(A115,dataset_2!$A$2:$G$611,6,0)</f>
        <v>116</v>
      </c>
      <c r="P115" s="10">
        <f>VLOOKUP(A115,dataset_2!$A$2:$G$611,7,0)</f>
        <v>122</v>
      </c>
      <c r="Q115" s="10"/>
      <c r="R115" s="10" t="str">
        <f t="shared" si="1"/>
        <v>OK</v>
      </c>
      <c r="S115" s="10">
        <f t="shared" si="2"/>
        <v>5</v>
      </c>
      <c r="T115" s="10" t="str">
        <f t="shared" si="3"/>
        <v>OK</v>
      </c>
      <c r="U115" s="10">
        <f t="shared" si="4"/>
        <v>1</v>
      </c>
      <c r="V115" s="10"/>
      <c r="W115" s="10"/>
      <c r="X115" s="10"/>
      <c r="Y115" s="10"/>
      <c r="Z115" s="10"/>
    </row>
    <row r="116" ht="13.5" customHeight="1">
      <c r="A116" s="3">
        <v>655.0</v>
      </c>
      <c r="B116" s="12">
        <v>40573.0</v>
      </c>
      <c r="C116" s="3">
        <v>1.0</v>
      </c>
      <c r="D116" s="3">
        <v>0.0</v>
      </c>
      <c r="E116" s="3">
        <v>1.0</v>
      </c>
      <c r="F116" s="3">
        <v>14.0</v>
      </c>
      <c r="G116" s="3" t="b">
        <f t="shared" ref="G116:G118" si="17">FALSE()</f>
        <v>0</v>
      </c>
      <c r="H116" s="3">
        <v>0.0</v>
      </c>
      <c r="I116" s="3">
        <v>1.0</v>
      </c>
      <c r="J116" s="3">
        <v>0.28</v>
      </c>
      <c r="K116" s="3">
        <v>0.303</v>
      </c>
      <c r="L116" s="3">
        <v>0.61</v>
      </c>
      <c r="M116" s="3">
        <v>0.0896</v>
      </c>
      <c r="N116" s="3">
        <v>18.0</v>
      </c>
      <c r="O116" s="3">
        <v>104.0</v>
      </c>
      <c r="P116" s="3">
        <v>122.0</v>
      </c>
      <c r="Q116" s="10"/>
      <c r="R116" s="10" t="str">
        <f t="shared" si="1"/>
        <v>OK</v>
      </c>
      <c r="S116" s="10">
        <f t="shared" si="2"/>
        <v>5</v>
      </c>
      <c r="T116" s="10" t="str">
        <f t="shared" si="3"/>
        <v>OK</v>
      </c>
      <c r="U116" s="10">
        <f t="shared" si="4"/>
        <v>1</v>
      </c>
      <c r="V116" s="10"/>
      <c r="W116" s="10"/>
      <c r="X116" s="10"/>
      <c r="Y116" s="10"/>
      <c r="Z116" s="10"/>
    </row>
    <row r="117" ht="13.5" customHeight="1">
      <c r="A117" s="3">
        <v>909.0</v>
      </c>
      <c r="B117" s="12">
        <v>40584.0</v>
      </c>
      <c r="C117" s="3">
        <v>1.0</v>
      </c>
      <c r="D117" s="3">
        <v>0.0</v>
      </c>
      <c r="E117" s="3">
        <v>2.0</v>
      </c>
      <c r="F117" s="3">
        <v>9.0</v>
      </c>
      <c r="G117" s="3" t="b">
        <f t="shared" si="17"/>
        <v>0</v>
      </c>
      <c r="H117" s="3">
        <v>4.0</v>
      </c>
      <c r="I117" s="3">
        <v>1.0</v>
      </c>
      <c r="J117" s="3">
        <v>0.12</v>
      </c>
      <c r="K117" s="3">
        <v>0.1061</v>
      </c>
      <c r="L117" s="3">
        <v>0.42</v>
      </c>
      <c r="M117" s="3">
        <v>0.3582</v>
      </c>
      <c r="N117" s="3">
        <v>1.0</v>
      </c>
      <c r="O117" s="3">
        <v>121.0</v>
      </c>
      <c r="P117" s="3">
        <v>122.0</v>
      </c>
      <c r="Q117" s="10"/>
      <c r="R117" s="10" t="str">
        <f t="shared" si="1"/>
        <v>OK</v>
      </c>
      <c r="S117" s="10">
        <f t="shared" si="2"/>
        <v>5</v>
      </c>
      <c r="T117" s="10" t="str">
        <f t="shared" si="3"/>
        <v>OK</v>
      </c>
      <c r="U117" s="10">
        <f t="shared" si="4"/>
        <v>1</v>
      </c>
      <c r="V117" s="10"/>
      <c r="W117" s="10"/>
      <c r="X117" s="10"/>
      <c r="Y117" s="10"/>
      <c r="Z117" s="10"/>
    </row>
    <row r="118" ht="13.5" customHeight="1">
      <c r="A118" s="3">
        <v>823.0</v>
      </c>
      <c r="B118" s="12">
        <v>40580.0</v>
      </c>
      <c r="C118" s="3">
        <v>1.0</v>
      </c>
      <c r="D118" s="3">
        <v>0.0</v>
      </c>
      <c r="E118" s="3">
        <v>2.0</v>
      </c>
      <c r="F118" s="3">
        <v>17.0</v>
      </c>
      <c r="G118" s="3" t="b">
        <f t="shared" si="17"/>
        <v>0</v>
      </c>
      <c r="H118" s="3">
        <v>0.0</v>
      </c>
      <c r="I118" s="3">
        <v>1.0</v>
      </c>
      <c r="J118" s="3">
        <v>0.34</v>
      </c>
      <c r="K118" s="3">
        <v>0.3636</v>
      </c>
      <c r="L118" s="3">
        <v>0.46</v>
      </c>
      <c r="M118" s="3">
        <v>0.0</v>
      </c>
      <c r="N118" s="3">
        <v>24.0</v>
      </c>
      <c r="O118" s="3">
        <v>97.0</v>
      </c>
      <c r="P118" s="3">
        <v>121.0</v>
      </c>
      <c r="Q118" s="10"/>
      <c r="R118" s="10" t="str">
        <f t="shared" si="1"/>
        <v>OK</v>
      </c>
      <c r="S118" s="10">
        <f t="shared" si="2"/>
        <v>5</v>
      </c>
      <c r="T118" s="10" t="str">
        <f t="shared" si="3"/>
        <v>OK</v>
      </c>
      <c r="U118" s="10">
        <f t="shared" si="4"/>
        <v>1</v>
      </c>
      <c r="V118" s="10"/>
      <c r="W118" s="10"/>
      <c r="X118" s="10"/>
      <c r="Y118" s="10"/>
      <c r="Z118" s="10"/>
    </row>
    <row r="119" ht="13.5" customHeight="1">
      <c r="A119" s="10">
        <f>dataset_1!A475</f>
        <v>474</v>
      </c>
      <c r="B119" s="11">
        <f>dataset_1!B475</f>
        <v>40564</v>
      </c>
      <c r="C119" s="10">
        <f>dataset_1!C475</f>
        <v>1</v>
      </c>
      <c r="D119" s="10">
        <f>dataset_1!D475</f>
        <v>0</v>
      </c>
      <c r="E119" s="10">
        <f>dataset_1!E475</f>
        <v>1</v>
      </c>
      <c r="F119" s="10">
        <f>dataset_1!F475</f>
        <v>18</v>
      </c>
      <c r="G119" s="10" t="b">
        <f>dataset_1!G475</f>
        <v>0</v>
      </c>
      <c r="H119" s="10">
        <f>dataset_1!H475</f>
        <v>5</v>
      </c>
      <c r="I119" s="10">
        <f>dataset_1!I475</f>
        <v>1</v>
      </c>
      <c r="J119" s="10">
        <f>dataset_1!J475</f>
        <v>0.12</v>
      </c>
      <c r="K119" s="10">
        <f>VLOOKUP(A119,dataset_2!$A$2:$G$611,2,0)</f>
        <v>0.1212</v>
      </c>
      <c r="L119" s="10">
        <f>VLOOKUP(A119,dataset_2!$A$2:$G$611,3,0)</f>
        <v>0.3</v>
      </c>
      <c r="M119" s="10">
        <f>VLOOKUP(A119,dataset_2!$A$2:$G$611,4,0)</f>
        <v>0.2537</v>
      </c>
      <c r="N119" s="10">
        <f>VLOOKUP(A119,dataset_2!$A$2:$G$611,5,0)</f>
        <v>1</v>
      </c>
      <c r="O119" s="10">
        <f>VLOOKUP(A119,dataset_2!$A$2:$G$611,6,0)</f>
        <v>119</v>
      </c>
      <c r="P119" s="10">
        <f>VLOOKUP(A119,dataset_2!$A$2:$G$611,7,0)</f>
        <v>120</v>
      </c>
      <c r="Q119" s="10"/>
      <c r="R119" s="10" t="str">
        <f t="shared" si="1"/>
        <v>OK</v>
      </c>
      <c r="S119" s="10">
        <f t="shared" si="2"/>
        <v>5</v>
      </c>
      <c r="T119" s="10" t="str">
        <f t="shared" si="3"/>
        <v>OK</v>
      </c>
      <c r="U119" s="10">
        <f t="shared" si="4"/>
        <v>1</v>
      </c>
      <c r="V119" s="10"/>
      <c r="W119" s="10"/>
      <c r="X119" s="10"/>
      <c r="Y119" s="10"/>
      <c r="Z119" s="10"/>
    </row>
    <row r="120" ht="13.5" customHeight="1">
      <c r="A120" s="3">
        <v>633.0</v>
      </c>
      <c r="B120" s="12">
        <v>40572.0</v>
      </c>
      <c r="C120" s="3">
        <v>1.0</v>
      </c>
      <c r="D120" s="3">
        <v>0.0</v>
      </c>
      <c r="E120" s="3">
        <v>1.0</v>
      </c>
      <c r="F120" s="3">
        <v>15.0</v>
      </c>
      <c r="G120" s="3" t="b">
        <f t="shared" ref="G120:G122" si="18">FALSE()</f>
        <v>0</v>
      </c>
      <c r="H120" s="3">
        <v>6.0</v>
      </c>
      <c r="I120" s="3">
        <v>1.0</v>
      </c>
      <c r="J120" s="3">
        <v>0.22</v>
      </c>
      <c r="K120" s="3">
        <v>0.2121</v>
      </c>
      <c r="L120" s="3">
        <v>0.69</v>
      </c>
      <c r="M120" s="3">
        <v>0.2537</v>
      </c>
      <c r="N120" s="3">
        <v>22.0</v>
      </c>
      <c r="O120" s="3">
        <v>98.0</v>
      </c>
      <c r="P120" s="3">
        <v>120.0</v>
      </c>
      <c r="Q120" s="10"/>
      <c r="R120" s="10" t="str">
        <f t="shared" si="1"/>
        <v>OK</v>
      </c>
      <c r="S120" s="10">
        <f t="shared" si="2"/>
        <v>5</v>
      </c>
      <c r="T120" s="10" t="str">
        <f t="shared" si="3"/>
        <v>OK</v>
      </c>
      <c r="U120" s="10">
        <f t="shared" si="4"/>
        <v>1</v>
      </c>
      <c r="V120" s="10"/>
      <c r="W120" s="10"/>
      <c r="X120" s="10"/>
      <c r="Y120" s="10"/>
      <c r="Z120" s="10"/>
    </row>
    <row r="121" ht="13.5" customHeight="1">
      <c r="A121" s="3">
        <v>958.0</v>
      </c>
      <c r="B121" s="12">
        <v>40586.0</v>
      </c>
      <c r="C121" s="3">
        <v>1.0</v>
      </c>
      <c r="D121" s="3">
        <v>0.0</v>
      </c>
      <c r="E121" s="3">
        <v>2.0</v>
      </c>
      <c r="F121" s="3">
        <v>12.0</v>
      </c>
      <c r="G121" s="3" t="b">
        <f t="shared" si="18"/>
        <v>0</v>
      </c>
      <c r="H121" s="3">
        <v>6.0</v>
      </c>
      <c r="I121" s="3">
        <v>1.0</v>
      </c>
      <c r="J121" s="3">
        <v>0.3</v>
      </c>
      <c r="K121" s="3">
        <v>0.2727</v>
      </c>
      <c r="L121" s="3">
        <v>0.39</v>
      </c>
      <c r="M121" s="3">
        <v>0.4627</v>
      </c>
      <c r="N121" s="3">
        <v>27.0</v>
      </c>
      <c r="O121" s="3">
        <v>93.0</v>
      </c>
      <c r="P121" s="3">
        <v>120.0</v>
      </c>
      <c r="Q121" s="10"/>
      <c r="R121" s="10" t="str">
        <f t="shared" si="1"/>
        <v>OK</v>
      </c>
      <c r="S121" s="10">
        <f t="shared" si="2"/>
        <v>5</v>
      </c>
      <c r="T121" s="10" t="str">
        <f t="shared" si="3"/>
        <v>OK</v>
      </c>
      <c r="U121" s="10">
        <f t="shared" si="4"/>
        <v>1</v>
      </c>
      <c r="V121" s="10"/>
      <c r="W121" s="10"/>
      <c r="X121" s="10"/>
      <c r="Y121" s="10"/>
      <c r="Z121" s="10"/>
    </row>
    <row r="122" ht="13.5" customHeight="1">
      <c r="A122" s="3">
        <v>960.0</v>
      </c>
      <c r="B122" s="12">
        <v>40586.0</v>
      </c>
      <c r="C122" s="3">
        <v>1.0</v>
      </c>
      <c r="D122" s="3">
        <v>0.0</v>
      </c>
      <c r="E122" s="3">
        <v>2.0</v>
      </c>
      <c r="F122" s="3">
        <v>14.0</v>
      </c>
      <c r="G122" s="3" t="b">
        <f t="shared" si="18"/>
        <v>0</v>
      </c>
      <c r="H122" s="3">
        <v>6.0</v>
      </c>
      <c r="I122" s="3">
        <v>1.0</v>
      </c>
      <c r="J122" s="3">
        <v>0.34</v>
      </c>
      <c r="K122" s="3">
        <v>0.3182</v>
      </c>
      <c r="L122" s="3">
        <v>0.31</v>
      </c>
      <c r="M122" s="3">
        <v>0.2836</v>
      </c>
      <c r="N122" s="3">
        <v>30.0</v>
      </c>
      <c r="O122" s="3">
        <v>90.0</v>
      </c>
      <c r="P122" s="3">
        <v>120.0</v>
      </c>
      <c r="Q122" s="10"/>
      <c r="R122" s="10" t="str">
        <f t="shared" si="1"/>
        <v>OK</v>
      </c>
      <c r="S122" s="10">
        <f t="shared" si="2"/>
        <v>5</v>
      </c>
      <c r="T122" s="10" t="str">
        <f t="shared" si="3"/>
        <v>OK</v>
      </c>
      <c r="U122" s="10">
        <f t="shared" si="4"/>
        <v>1</v>
      </c>
      <c r="V122" s="10"/>
      <c r="W122" s="10"/>
      <c r="X122" s="10"/>
      <c r="Y122" s="10"/>
      <c r="Z122" s="10"/>
    </row>
    <row r="123" ht="13.5" customHeight="1">
      <c r="A123" s="10">
        <f>dataset_1!A569</f>
        <v>568</v>
      </c>
      <c r="B123" s="11">
        <f>dataset_1!B569</f>
        <v>40568</v>
      </c>
      <c r="C123" s="10">
        <f>dataset_1!C569</f>
        <v>1</v>
      </c>
      <c r="D123" s="10">
        <f>dataset_1!D569</f>
        <v>0</v>
      </c>
      <c r="E123" s="10">
        <f>dataset_1!E569</f>
        <v>1</v>
      </c>
      <c r="F123" s="10">
        <f>dataset_1!F569</f>
        <v>20</v>
      </c>
      <c r="G123" s="10" t="b">
        <f>dataset_1!G569</f>
        <v>0</v>
      </c>
      <c r="H123" s="10">
        <f>dataset_1!H569</f>
        <v>2</v>
      </c>
      <c r="I123" s="10">
        <f>dataset_1!I569</f>
        <v>1</v>
      </c>
      <c r="J123" s="10">
        <f>dataset_1!J569</f>
        <v>0.24</v>
      </c>
      <c r="K123" s="10">
        <f>VLOOKUP(A123,dataset_2!$A$2:$G$611,2,0)</f>
        <v>0.2273</v>
      </c>
      <c r="L123" s="10">
        <f>VLOOKUP(A123,dataset_2!$A$2:$G$611,3,0)</f>
        <v>0.65</v>
      </c>
      <c r="M123" s="10">
        <f>VLOOKUP(A123,dataset_2!$A$2:$G$611,4,0)</f>
        <v>0.194</v>
      </c>
      <c r="N123" s="10">
        <f>VLOOKUP(A123,dataset_2!$A$2:$G$611,5,0)</f>
        <v>16</v>
      </c>
      <c r="O123" s="10">
        <f>VLOOKUP(A123,dataset_2!$A$2:$G$611,6,0)</f>
        <v>103</v>
      </c>
      <c r="P123" s="10">
        <f>VLOOKUP(A123,dataset_2!$A$2:$G$611,7,0)</f>
        <v>119</v>
      </c>
      <c r="Q123" s="10"/>
      <c r="R123" s="10" t="str">
        <f t="shared" si="1"/>
        <v>OK</v>
      </c>
      <c r="S123" s="10">
        <f t="shared" si="2"/>
        <v>5</v>
      </c>
      <c r="T123" s="10" t="str">
        <f t="shared" si="3"/>
        <v>OK</v>
      </c>
      <c r="U123" s="10">
        <f t="shared" si="4"/>
        <v>1</v>
      </c>
      <c r="V123" s="10"/>
      <c r="W123" s="10"/>
      <c r="X123" s="10"/>
      <c r="Y123" s="10"/>
      <c r="Z123" s="10"/>
    </row>
    <row r="124" ht="13.5" customHeight="1">
      <c r="A124" s="10">
        <f>dataset_1!A340</f>
        <v>339</v>
      </c>
      <c r="B124" s="11">
        <f>dataset_1!B340</f>
        <v>40558</v>
      </c>
      <c r="C124" s="10">
        <f>dataset_1!C340</f>
        <v>1</v>
      </c>
      <c r="D124" s="10">
        <f>dataset_1!D340</f>
        <v>0</v>
      </c>
      <c r="E124" s="10">
        <f>dataset_1!E340</f>
        <v>1</v>
      </c>
      <c r="F124" s="10">
        <f>dataset_1!F340</f>
        <v>14</v>
      </c>
      <c r="G124" s="10" t="b">
        <f>dataset_1!G340</f>
        <v>0</v>
      </c>
      <c r="H124" s="10">
        <f>dataset_1!H340</f>
        <v>6</v>
      </c>
      <c r="I124" s="10">
        <f>dataset_1!I340</f>
        <v>1</v>
      </c>
      <c r="J124" s="10">
        <f>dataset_1!J340</f>
        <v>0.3</v>
      </c>
      <c r="K124" s="10">
        <f>VLOOKUP(A124,dataset_2!$A$2:$G$611,2,0)</f>
        <v>0.2879</v>
      </c>
      <c r="L124" s="10">
        <f>VLOOKUP(A124,dataset_2!$A$2:$G$611,3,0)</f>
        <v>0.39</v>
      </c>
      <c r="M124" s="10">
        <f>VLOOKUP(A124,dataset_2!$A$2:$G$611,4,0)</f>
        <v>0.2836</v>
      </c>
      <c r="N124" s="10">
        <f>VLOOKUP(A124,dataset_2!$A$2:$G$611,5,0)</f>
        <v>26</v>
      </c>
      <c r="O124" s="10">
        <f>VLOOKUP(A124,dataset_2!$A$2:$G$611,6,0)</f>
        <v>92</v>
      </c>
      <c r="P124" s="10">
        <f>VLOOKUP(A124,dataset_2!$A$2:$G$611,7,0)</f>
        <v>118</v>
      </c>
      <c r="Q124" s="10"/>
      <c r="R124" s="10" t="str">
        <f t="shared" si="1"/>
        <v>OK</v>
      </c>
      <c r="S124" s="10">
        <f t="shared" si="2"/>
        <v>5</v>
      </c>
      <c r="T124" s="10" t="str">
        <f t="shared" si="3"/>
        <v>OK</v>
      </c>
      <c r="U124" s="10">
        <f t="shared" si="4"/>
        <v>1</v>
      </c>
      <c r="V124" s="10"/>
      <c r="W124" s="10"/>
      <c r="X124" s="10"/>
      <c r="Y124" s="10"/>
      <c r="Z124" s="10"/>
    </row>
    <row r="125" ht="13.5" customHeight="1">
      <c r="A125" s="10">
        <f>dataset_1!A363</f>
        <v>362</v>
      </c>
      <c r="B125" s="11">
        <f>dataset_1!B363</f>
        <v>40559</v>
      </c>
      <c r="C125" s="10">
        <f>dataset_1!C363</f>
        <v>1</v>
      </c>
      <c r="D125" s="10">
        <f>dataset_1!D363</f>
        <v>0</v>
      </c>
      <c r="E125" s="10">
        <f>dataset_1!E363</f>
        <v>1</v>
      </c>
      <c r="F125" s="10">
        <f>dataset_1!F363</f>
        <v>13</v>
      </c>
      <c r="G125" s="10" t="b">
        <f>dataset_1!G363</f>
        <v>0</v>
      </c>
      <c r="H125" s="10">
        <f>dataset_1!H363</f>
        <v>0</v>
      </c>
      <c r="I125" s="10">
        <f>dataset_1!I363</f>
        <v>1</v>
      </c>
      <c r="J125" s="10">
        <f>dataset_1!J363</f>
        <v>0.26</v>
      </c>
      <c r="K125" s="10">
        <f>VLOOKUP(A125,dataset_2!$A$2:$G$611,2,0)</f>
        <v>0.2273</v>
      </c>
      <c r="L125" s="10">
        <f>VLOOKUP(A125,dataset_2!$A$2:$G$611,3,0)</f>
        <v>0.35</v>
      </c>
      <c r="M125" s="10">
        <f>VLOOKUP(A125,dataset_2!$A$2:$G$611,4,0)</f>
        <v>0.2985</v>
      </c>
      <c r="N125" s="10">
        <f>VLOOKUP(A125,dataset_2!$A$2:$G$611,5,0)</f>
        <v>23</v>
      </c>
      <c r="O125" s="10">
        <f>VLOOKUP(A125,dataset_2!$A$2:$G$611,6,0)</f>
        <v>95</v>
      </c>
      <c r="P125" s="10">
        <f>VLOOKUP(A125,dataset_2!$A$2:$G$611,7,0)</f>
        <v>118</v>
      </c>
      <c r="Q125" s="10"/>
      <c r="R125" s="10" t="str">
        <f t="shared" si="1"/>
        <v>OK</v>
      </c>
      <c r="S125" s="10">
        <f t="shared" si="2"/>
        <v>5</v>
      </c>
      <c r="T125" s="10" t="str">
        <f t="shared" si="3"/>
        <v>OK</v>
      </c>
      <c r="U125" s="10">
        <f t="shared" si="4"/>
        <v>1</v>
      </c>
      <c r="V125" s="10"/>
      <c r="W125" s="10"/>
      <c r="X125" s="10"/>
      <c r="Y125" s="10"/>
      <c r="Z125" s="10"/>
    </row>
    <row r="126" ht="13.5" customHeight="1">
      <c r="A126" s="3">
        <v>839.0</v>
      </c>
      <c r="B126" s="12">
        <v>40581.0</v>
      </c>
      <c r="C126" s="3">
        <v>1.0</v>
      </c>
      <c r="D126" s="3">
        <v>0.0</v>
      </c>
      <c r="E126" s="3">
        <v>2.0</v>
      </c>
      <c r="F126" s="3">
        <v>9.0</v>
      </c>
      <c r="G126" s="3" t="b">
        <f>FALSE()</f>
        <v>0</v>
      </c>
      <c r="H126" s="3">
        <v>1.0</v>
      </c>
      <c r="I126" s="3">
        <v>1.0</v>
      </c>
      <c r="J126" s="3">
        <v>0.22</v>
      </c>
      <c r="K126" s="3">
        <v>0.2727</v>
      </c>
      <c r="L126" s="3">
        <v>0.8</v>
      </c>
      <c r="M126" s="3">
        <v>0.0</v>
      </c>
      <c r="N126" s="3">
        <v>3.0</v>
      </c>
      <c r="O126" s="3">
        <v>115.0</v>
      </c>
      <c r="P126" s="3">
        <v>118.0</v>
      </c>
      <c r="Q126" s="10"/>
      <c r="R126" s="10" t="str">
        <f t="shared" si="1"/>
        <v>OK</v>
      </c>
      <c r="S126" s="10">
        <f t="shared" si="2"/>
        <v>5</v>
      </c>
      <c r="T126" s="10" t="str">
        <f t="shared" si="3"/>
        <v>OK</v>
      </c>
      <c r="U126" s="10">
        <f t="shared" si="4"/>
        <v>1</v>
      </c>
      <c r="V126" s="10"/>
      <c r="W126" s="10"/>
      <c r="X126" s="10"/>
      <c r="Y126" s="10"/>
      <c r="Z126" s="10"/>
    </row>
    <row r="127" ht="13.5" customHeight="1">
      <c r="A127" s="10">
        <f>dataset_1!A311</f>
        <v>310</v>
      </c>
      <c r="B127" s="11">
        <f>dataset_1!B311</f>
        <v>40557</v>
      </c>
      <c r="C127" s="10">
        <f>dataset_1!C311</f>
        <v>1</v>
      </c>
      <c r="D127" s="10">
        <f>dataset_1!D311</f>
        <v>0</v>
      </c>
      <c r="E127" s="10">
        <f>dataset_1!E311</f>
        <v>1</v>
      </c>
      <c r="F127" s="10">
        <f>dataset_1!F311</f>
        <v>9</v>
      </c>
      <c r="G127" s="10" t="b">
        <f>dataset_1!G311</f>
        <v>0</v>
      </c>
      <c r="H127" s="10">
        <f>dataset_1!H311</f>
        <v>5</v>
      </c>
      <c r="I127" s="10">
        <f>dataset_1!I311</f>
        <v>1</v>
      </c>
      <c r="J127" s="10">
        <f>dataset_1!J311</f>
        <v>0.14</v>
      </c>
      <c r="K127" s="10">
        <f>VLOOKUP(A127,dataset_2!$A$2:$G$611,2,0)</f>
        <v>0.1515</v>
      </c>
      <c r="L127" s="10">
        <f>VLOOKUP(A127,dataset_2!$A$2:$G$611,3,0)</f>
        <v>0.69</v>
      </c>
      <c r="M127" s="10">
        <f>VLOOKUP(A127,dataset_2!$A$2:$G$611,4,0)</f>
        <v>0.1343</v>
      </c>
      <c r="N127" s="10">
        <f>VLOOKUP(A127,dataset_2!$A$2:$G$611,5,0)</f>
        <v>0</v>
      </c>
      <c r="O127" s="10">
        <f>VLOOKUP(A127,dataset_2!$A$2:$G$611,6,0)</f>
        <v>117</v>
      </c>
      <c r="P127" s="10">
        <f>VLOOKUP(A127,dataset_2!$A$2:$G$611,7,0)</f>
        <v>117</v>
      </c>
      <c r="Q127" s="10"/>
      <c r="R127" s="10" t="str">
        <f t="shared" si="1"/>
        <v>OK</v>
      </c>
      <c r="S127" s="10">
        <f t="shared" si="2"/>
        <v>5</v>
      </c>
      <c r="T127" s="10" t="str">
        <f t="shared" si="3"/>
        <v>OK</v>
      </c>
      <c r="U127" s="10">
        <f t="shared" si="4"/>
        <v>1</v>
      </c>
      <c r="V127" s="10"/>
      <c r="W127" s="10"/>
      <c r="X127" s="10"/>
      <c r="Y127" s="10"/>
      <c r="Z127" s="10"/>
    </row>
    <row r="128" ht="13.5" customHeight="1">
      <c r="A128" s="3">
        <v>817.0</v>
      </c>
      <c r="B128" s="12">
        <v>40580.0</v>
      </c>
      <c r="C128" s="3">
        <v>1.0</v>
      </c>
      <c r="D128" s="3">
        <v>0.0</v>
      </c>
      <c r="E128" s="3">
        <v>2.0</v>
      </c>
      <c r="F128" s="3">
        <v>11.0</v>
      </c>
      <c r="G128" s="3" t="b">
        <f>FALSE()</f>
        <v>0</v>
      </c>
      <c r="H128" s="3">
        <v>0.0</v>
      </c>
      <c r="I128" s="3">
        <v>1.0</v>
      </c>
      <c r="J128" s="3">
        <v>0.32</v>
      </c>
      <c r="K128" s="3">
        <v>0.303</v>
      </c>
      <c r="L128" s="3">
        <v>0.49</v>
      </c>
      <c r="M128" s="3">
        <v>0.2537</v>
      </c>
      <c r="N128" s="3">
        <v>28.0</v>
      </c>
      <c r="O128" s="3">
        <v>89.0</v>
      </c>
      <c r="P128" s="3">
        <v>117.0</v>
      </c>
      <c r="Q128" s="10"/>
      <c r="R128" s="10" t="str">
        <f t="shared" si="1"/>
        <v>OK</v>
      </c>
      <c r="S128" s="10">
        <f t="shared" si="2"/>
        <v>5</v>
      </c>
      <c r="T128" s="10" t="str">
        <f t="shared" si="3"/>
        <v>OK</v>
      </c>
      <c r="U128" s="10">
        <f t="shared" si="4"/>
        <v>1</v>
      </c>
      <c r="V128" s="10"/>
      <c r="W128" s="10"/>
      <c r="X128" s="10"/>
      <c r="Y128" s="10"/>
      <c r="Z128" s="10"/>
    </row>
    <row r="129" ht="13.5" customHeight="1">
      <c r="A129" s="10">
        <f>dataset_1!A515</f>
        <v>514</v>
      </c>
      <c r="B129" s="11">
        <f>dataset_1!B515</f>
        <v>40566</v>
      </c>
      <c r="C129" s="10">
        <f>dataset_1!C515</f>
        <v>1</v>
      </c>
      <c r="D129" s="10">
        <f>dataset_1!D515</f>
        <v>0</v>
      </c>
      <c r="E129" s="10">
        <f>dataset_1!E515</f>
        <v>1</v>
      </c>
      <c r="F129" s="10">
        <f>dataset_1!F515</f>
        <v>12</v>
      </c>
      <c r="G129" s="10" t="b">
        <f>dataset_1!G515</f>
        <v>0</v>
      </c>
      <c r="H129" s="10">
        <f>dataset_1!H515</f>
        <v>0</v>
      </c>
      <c r="I129" s="10">
        <f>dataset_1!I515</f>
        <v>1</v>
      </c>
      <c r="J129" s="10">
        <f>dataset_1!J515</f>
        <v>0.16</v>
      </c>
      <c r="K129" s="10">
        <f>VLOOKUP(A129,dataset_2!$A$2:$G$611,2,0)</f>
        <v>0.1212</v>
      </c>
      <c r="L129" s="10">
        <f>VLOOKUP(A129,dataset_2!$A$2:$G$611,3,0)</f>
        <v>0.37</v>
      </c>
      <c r="M129" s="10">
        <f>VLOOKUP(A129,dataset_2!$A$2:$G$611,4,0)</f>
        <v>0.4627</v>
      </c>
      <c r="N129" s="10">
        <f>VLOOKUP(A129,dataset_2!$A$2:$G$611,5,0)</f>
        <v>24</v>
      </c>
      <c r="O129" s="10">
        <f>VLOOKUP(A129,dataset_2!$A$2:$G$611,6,0)</f>
        <v>92</v>
      </c>
      <c r="P129" s="10">
        <f>VLOOKUP(A129,dataset_2!$A$2:$G$611,7,0)</f>
        <v>116</v>
      </c>
      <c r="Q129" s="10"/>
      <c r="R129" s="10" t="str">
        <f t="shared" si="1"/>
        <v>OK</v>
      </c>
      <c r="S129" s="10">
        <f t="shared" si="2"/>
        <v>5</v>
      </c>
      <c r="T129" s="10" t="str">
        <f t="shared" si="3"/>
        <v>OK</v>
      </c>
      <c r="U129" s="10">
        <f t="shared" si="4"/>
        <v>1</v>
      </c>
      <c r="V129" s="10"/>
      <c r="W129" s="10"/>
      <c r="X129" s="10"/>
      <c r="Y129" s="10"/>
      <c r="Z129" s="10"/>
    </row>
    <row r="130" ht="13.5" customHeight="1">
      <c r="A130" s="10">
        <f>dataset_1!A565</f>
        <v>564</v>
      </c>
      <c r="B130" s="11">
        <f>dataset_1!B565</f>
        <v>40568</v>
      </c>
      <c r="C130" s="10">
        <f>dataset_1!C565</f>
        <v>1</v>
      </c>
      <c r="D130" s="10">
        <f>dataset_1!D565</f>
        <v>0</v>
      </c>
      <c r="E130" s="10">
        <f>dataset_1!E565</f>
        <v>1</v>
      </c>
      <c r="F130" s="10">
        <f>dataset_1!F565</f>
        <v>16</v>
      </c>
      <c r="G130" s="10" t="b">
        <f>dataset_1!G565</f>
        <v>0</v>
      </c>
      <c r="H130" s="10">
        <f>dataset_1!H565</f>
        <v>2</v>
      </c>
      <c r="I130" s="10">
        <f>dataset_1!I565</f>
        <v>2</v>
      </c>
      <c r="J130" s="10">
        <f>dataset_1!J565</f>
        <v>0.32</v>
      </c>
      <c r="K130" s="10">
        <f>VLOOKUP(A130,dataset_2!$A$2:$G$611,2,0)</f>
        <v>0.3485</v>
      </c>
      <c r="L130" s="10">
        <f>VLOOKUP(A130,dataset_2!$A$2:$G$611,3,0)</f>
        <v>0.42</v>
      </c>
      <c r="M130" s="10">
        <f>VLOOKUP(A130,dataset_2!$A$2:$G$611,4,0)</f>
        <v>0</v>
      </c>
      <c r="N130" s="10">
        <f>VLOOKUP(A130,dataset_2!$A$2:$G$611,5,0)</f>
        <v>14</v>
      </c>
      <c r="O130" s="10">
        <f>VLOOKUP(A130,dataset_2!$A$2:$G$611,6,0)</f>
        <v>102</v>
      </c>
      <c r="P130" s="10">
        <f>VLOOKUP(A130,dataset_2!$A$2:$G$611,7,0)</f>
        <v>116</v>
      </c>
      <c r="Q130" s="10"/>
      <c r="R130" s="10" t="str">
        <f t="shared" si="1"/>
        <v>OK</v>
      </c>
      <c r="S130" s="10">
        <f t="shared" si="2"/>
        <v>5</v>
      </c>
      <c r="T130" s="10" t="str">
        <f t="shared" si="3"/>
        <v>OK</v>
      </c>
      <c r="U130" s="10">
        <f t="shared" si="4"/>
        <v>1</v>
      </c>
      <c r="V130" s="10"/>
      <c r="W130" s="10"/>
      <c r="X130" s="10"/>
      <c r="Y130" s="10"/>
      <c r="Z130" s="10"/>
    </row>
    <row r="131" ht="13.5" customHeight="1">
      <c r="A131" s="3">
        <v>697.0</v>
      </c>
      <c r="B131" s="12">
        <v>40575.0</v>
      </c>
      <c r="C131" s="3">
        <v>1.0</v>
      </c>
      <c r="D131" s="3">
        <v>0.0</v>
      </c>
      <c r="E131" s="3">
        <v>2.0</v>
      </c>
      <c r="F131" s="3">
        <v>9.0</v>
      </c>
      <c r="G131" s="3" t="b">
        <f>FALSE()</f>
        <v>0</v>
      </c>
      <c r="H131" s="3">
        <v>2.0</v>
      </c>
      <c r="I131" s="3">
        <v>2.0</v>
      </c>
      <c r="J131" s="3">
        <v>0.16</v>
      </c>
      <c r="K131" s="3">
        <v>0.2273</v>
      </c>
      <c r="L131" s="3">
        <v>0.93</v>
      </c>
      <c r="M131" s="3">
        <v>0.0</v>
      </c>
      <c r="N131" s="3">
        <v>2.0</v>
      </c>
      <c r="O131" s="3">
        <v>114.0</v>
      </c>
      <c r="P131" s="3">
        <v>116.0</v>
      </c>
      <c r="Q131" s="10"/>
      <c r="R131" s="10" t="str">
        <f t="shared" si="1"/>
        <v>OK</v>
      </c>
      <c r="S131" s="10">
        <f t="shared" si="2"/>
        <v>5</v>
      </c>
      <c r="T131" s="10" t="str">
        <f t="shared" si="3"/>
        <v>OK</v>
      </c>
      <c r="U131" s="10">
        <f t="shared" si="4"/>
        <v>1</v>
      </c>
      <c r="V131" s="10"/>
      <c r="W131" s="10"/>
      <c r="X131" s="10"/>
      <c r="Y131" s="10"/>
      <c r="Z131" s="10"/>
    </row>
    <row r="132" ht="13.5" customHeight="1">
      <c r="A132" s="10">
        <f>dataset_1!A102</f>
        <v>101</v>
      </c>
      <c r="B132" s="11">
        <f>dataset_1!B102</f>
        <v>40548</v>
      </c>
      <c r="C132" s="10">
        <f>dataset_1!C102</f>
        <v>1</v>
      </c>
      <c r="D132" s="10">
        <f>dataset_1!D102</f>
        <v>0</v>
      </c>
      <c r="E132" s="10">
        <f>dataset_1!E102</f>
        <v>1</v>
      </c>
      <c r="F132" s="10">
        <f>dataset_1!F102</f>
        <v>9</v>
      </c>
      <c r="G132" s="10" t="b">
        <f>dataset_1!G102</f>
        <v>0</v>
      </c>
      <c r="H132" s="10">
        <f>dataset_1!H102</f>
        <v>3</v>
      </c>
      <c r="I132" s="10">
        <f>dataset_1!I102</f>
        <v>1</v>
      </c>
      <c r="J132" s="10">
        <f>dataset_1!J102</f>
        <v>0.22</v>
      </c>
      <c r="K132" s="10">
        <f>VLOOKUP(A132,dataset_2!$A$2:$G$611,2,0)</f>
        <v>0.197</v>
      </c>
      <c r="L132" s="10">
        <f>VLOOKUP(A132,dataset_2!$A$2:$G$611,3,0)</f>
        <v>0.37</v>
      </c>
      <c r="M132" s="10">
        <f>VLOOKUP(A132,dataset_2!$A$2:$G$611,4,0)</f>
        <v>0.3284</v>
      </c>
      <c r="N132" s="10">
        <f>VLOOKUP(A132,dataset_2!$A$2:$G$611,5,0)</f>
        <v>6</v>
      </c>
      <c r="O132" s="10">
        <f>VLOOKUP(A132,dataset_2!$A$2:$G$611,6,0)</f>
        <v>109</v>
      </c>
      <c r="P132" s="10">
        <f>VLOOKUP(A132,dataset_2!$A$2:$G$611,7,0)</f>
        <v>115</v>
      </c>
      <c r="Q132" s="10"/>
      <c r="R132" s="10" t="str">
        <f t="shared" si="1"/>
        <v>OK</v>
      </c>
      <c r="S132" s="10">
        <f t="shared" si="2"/>
        <v>5</v>
      </c>
      <c r="T132" s="10" t="str">
        <f t="shared" si="3"/>
        <v>OK</v>
      </c>
      <c r="U132" s="10">
        <f t="shared" si="4"/>
        <v>1</v>
      </c>
      <c r="V132" s="10"/>
      <c r="W132" s="10"/>
      <c r="X132" s="10"/>
      <c r="Y132" s="10"/>
      <c r="Z132" s="10"/>
    </row>
    <row r="133" ht="13.5" customHeight="1">
      <c r="A133" s="3">
        <v>846.0</v>
      </c>
      <c r="B133" s="12">
        <v>40581.0</v>
      </c>
      <c r="C133" s="3">
        <v>1.0</v>
      </c>
      <c r="D133" s="3">
        <v>0.0</v>
      </c>
      <c r="E133" s="3">
        <v>2.0</v>
      </c>
      <c r="F133" s="3">
        <v>16.0</v>
      </c>
      <c r="G133" s="3" t="b">
        <f t="shared" ref="G133:G134" si="19">FALSE()</f>
        <v>0</v>
      </c>
      <c r="H133" s="3">
        <v>1.0</v>
      </c>
      <c r="I133" s="3">
        <v>2.0</v>
      </c>
      <c r="J133" s="3">
        <v>0.36</v>
      </c>
      <c r="K133" s="3">
        <v>0.3485</v>
      </c>
      <c r="L133" s="3">
        <v>0.57</v>
      </c>
      <c r="M133" s="3">
        <v>0.1343</v>
      </c>
      <c r="N133" s="3">
        <v>16.0</v>
      </c>
      <c r="O133" s="3">
        <v>98.0</v>
      </c>
      <c r="P133" s="3">
        <v>114.0</v>
      </c>
      <c r="Q133" s="10"/>
      <c r="R133" s="10" t="str">
        <f t="shared" si="1"/>
        <v>OK</v>
      </c>
      <c r="S133" s="10">
        <f t="shared" si="2"/>
        <v>5</v>
      </c>
      <c r="T133" s="10" t="str">
        <f t="shared" si="3"/>
        <v>OK</v>
      </c>
      <c r="U133" s="10">
        <f t="shared" si="4"/>
        <v>1</v>
      </c>
      <c r="V133" s="10"/>
      <c r="W133" s="10"/>
      <c r="X133" s="10"/>
      <c r="Y133" s="10"/>
      <c r="Z133" s="10"/>
    </row>
    <row r="134" ht="13.5" customHeight="1">
      <c r="A134" s="3">
        <v>957.0</v>
      </c>
      <c r="B134" s="12">
        <v>40586.0</v>
      </c>
      <c r="C134" s="3">
        <v>1.0</v>
      </c>
      <c r="D134" s="3">
        <v>0.0</v>
      </c>
      <c r="E134" s="3">
        <v>2.0</v>
      </c>
      <c r="F134" s="3">
        <v>11.0</v>
      </c>
      <c r="G134" s="3" t="b">
        <f t="shared" si="19"/>
        <v>0</v>
      </c>
      <c r="H134" s="3">
        <v>6.0</v>
      </c>
      <c r="I134" s="3">
        <v>1.0</v>
      </c>
      <c r="J134" s="3">
        <v>0.3</v>
      </c>
      <c r="K134" s="3">
        <v>0.2727</v>
      </c>
      <c r="L134" s="3">
        <v>0.28</v>
      </c>
      <c r="M134" s="3">
        <v>0.3284</v>
      </c>
      <c r="N134" s="3">
        <v>30.0</v>
      </c>
      <c r="O134" s="3">
        <v>84.0</v>
      </c>
      <c r="P134" s="3">
        <v>114.0</v>
      </c>
      <c r="Q134" s="10"/>
      <c r="R134" s="10" t="str">
        <f t="shared" si="1"/>
        <v>OK</v>
      </c>
      <c r="S134" s="10">
        <f t="shared" si="2"/>
        <v>5</v>
      </c>
      <c r="T134" s="10" t="str">
        <f t="shared" si="3"/>
        <v>OK</v>
      </c>
      <c r="U134" s="10">
        <f t="shared" si="4"/>
        <v>1</v>
      </c>
      <c r="V134" s="10"/>
      <c r="W134" s="10"/>
      <c r="X134" s="10"/>
      <c r="Y134" s="10"/>
      <c r="Z134" s="10"/>
    </row>
    <row r="135" ht="13.5" customHeight="1">
      <c r="A135" s="10">
        <f>dataset_1!A365</f>
        <v>364</v>
      </c>
      <c r="B135" s="11">
        <f>dataset_1!B365</f>
        <v>40559</v>
      </c>
      <c r="C135" s="10">
        <f>dataset_1!C365</f>
        <v>1</v>
      </c>
      <c r="D135" s="10">
        <f>dataset_1!D365</f>
        <v>0</v>
      </c>
      <c r="E135" s="10">
        <f>dataset_1!E365</f>
        <v>1</v>
      </c>
      <c r="F135" s="10">
        <f>dataset_1!F365</f>
        <v>15</v>
      </c>
      <c r="G135" s="10" t="b">
        <f>dataset_1!G365</f>
        <v>0</v>
      </c>
      <c r="H135" s="10">
        <f>dataset_1!H365</f>
        <v>0</v>
      </c>
      <c r="I135" s="10">
        <f>dataset_1!I365</f>
        <v>1</v>
      </c>
      <c r="J135" s="10">
        <f>dataset_1!J365</f>
        <v>0.26</v>
      </c>
      <c r="K135" s="10">
        <f>VLOOKUP(A135,dataset_2!$A$2:$G$611,2,0)</f>
        <v>0.2424</v>
      </c>
      <c r="L135" s="10">
        <f>VLOOKUP(A135,dataset_2!$A$2:$G$611,3,0)</f>
        <v>0.38</v>
      </c>
      <c r="M135" s="10">
        <f>VLOOKUP(A135,dataset_2!$A$2:$G$611,4,0)</f>
        <v>0.2537</v>
      </c>
      <c r="N135" s="10">
        <f>VLOOKUP(A135,dataset_2!$A$2:$G$611,5,0)</f>
        <v>35</v>
      </c>
      <c r="O135" s="10">
        <f>VLOOKUP(A135,dataset_2!$A$2:$G$611,6,0)</f>
        <v>78</v>
      </c>
      <c r="P135" s="10">
        <f>VLOOKUP(A135,dataset_2!$A$2:$G$611,7,0)</f>
        <v>113</v>
      </c>
      <c r="Q135" s="10"/>
      <c r="R135" s="10" t="str">
        <f t="shared" si="1"/>
        <v>OK</v>
      </c>
      <c r="S135" s="10">
        <f t="shared" si="2"/>
        <v>5</v>
      </c>
      <c r="T135" s="10" t="str">
        <f t="shared" si="3"/>
        <v>OK</v>
      </c>
      <c r="U135" s="10">
        <f t="shared" si="4"/>
        <v>1</v>
      </c>
      <c r="V135" s="10"/>
      <c r="W135" s="10"/>
      <c r="X135" s="10"/>
      <c r="Y135" s="10"/>
      <c r="Z135" s="10"/>
    </row>
    <row r="136" ht="13.5" customHeight="1">
      <c r="A136" s="10">
        <f>dataset_1!A89</f>
        <v>88</v>
      </c>
      <c r="B136" s="11">
        <f>dataset_1!B89</f>
        <v>40547</v>
      </c>
      <c r="C136" s="10">
        <f>dataset_1!C89</f>
        <v>1</v>
      </c>
      <c r="D136" s="10">
        <f>dataset_1!D89</f>
        <v>0</v>
      </c>
      <c r="E136" s="10">
        <f>dataset_1!E89</f>
        <v>1</v>
      </c>
      <c r="F136" s="10">
        <f>dataset_1!F89</f>
        <v>19</v>
      </c>
      <c r="G136" s="10" t="b">
        <f>dataset_1!G89</f>
        <v>0</v>
      </c>
      <c r="H136" s="10">
        <f>dataset_1!H89</f>
        <v>2</v>
      </c>
      <c r="I136" s="10">
        <f>dataset_1!I89</f>
        <v>1</v>
      </c>
      <c r="J136" s="10">
        <f>dataset_1!J89</f>
        <v>0.24</v>
      </c>
      <c r="K136" s="10">
        <f>VLOOKUP(A136,dataset_2!$A$2:$G$611,2,0)</f>
        <v>0.2576</v>
      </c>
      <c r="L136" s="10">
        <f>VLOOKUP(A136,dataset_2!$A$2:$G$611,3,0)</f>
        <v>0.48</v>
      </c>
      <c r="M136" s="10">
        <f>VLOOKUP(A136,dataset_2!$A$2:$G$611,4,0)</f>
        <v>0.1045</v>
      </c>
      <c r="N136" s="10">
        <f>VLOOKUP(A136,dataset_2!$A$2:$G$611,5,0)</f>
        <v>2</v>
      </c>
      <c r="O136" s="10">
        <f>VLOOKUP(A136,dataset_2!$A$2:$G$611,6,0)</f>
        <v>110</v>
      </c>
      <c r="P136" s="10">
        <f>VLOOKUP(A136,dataset_2!$A$2:$G$611,7,0)</f>
        <v>112</v>
      </c>
      <c r="Q136" s="10"/>
      <c r="R136" s="10" t="str">
        <f t="shared" si="1"/>
        <v>OK</v>
      </c>
      <c r="S136" s="10">
        <f t="shared" si="2"/>
        <v>5</v>
      </c>
      <c r="T136" s="10" t="str">
        <f t="shared" si="3"/>
        <v>OK</v>
      </c>
      <c r="U136" s="10">
        <f t="shared" si="4"/>
        <v>1</v>
      </c>
      <c r="V136" s="10"/>
      <c r="W136" s="10"/>
      <c r="X136" s="10"/>
      <c r="Y136" s="10"/>
      <c r="Z136" s="10"/>
    </row>
    <row r="137" ht="13.5" customHeight="1">
      <c r="A137" s="10">
        <f>dataset_1!A135</f>
        <v>134</v>
      </c>
      <c r="B137" s="11">
        <f>dataset_1!B135</f>
        <v>40549</v>
      </c>
      <c r="C137" s="10">
        <f>dataset_1!C135</f>
        <v>1</v>
      </c>
      <c r="D137" s="10">
        <f>dataset_1!D135</f>
        <v>0</v>
      </c>
      <c r="E137" s="10">
        <f>dataset_1!E135</f>
        <v>1</v>
      </c>
      <c r="F137" s="10">
        <f>dataset_1!F135</f>
        <v>19</v>
      </c>
      <c r="G137" s="10" t="b">
        <f>dataset_1!G135</f>
        <v>0</v>
      </c>
      <c r="H137" s="10">
        <f>dataset_1!H135</f>
        <v>4</v>
      </c>
      <c r="I137" s="10">
        <f>dataset_1!I135</f>
        <v>1</v>
      </c>
      <c r="J137" s="10">
        <f>dataset_1!J135</f>
        <v>0.22</v>
      </c>
      <c r="K137" s="10">
        <f>VLOOKUP(A137,dataset_2!$A$2:$G$611,2,0)</f>
        <v>0.2576</v>
      </c>
      <c r="L137" s="10">
        <f>VLOOKUP(A137,dataset_2!$A$2:$G$611,3,0)</f>
        <v>0.55</v>
      </c>
      <c r="M137" s="10">
        <f>VLOOKUP(A137,dataset_2!$A$2:$G$611,4,0)</f>
        <v>0.0896</v>
      </c>
      <c r="N137" s="10">
        <f>VLOOKUP(A137,dataset_2!$A$2:$G$611,5,0)</f>
        <v>3</v>
      </c>
      <c r="O137" s="10">
        <f>VLOOKUP(A137,dataset_2!$A$2:$G$611,6,0)</f>
        <v>109</v>
      </c>
      <c r="P137" s="10">
        <f>VLOOKUP(A137,dataset_2!$A$2:$G$611,7,0)</f>
        <v>112</v>
      </c>
      <c r="Q137" s="10"/>
      <c r="R137" s="10" t="str">
        <f t="shared" si="1"/>
        <v>OK</v>
      </c>
      <c r="S137" s="10">
        <f t="shared" si="2"/>
        <v>5</v>
      </c>
      <c r="T137" s="10" t="str">
        <f t="shared" si="3"/>
        <v>OK</v>
      </c>
      <c r="U137" s="10">
        <f t="shared" si="4"/>
        <v>1</v>
      </c>
      <c r="V137" s="10"/>
      <c r="W137" s="10"/>
      <c r="X137" s="10"/>
      <c r="Y137" s="10"/>
      <c r="Z137" s="10"/>
    </row>
    <row r="138" ht="13.5" customHeight="1">
      <c r="A138" s="10">
        <f>dataset_1!A428</f>
        <v>427</v>
      </c>
      <c r="B138" s="11">
        <f>dataset_1!B428</f>
        <v>40562</v>
      </c>
      <c r="C138" s="10">
        <f>dataset_1!C428</f>
        <v>1</v>
      </c>
      <c r="D138" s="10">
        <f>dataset_1!D428</f>
        <v>0</v>
      </c>
      <c r="E138" s="10">
        <f>dataset_1!E428</f>
        <v>1</v>
      </c>
      <c r="F138" s="10">
        <f>dataset_1!F428</f>
        <v>19</v>
      </c>
      <c r="G138" s="10" t="b">
        <f>dataset_1!G428</f>
        <v>0</v>
      </c>
      <c r="H138" s="10">
        <f>dataset_1!H428</f>
        <v>3</v>
      </c>
      <c r="I138" s="10">
        <f>dataset_1!I428</f>
        <v>1</v>
      </c>
      <c r="J138" s="10">
        <f>dataset_1!J428</f>
        <v>0.32</v>
      </c>
      <c r="K138" s="10">
        <f>VLOOKUP(A138,dataset_2!$A$2:$G$611,2,0)</f>
        <v>0.2879</v>
      </c>
      <c r="L138" s="10">
        <f>VLOOKUP(A138,dataset_2!$A$2:$G$611,3,0)</f>
        <v>0.57</v>
      </c>
      <c r="M138" s="10">
        <f>VLOOKUP(A138,dataset_2!$A$2:$G$611,4,0)</f>
        <v>0.4179</v>
      </c>
      <c r="N138" s="10">
        <f>VLOOKUP(A138,dataset_2!$A$2:$G$611,5,0)</f>
        <v>4</v>
      </c>
      <c r="O138" s="10">
        <f>VLOOKUP(A138,dataset_2!$A$2:$G$611,6,0)</f>
        <v>108</v>
      </c>
      <c r="P138" s="10">
        <f>VLOOKUP(A138,dataset_2!$A$2:$G$611,7,0)</f>
        <v>112</v>
      </c>
      <c r="Q138" s="10"/>
      <c r="R138" s="10" t="str">
        <f t="shared" si="1"/>
        <v>OK</v>
      </c>
      <c r="S138" s="10">
        <f t="shared" si="2"/>
        <v>5</v>
      </c>
      <c r="T138" s="10" t="str">
        <f t="shared" si="3"/>
        <v>OK</v>
      </c>
      <c r="U138" s="10">
        <f t="shared" si="4"/>
        <v>1</v>
      </c>
      <c r="V138" s="10"/>
      <c r="W138" s="10"/>
      <c r="X138" s="10"/>
      <c r="Y138" s="10"/>
      <c r="Z138" s="10"/>
    </row>
    <row r="139" ht="13.5" customHeight="1">
      <c r="A139" s="3">
        <v>674.0</v>
      </c>
      <c r="B139" s="12">
        <v>40574.0</v>
      </c>
      <c r="C139" s="3">
        <v>1.0</v>
      </c>
      <c r="D139" s="3">
        <v>0.0</v>
      </c>
      <c r="E139" s="3">
        <v>1.0</v>
      </c>
      <c r="F139" s="3">
        <v>9.0</v>
      </c>
      <c r="G139" s="3" t="b">
        <f t="shared" ref="G139:G142" si="20">FALSE()</f>
        <v>0</v>
      </c>
      <c r="H139" s="3">
        <v>1.0</v>
      </c>
      <c r="I139" s="3">
        <v>2.0</v>
      </c>
      <c r="J139" s="3">
        <v>0.16</v>
      </c>
      <c r="K139" s="3">
        <v>0.1364</v>
      </c>
      <c r="L139" s="3">
        <v>0.59</v>
      </c>
      <c r="M139" s="3">
        <v>0.2985</v>
      </c>
      <c r="N139" s="3">
        <v>0.0</v>
      </c>
      <c r="O139" s="3">
        <v>112.0</v>
      </c>
      <c r="P139" s="3">
        <v>112.0</v>
      </c>
      <c r="Q139" s="10"/>
      <c r="R139" s="10" t="str">
        <f t="shared" si="1"/>
        <v>OK</v>
      </c>
      <c r="S139" s="10">
        <f t="shared" si="2"/>
        <v>5</v>
      </c>
      <c r="T139" s="10" t="str">
        <f t="shared" si="3"/>
        <v>OK</v>
      </c>
      <c r="U139" s="10">
        <f t="shared" si="4"/>
        <v>1</v>
      </c>
      <c r="V139" s="10"/>
      <c r="W139" s="10"/>
      <c r="X139" s="10"/>
      <c r="Y139" s="10"/>
      <c r="Z139" s="10"/>
    </row>
    <row r="140" ht="13.5" customHeight="1">
      <c r="A140" s="3">
        <v>919.0</v>
      </c>
      <c r="B140" s="12">
        <v>40584.0</v>
      </c>
      <c r="C140" s="3">
        <v>1.0</v>
      </c>
      <c r="D140" s="3">
        <v>0.0</v>
      </c>
      <c r="E140" s="3">
        <v>2.0</v>
      </c>
      <c r="F140" s="3">
        <v>19.0</v>
      </c>
      <c r="G140" s="3" t="b">
        <f t="shared" si="20"/>
        <v>0</v>
      </c>
      <c r="H140" s="3">
        <v>4.0</v>
      </c>
      <c r="I140" s="3">
        <v>1.0</v>
      </c>
      <c r="J140" s="3">
        <v>0.14</v>
      </c>
      <c r="K140" s="3">
        <v>0.1667</v>
      </c>
      <c r="L140" s="3">
        <v>0.28</v>
      </c>
      <c r="M140" s="3">
        <v>0.1045</v>
      </c>
      <c r="N140" s="3">
        <v>2.0</v>
      </c>
      <c r="O140" s="3">
        <v>110.0</v>
      </c>
      <c r="P140" s="3">
        <v>112.0</v>
      </c>
      <c r="Q140" s="10"/>
      <c r="R140" s="10" t="str">
        <f t="shared" si="1"/>
        <v>OK</v>
      </c>
      <c r="S140" s="10">
        <f t="shared" si="2"/>
        <v>5</v>
      </c>
      <c r="T140" s="10" t="str">
        <f t="shared" si="3"/>
        <v>OK</v>
      </c>
      <c r="U140" s="10">
        <f t="shared" si="4"/>
        <v>1</v>
      </c>
      <c r="V140" s="10"/>
      <c r="W140" s="10"/>
      <c r="X140" s="10"/>
      <c r="Y140" s="10"/>
      <c r="Z140" s="10"/>
    </row>
    <row r="141" ht="13.5" customHeight="1">
      <c r="A141" s="3">
        <v>980.0</v>
      </c>
      <c r="B141" s="12">
        <v>40587.0</v>
      </c>
      <c r="C141" s="3">
        <v>1.0</v>
      </c>
      <c r="D141" s="3">
        <v>0.0</v>
      </c>
      <c r="E141" s="3">
        <v>2.0</v>
      </c>
      <c r="F141" s="3">
        <v>11.0</v>
      </c>
      <c r="G141" s="3" t="b">
        <f t="shared" si="20"/>
        <v>0</v>
      </c>
      <c r="H141" s="3">
        <v>0.0</v>
      </c>
      <c r="I141" s="3">
        <v>1.0</v>
      </c>
      <c r="J141" s="3">
        <v>0.32</v>
      </c>
      <c r="K141" s="3">
        <v>0.2879</v>
      </c>
      <c r="L141" s="3">
        <v>0.39</v>
      </c>
      <c r="M141" s="3">
        <v>0.4478</v>
      </c>
      <c r="N141" s="3">
        <v>26.0</v>
      </c>
      <c r="O141" s="3">
        <v>86.0</v>
      </c>
      <c r="P141" s="3">
        <v>112.0</v>
      </c>
      <c r="Q141" s="10"/>
      <c r="R141" s="10" t="str">
        <f t="shared" si="1"/>
        <v>OK</v>
      </c>
      <c r="S141" s="10">
        <f t="shared" si="2"/>
        <v>5</v>
      </c>
      <c r="T141" s="10" t="str">
        <f t="shared" si="3"/>
        <v>OK</v>
      </c>
      <c r="U141" s="10">
        <f t="shared" si="4"/>
        <v>1</v>
      </c>
      <c r="V141" s="10"/>
      <c r="W141" s="10"/>
      <c r="X141" s="10"/>
      <c r="Y141" s="10"/>
      <c r="Z141" s="10"/>
    </row>
    <row r="142" ht="13.5" customHeight="1">
      <c r="A142" s="3">
        <v>684.0</v>
      </c>
      <c r="B142" s="12">
        <v>40574.0</v>
      </c>
      <c r="C142" s="3">
        <v>1.0</v>
      </c>
      <c r="D142" s="3">
        <v>0.0</v>
      </c>
      <c r="E142" s="3">
        <v>1.0</v>
      </c>
      <c r="F142" s="3">
        <v>19.0</v>
      </c>
      <c r="G142" s="3" t="b">
        <f t="shared" si="20"/>
        <v>0</v>
      </c>
      <c r="H142" s="3">
        <v>1.0</v>
      </c>
      <c r="I142" s="3">
        <v>1.0</v>
      </c>
      <c r="J142" s="3">
        <v>0.3</v>
      </c>
      <c r="K142" s="3">
        <v>0.3182</v>
      </c>
      <c r="L142" s="3">
        <v>0.61</v>
      </c>
      <c r="M142" s="3">
        <v>0.1045</v>
      </c>
      <c r="N142" s="3">
        <v>3.0</v>
      </c>
      <c r="O142" s="3">
        <v>108.0</v>
      </c>
      <c r="P142" s="3">
        <v>111.0</v>
      </c>
      <c r="Q142" s="10"/>
      <c r="R142" s="10" t="str">
        <f t="shared" si="1"/>
        <v>OK</v>
      </c>
      <c r="S142" s="10">
        <f t="shared" si="2"/>
        <v>5</v>
      </c>
      <c r="T142" s="10" t="str">
        <f t="shared" si="3"/>
        <v>OK</v>
      </c>
      <c r="U142" s="10">
        <f t="shared" si="4"/>
        <v>1</v>
      </c>
      <c r="V142" s="10"/>
      <c r="W142" s="10"/>
      <c r="X142" s="10"/>
      <c r="Y142" s="10"/>
      <c r="Z142" s="10"/>
    </row>
    <row r="143" ht="13.5" customHeight="1">
      <c r="A143" s="10">
        <f>dataset_1!A17</f>
        <v>16</v>
      </c>
      <c r="B143" s="11">
        <f>dataset_1!B17</f>
        <v>40544</v>
      </c>
      <c r="C143" s="10">
        <f>dataset_1!C17</f>
        <v>1</v>
      </c>
      <c r="D143" s="10">
        <f>dataset_1!D17</f>
        <v>0</v>
      </c>
      <c r="E143" s="10">
        <f>dataset_1!E17</f>
        <v>1</v>
      </c>
      <c r="F143" s="10">
        <f>dataset_1!F17</f>
        <v>15</v>
      </c>
      <c r="G143" s="10" t="b">
        <f>dataset_1!G17</f>
        <v>0</v>
      </c>
      <c r="H143" s="10">
        <f>dataset_1!H17</f>
        <v>6</v>
      </c>
      <c r="I143" s="10">
        <f>dataset_1!I17</f>
        <v>2</v>
      </c>
      <c r="J143" s="10">
        <f>dataset_1!J17</f>
        <v>0.44</v>
      </c>
      <c r="K143" s="10">
        <f>VLOOKUP(A143,dataset_2!$A$2:$G$611,2,0)</f>
        <v>0.4394</v>
      </c>
      <c r="L143" s="10">
        <f>VLOOKUP(A143,dataset_2!$A$2:$G$611,3,0)</f>
        <v>0.77</v>
      </c>
      <c r="M143" s="10">
        <f>VLOOKUP(A143,dataset_2!$A$2:$G$611,4,0)</f>
        <v>0.2985</v>
      </c>
      <c r="N143" s="10">
        <f>VLOOKUP(A143,dataset_2!$A$2:$G$611,5,0)</f>
        <v>40</v>
      </c>
      <c r="O143" s="10">
        <f>VLOOKUP(A143,dataset_2!$A$2:$G$611,6,0)</f>
        <v>70</v>
      </c>
      <c r="P143" s="10">
        <f>VLOOKUP(A143,dataset_2!$A$2:$G$611,7,0)</f>
        <v>110</v>
      </c>
      <c r="Q143" s="10"/>
      <c r="R143" s="10" t="str">
        <f t="shared" si="1"/>
        <v>OK</v>
      </c>
      <c r="S143" s="10">
        <f t="shared" si="2"/>
        <v>5</v>
      </c>
      <c r="T143" s="10" t="str">
        <f t="shared" si="3"/>
        <v>OK</v>
      </c>
      <c r="U143" s="10">
        <f t="shared" si="4"/>
        <v>1</v>
      </c>
      <c r="V143" s="10"/>
      <c r="W143" s="10"/>
      <c r="X143" s="10"/>
      <c r="Y143" s="10"/>
      <c r="Z143" s="10"/>
    </row>
    <row r="144" ht="13.5" customHeight="1">
      <c r="A144" s="10">
        <f>dataset_1!A66</f>
        <v>65</v>
      </c>
      <c r="B144" s="11">
        <f>dataset_1!B66</f>
        <v>40546</v>
      </c>
      <c r="C144" s="10">
        <f>dataset_1!C66</f>
        <v>1</v>
      </c>
      <c r="D144" s="10">
        <f>dataset_1!D66</f>
        <v>0</v>
      </c>
      <c r="E144" s="10">
        <f>dataset_1!E66</f>
        <v>1</v>
      </c>
      <c r="F144" s="10">
        <f>dataset_1!F66</f>
        <v>19</v>
      </c>
      <c r="G144" s="10" t="b">
        <f>dataset_1!G66</f>
        <v>0</v>
      </c>
      <c r="H144" s="10">
        <f>dataset_1!H66</f>
        <v>1</v>
      </c>
      <c r="I144" s="10">
        <f>dataset_1!I66</f>
        <v>1</v>
      </c>
      <c r="J144" s="10">
        <f>dataset_1!J66</f>
        <v>0.2</v>
      </c>
      <c r="K144" s="10">
        <f>VLOOKUP(A144,dataset_2!$A$2:$G$611,2,0)</f>
        <v>0.2576</v>
      </c>
      <c r="L144" s="10">
        <f>VLOOKUP(A144,dataset_2!$A$2:$G$611,3,0)</f>
        <v>0.47</v>
      </c>
      <c r="M144" s="10">
        <f>VLOOKUP(A144,dataset_2!$A$2:$G$611,4,0)</f>
        <v>0</v>
      </c>
      <c r="N144" s="10">
        <f>VLOOKUP(A144,dataset_2!$A$2:$G$611,5,0)</f>
        <v>8</v>
      </c>
      <c r="O144" s="10">
        <f>VLOOKUP(A144,dataset_2!$A$2:$G$611,6,0)</f>
        <v>102</v>
      </c>
      <c r="P144" s="10">
        <f>VLOOKUP(A144,dataset_2!$A$2:$G$611,7,0)</f>
        <v>110</v>
      </c>
      <c r="Q144" s="10"/>
      <c r="R144" s="10" t="str">
        <f t="shared" si="1"/>
        <v>OK</v>
      </c>
      <c r="S144" s="10">
        <f t="shared" si="2"/>
        <v>5</v>
      </c>
      <c r="T144" s="10" t="str">
        <f t="shared" si="3"/>
        <v>OK</v>
      </c>
      <c r="U144" s="10">
        <f t="shared" si="4"/>
        <v>1</v>
      </c>
      <c r="V144" s="10"/>
      <c r="W144" s="10"/>
      <c r="X144" s="10"/>
      <c r="Y144" s="10"/>
      <c r="Z144" s="10"/>
    </row>
    <row r="145" ht="13.5" customHeight="1">
      <c r="A145" s="10">
        <f>dataset_1!A517</f>
        <v>516</v>
      </c>
      <c r="B145" s="11">
        <f>dataset_1!B517</f>
        <v>40566</v>
      </c>
      <c r="C145" s="10">
        <f>dataset_1!C517</f>
        <v>1</v>
      </c>
      <c r="D145" s="10">
        <f>dataset_1!D517</f>
        <v>0</v>
      </c>
      <c r="E145" s="10">
        <f>dataset_1!E517</f>
        <v>1</v>
      </c>
      <c r="F145" s="10">
        <f>dataset_1!F517</f>
        <v>14</v>
      </c>
      <c r="G145" s="10" t="b">
        <f>dataset_1!G517</f>
        <v>0</v>
      </c>
      <c r="H145" s="10">
        <f>dataset_1!H517</f>
        <v>0</v>
      </c>
      <c r="I145" s="10">
        <f>dataset_1!I517</f>
        <v>1</v>
      </c>
      <c r="J145" s="10">
        <f>dataset_1!J517</f>
        <v>0.16</v>
      </c>
      <c r="K145" s="10">
        <f>VLOOKUP(A145,dataset_2!$A$2:$G$611,2,0)</f>
        <v>0.1364</v>
      </c>
      <c r="L145" s="10">
        <f>VLOOKUP(A145,dataset_2!$A$2:$G$611,3,0)</f>
        <v>0.28</v>
      </c>
      <c r="M145" s="10">
        <f>VLOOKUP(A145,dataset_2!$A$2:$G$611,4,0)</f>
        <v>0.3582</v>
      </c>
      <c r="N145" s="10">
        <f>VLOOKUP(A145,dataset_2!$A$2:$G$611,5,0)</f>
        <v>17</v>
      </c>
      <c r="O145" s="10">
        <f>VLOOKUP(A145,dataset_2!$A$2:$G$611,6,0)</f>
        <v>93</v>
      </c>
      <c r="P145" s="10">
        <f>VLOOKUP(A145,dataset_2!$A$2:$G$611,7,0)</f>
        <v>110</v>
      </c>
      <c r="Q145" s="10"/>
      <c r="R145" s="10" t="str">
        <f t="shared" si="1"/>
        <v>OK</v>
      </c>
      <c r="S145" s="10">
        <f t="shared" si="2"/>
        <v>5</v>
      </c>
      <c r="T145" s="10" t="str">
        <f t="shared" si="3"/>
        <v>OK</v>
      </c>
      <c r="U145" s="10">
        <f t="shared" si="4"/>
        <v>1</v>
      </c>
      <c r="V145" s="10"/>
      <c r="W145" s="10"/>
      <c r="X145" s="10"/>
      <c r="Y145" s="10"/>
      <c r="Z145" s="10"/>
    </row>
    <row r="146" ht="13.5" customHeight="1">
      <c r="A146" s="3">
        <v>935.0</v>
      </c>
      <c r="B146" s="12">
        <v>40585.0</v>
      </c>
      <c r="C146" s="3">
        <v>1.0</v>
      </c>
      <c r="D146" s="3">
        <v>0.0</v>
      </c>
      <c r="E146" s="3">
        <v>2.0</v>
      </c>
      <c r="F146" s="3">
        <v>13.0</v>
      </c>
      <c r="G146" s="3" t="b">
        <f>FALSE()</f>
        <v>0</v>
      </c>
      <c r="H146" s="3">
        <v>5.0</v>
      </c>
      <c r="I146" s="3">
        <v>1.0</v>
      </c>
      <c r="J146" s="3">
        <v>0.24</v>
      </c>
      <c r="K146" s="3">
        <v>0.2273</v>
      </c>
      <c r="L146" s="3">
        <v>0.35</v>
      </c>
      <c r="M146" s="3">
        <v>0.194</v>
      </c>
      <c r="N146" s="3">
        <v>21.0</v>
      </c>
      <c r="O146" s="3">
        <v>89.0</v>
      </c>
      <c r="P146" s="3">
        <v>110.0</v>
      </c>
      <c r="Q146" s="10"/>
      <c r="R146" s="10" t="str">
        <f t="shared" si="1"/>
        <v>OK</v>
      </c>
      <c r="S146" s="10">
        <f t="shared" si="2"/>
        <v>5</v>
      </c>
      <c r="T146" s="10" t="str">
        <f t="shared" si="3"/>
        <v>OK</v>
      </c>
      <c r="U146" s="10">
        <f t="shared" si="4"/>
        <v>1</v>
      </c>
      <c r="V146" s="10"/>
      <c r="W146" s="10"/>
      <c r="X146" s="10"/>
      <c r="Y146" s="10"/>
      <c r="Z146" s="10"/>
    </row>
    <row r="147" ht="13.5" customHeight="1">
      <c r="A147" s="10">
        <f>dataset_1!A418</f>
        <v>417</v>
      </c>
      <c r="B147" s="11">
        <f>dataset_1!B418</f>
        <v>40562</v>
      </c>
      <c r="C147" s="10">
        <f>dataset_1!C418</f>
        <v>1</v>
      </c>
      <c r="D147" s="10">
        <f>dataset_1!D418</f>
        <v>0</v>
      </c>
      <c r="E147" s="10">
        <f>dataset_1!E418</f>
        <v>1</v>
      </c>
      <c r="F147" s="10">
        <f>dataset_1!F418</f>
        <v>9</v>
      </c>
      <c r="G147" s="10" t="b">
        <f>dataset_1!G418</f>
        <v>0</v>
      </c>
      <c r="H147" s="10">
        <f>dataset_1!H418</f>
        <v>3</v>
      </c>
      <c r="I147" s="10">
        <f>dataset_1!I418</f>
        <v>2</v>
      </c>
      <c r="J147" s="10">
        <f>dataset_1!J418</f>
        <v>0.24</v>
      </c>
      <c r="K147" s="10">
        <f>VLOOKUP(A147,dataset_2!$A$2:$G$611,2,0)</f>
        <v>0.2576</v>
      </c>
      <c r="L147" s="10">
        <f>VLOOKUP(A147,dataset_2!$A$2:$G$611,3,0)</f>
        <v>0.93</v>
      </c>
      <c r="M147" s="10">
        <f>VLOOKUP(A147,dataset_2!$A$2:$G$611,4,0)</f>
        <v>0.1045</v>
      </c>
      <c r="N147" s="10">
        <f>VLOOKUP(A147,dataset_2!$A$2:$G$611,5,0)</f>
        <v>2</v>
      </c>
      <c r="O147" s="10">
        <f>VLOOKUP(A147,dataset_2!$A$2:$G$611,6,0)</f>
        <v>107</v>
      </c>
      <c r="P147" s="10">
        <f>VLOOKUP(A147,dataset_2!$A$2:$G$611,7,0)</f>
        <v>109</v>
      </c>
      <c r="Q147" s="10"/>
      <c r="R147" s="10" t="str">
        <f t="shared" si="1"/>
        <v>OK</v>
      </c>
      <c r="S147" s="10">
        <f t="shared" si="2"/>
        <v>5</v>
      </c>
      <c r="T147" s="10" t="str">
        <f t="shared" si="3"/>
        <v>OK</v>
      </c>
      <c r="U147" s="10">
        <f t="shared" si="4"/>
        <v>1</v>
      </c>
      <c r="V147" s="10"/>
      <c r="W147" s="10"/>
      <c r="X147" s="10"/>
      <c r="Y147" s="10"/>
      <c r="Z147" s="10"/>
    </row>
    <row r="148" ht="13.5" customHeight="1">
      <c r="A148" s="3">
        <v>613.0</v>
      </c>
      <c r="B148" s="12">
        <v>40571.0</v>
      </c>
      <c r="C148" s="3">
        <v>1.0</v>
      </c>
      <c r="D148" s="3">
        <v>0.0</v>
      </c>
      <c r="E148" s="3">
        <v>1.0</v>
      </c>
      <c r="F148" s="3">
        <v>18.0</v>
      </c>
      <c r="G148" s="3" t="b">
        <f t="shared" ref="G148:G150" si="21">FALSE()</f>
        <v>0</v>
      </c>
      <c r="H148" s="3">
        <v>5.0</v>
      </c>
      <c r="I148" s="3">
        <v>1.0</v>
      </c>
      <c r="J148" s="3">
        <v>0.24</v>
      </c>
      <c r="K148" s="3">
        <v>0.2273</v>
      </c>
      <c r="L148" s="3">
        <v>0.75</v>
      </c>
      <c r="M148" s="3">
        <v>0.194</v>
      </c>
      <c r="N148" s="3">
        <v>2.0</v>
      </c>
      <c r="O148" s="3">
        <v>107.0</v>
      </c>
      <c r="P148" s="3">
        <v>109.0</v>
      </c>
      <c r="Q148" s="10"/>
      <c r="R148" s="10" t="str">
        <f t="shared" si="1"/>
        <v>OK</v>
      </c>
      <c r="S148" s="10">
        <f t="shared" si="2"/>
        <v>5</v>
      </c>
      <c r="T148" s="10" t="str">
        <f t="shared" si="3"/>
        <v>OK</v>
      </c>
      <c r="U148" s="10">
        <f t="shared" si="4"/>
        <v>1</v>
      </c>
      <c r="V148" s="10"/>
      <c r="W148" s="10"/>
      <c r="X148" s="10"/>
      <c r="Y148" s="10"/>
      <c r="Z148" s="10"/>
    </row>
    <row r="149" ht="13.5" customHeight="1">
      <c r="A149" s="3">
        <v>656.0</v>
      </c>
      <c r="B149" s="12">
        <v>40573.0</v>
      </c>
      <c r="C149" s="3">
        <v>1.0</v>
      </c>
      <c r="D149" s="3">
        <v>0.0</v>
      </c>
      <c r="E149" s="3">
        <v>1.0</v>
      </c>
      <c r="F149" s="3">
        <v>15.0</v>
      </c>
      <c r="G149" s="3" t="b">
        <f t="shared" si="21"/>
        <v>0</v>
      </c>
      <c r="H149" s="3">
        <v>0.0</v>
      </c>
      <c r="I149" s="3">
        <v>1.0</v>
      </c>
      <c r="J149" s="3">
        <v>0.3</v>
      </c>
      <c r="K149" s="3">
        <v>0.3333</v>
      </c>
      <c r="L149" s="3">
        <v>0.56</v>
      </c>
      <c r="M149" s="3">
        <v>0.0</v>
      </c>
      <c r="N149" s="3">
        <v>14.0</v>
      </c>
      <c r="O149" s="3">
        <v>95.0</v>
      </c>
      <c r="P149" s="3">
        <v>109.0</v>
      </c>
      <c r="Q149" s="10"/>
      <c r="R149" s="10" t="str">
        <f t="shared" si="1"/>
        <v>OK</v>
      </c>
      <c r="S149" s="10">
        <f t="shared" si="2"/>
        <v>5</v>
      </c>
      <c r="T149" s="10" t="str">
        <f t="shared" si="3"/>
        <v>OK</v>
      </c>
      <c r="U149" s="10">
        <f t="shared" si="4"/>
        <v>1</v>
      </c>
      <c r="V149" s="10"/>
      <c r="W149" s="10"/>
      <c r="X149" s="10"/>
      <c r="Y149" s="10"/>
      <c r="Z149" s="10"/>
    </row>
    <row r="150" ht="13.5" customHeight="1">
      <c r="A150" s="3">
        <v>755.0</v>
      </c>
      <c r="B150" s="12">
        <v>40577.0</v>
      </c>
      <c r="C150" s="3">
        <v>1.0</v>
      </c>
      <c r="D150" s="3">
        <v>0.0</v>
      </c>
      <c r="E150" s="3">
        <v>2.0</v>
      </c>
      <c r="F150" s="3">
        <v>20.0</v>
      </c>
      <c r="G150" s="3" t="b">
        <f t="shared" si="21"/>
        <v>0</v>
      </c>
      <c r="H150" s="3">
        <v>4.0</v>
      </c>
      <c r="I150" s="3">
        <v>1.0</v>
      </c>
      <c r="J150" s="3">
        <v>0.2</v>
      </c>
      <c r="K150" s="3">
        <v>0.2273</v>
      </c>
      <c r="L150" s="3">
        <v>0.47</v>
      </c>
      <c r="M150" s="3">
        <v>0.0896</v>
      </c>
      <c r="N150" s="3">
        <v>1.0</v>
      </c>
      <c r="O150" s="3">
        <v>108.0</v>
      </c>
      <c r="P150" s="3">
        <v>109.0</v>
      </c>
      <c r="Q150" s="10"/>
      <c r="R150" s="10" t="str">
        <f t="shared" si="1"/>
        <v>OK</v>
      </c>
      <c r="S150" s="10">
        <f t="shared" si="2"/>
        <v>5</v>
      </c>
      <c r="T150" s="10" t="str">
        <f t="shared" si="3"/>
        <v>OK</v>
      </c>
      <c r="U150" s="10">
        <f t="shared" si="4"/>
        <v>1</v>
      </c>
      <c r="V150" s="10"/>
      <c r="W150" s="10"/>
      <c r="X150" s="10"/>
      <c r="Y150" s="10"/>
      <c r="Z150" s="10"/>
    </row>
    <row r="151" ht="13.5" customHeight="1">
      <c r="A151" s="10">
        <f>dataset_1!A556</f>
        <v>555</v>
      </c>
      <c r="B151" s="11">
        <f>dataset_1!B556</f>
        <v>40568</v>
      </c>
      <c r="C151" s="10">
        <f>dataset_1!C556</f>
        <v>1</v>
      </c>
      <c r="D151" s="10">
        <f>dataset_1!D556</f>
        <v>0</v>
      </c>
      <c r="E151" s="10">
        <f>dataset_1!E556</f>
        <v>1</v>
      </c>
      <c r="F151" s="10">
        <f>dataset_1!F556</f>
        <v>7</v>
      </c>
      <c r="G151" s="10" t="b">
        <f>dataset_1!G556</f>
        <v>0</v>
      </c>
      <c r="H151" s="10">
        <f>dataset_1!H556</f>
        <v>2</v>
      </c>
      <c r="I151" s="10">
        <f>dataset_1!I556</f>
        <v>1</v>
      </c>
      <c r="J151" s="10">
        <f>dataset_1!J556</f>
        <v>0.16</v>
      </c>
      <c r="K151" s="10">
        <f>VLOOKUP(A151,dataset_2!$A$2:$G$611,2,0)</f>
        <v>0.1515</v>
      </c>
      <c r="L151" s="10">
        <f>VLOOKUP(A151,dataset_2!$A$2:$G$611,3,0)</f>
        <v>0.74</v>
      </c>
      <c r="M151" s="10">
        <f>VLOOKUP(A151,dataset_2!$A$2:$G$611,4,0)</f>
        <v>0.2239</v>
      </c>
      <c r="N151" s="10">
        <f>VLOOKUP(A151,dataset_2!$A$2:$G$611,5,0)</f>
        <v>5</v>
      </c>
      <c r="O151" s="10">
        <f>VLOOKUP(A151,dataset_2!$A$2:$G$611,6,0)</f>
        <v>103</v>
      </c>
      <c r="P151" s="10">
        <f>VLOOKUP(A151,dataset_2!$A$2:$G$611,7,0)</f>
        <v>108</v>
      </c>
      <c r="Q151" s="10"/>
      <c r="R151" s="10" t="str">
        <f t="shared" si="1"/>
        <v>OK</v>
      </c>
      <c r="S151" s="10">
        <f t="shared" si="2"/>
        <v>5</v>
      </c>
      <c r="T151" s="10" t="str">
        <f t="shared" si="3"/>
        <v>OK</v>
      </c>
      <c r="U151" s="10">
        <f t="shared" si="4"/>
        <v>1</v>
      </c>
      <c r="V151" s="10"/>
      <c r="W151" s="10"/>
      <c r="X151" s="10"/>
      <c r="Y151" s="10"/>
      <c r="Z151" s="10"/>
    </row>
    <row r="152" ht="13.5" customHeight="1">
      <c r="A152" s="3">
        <v>707.0</v>
      </c>
      <c r="B152" s="12">
        <v>40575.0</v>
      </c>
      <c r="C152" s="3">
        <v>1.0</v>
      </c>
      <c r="D152" s="3">
        <v>0.0</v>
      </c>
      <c r="E152" s="3">
        <v>2.0</v>
      </c>
      <c r="F152" s="3">
        <v>19.0</v>
      </c>
      <c r="G152" s="3" t="b">
        <f t="shared" ref="G152:G153" si="22">FALSE()</f>
        <v>0</v>
      </c>
      <c r="H152" s="3">
        <v>2.0</v>
      </c>
      <c r="I152" s="3">
        <v>2.0</v>
      </c>
      <c r="J152" s="3">
        <v>0.24</v>
      </c>
      <c r="K152" s="3">
        <v>0.2424</v>
      </c>
      <c r="L152" s="3">
        <v>0.81</v>
      </c>
      <c r="M152" s="3">
        <v>0.1343</v>
      </c>
      <c r="N152" s="3">
        <v>3.0</v>
      </c>
      <c r="O152" s="3">
        <v>105.0</v>
      </c>
      <c r="P152" s="3">
        <v>108.0</v>
      </c>
      <c r="Q152" s="10"/>
      <c r="R152" s="10" t="str">
        <f t="shared" si="1"/>
        <v>OK</v>
      </c>
      <c r="S152" s="10">
        <f t="shared" si="2"/>
        <v>5</v>
      </c>
      <c r="T152" s="10" t="str">
        <f t="shared" si="3"/>
        <v>OK</v>
      </c>
      <c r="U152" s="10">
        <f t="shared" si="4"/>
        <v>1</v>
      </c>
      <c r="V152" s="10"/>
      <c r="W152" s="10"/>
      <c r="X152" s="10"/>
      <c r="Y152" s="10"/>
      <c r="Z152" s="10"/>
    </row>
    <row r="153" ht="13.5" customHeight="1">
      <c r="A153" s="3">
        <v>634.0</v>
      </c>
      <c r="B153" s="12">
        <v>40572.0</v>
      </c>
      <c r="C153" s="3">
        <v>1.0</v>
      </c>
      <c r="D153" s="3">
        <v>0.0</v>
      </c>
      <c r="E153" s="3">
        <v>1.0</v>
      </c>
      <c r="F153" s="3">
        <v>16.0</v>
      </c>
      <c r="G153" s="3" t="b">
        <f t="shared" si="22"/>
        <v>0</v>
      </c>
      <c r="H153" s="3">
        <v>6.0</v>
      </c>
      <c r="I153" s="3">
        <v>1.0</v>
      </c>
      <c r="J153" s="3">
        <v>0.24</v>
      </c>
      <c r="K153" s="3">
        <v>0.2424</v>
      </c>
      <c r="L153" s="3">
        <v>0.6</v>
      </c>
      <c r="M153" s="3">
        <v>0.1642</v>
      </c>
      <c r="N153" s="3">
        <v>19.0</v>
      </c>
      <c r="O153" s="3">
        <v>88.0</v>
      </c>
      <c r="P153" s="3">
        <v>107.0</v>
      </c>
      <c r="Q153" s="10"/>
      <c r="R153" s="10" t="str">
        <f t="shared" si="1"/>
        <v>OK</v>
      </c>
      <c r="S153" s="10">
        <f t="shared" si="2"/>
        <v>5</v>
      </c>
      <c r="T153" s="10" t="str">
        <f t="shared" si="3"/>
        <v>OK</v>
      </c>
      <c r="U153" s="10">
        <f t="shared" si="4"/>
        <v>1</v>
      </c>
      <c r="V153" s="10"/>
      <c r="W153" s="10"/>
      <c r="X153" s="10"/>
      <c r="Y153" s="10"/>
      <c r="Z153" s="10"/>
    </row>
    <row r="154" ht="13.5" customHeight="1">
      <c r="A154" s="10">
        <f>dataset_1!A16</f>
        <v>15</v>
      </c>
      <c r="B154" s="11">
        <f>dataset_1!B16</f>
        <v>40544</v>
      </c>
      <c r="C154" s="10">
        <f>dataset_1!C16</f>
        <v>1</v>
      </c>
      <c r="D154" s="10">
        <f>dataset_1!D16</f>
        <v>0</v>
      </c>
      <c r="E154" s="10">
        <f>dataset_1!E16</f>
        <v>1</v>
      </c>
      <c r="F154" s="10">
        <f>dataset_1!F16</f>
        <v>14</v>
      </c>
      <c r="G154" s="10" t="b">
        <f>dataset_1!G16</f>
        <v>0</v>
      </c>
      <c r="H154" s="10">
        <f>dataset_1!H16</f>
        <v>6</v>
      </c>
      <c r="I154" s="10">
        <f>dataset_1!I16</f>
        <v>2</v>
      </c>
      <c r="J154" s="10">
        <f>dataset_1!J16</f>
        <v>0.46</v>
      </c>
      <c r="K154" s="10">
        <f>VLOOKUP(A154,dataset_2!$A$2:$G$611,2,0)</f>
        <v>0.4545</v>
      </c>
      <c r="L154" s="10">
        <f>VLOOKUP(A154,dataset_2!$A$2:$G$611,3,0)</f>
        <v>0.72</v>
      </c>
      <c r="M154" s="10">
        <f>VLOOKUP(A154,dataset_2!$A$2:$G$611,4,0)</f>
        <v>0.2836</v>
      </c>
      <c r="N154" s="10">
        <f>VLOOKUP(A154,dataset_2!$A$2:$G$611,5,0)</f>
        <v>35</v>
      </c>
      <c r="O154" s="10">
        <f>VLOOKUP(A154,dataset_2!$A$2:$G$611,6,0)</f>
        <v>71</v>
      </c>
      <c r="P154" s="10">
        <f>VLOOKUP(A154,dataset_2!$A$2:$G$611,7,0)</f>
        <v>106</v>
      </c>
      <c r="Q154" s="10"/>
      <c r="R154" s="10" t="str">
        <f t="shared" si="1"/>
        <v>OK</v>
      </c>
      <c r="S154" s="10">
        <f t="shared" si="2"/>
        <v>5</v>
      </c>
      <c r="T154" s="10" t="str">
        <f t="shared" si="3"/>
        <v>OK</v>
      </c>
      <c r="U154" s="10">
        <f t="shared" si="4"/>
        <v>1</v>
      </c>
      <c r="V154" s="10"/>
      <c r="W154" s="10"/>
      <c r="X154" s="10"/>
      <c r="Y154" s="10"/>
      <c r="Z154" s="10"/>
    </row>
    <row r="155" ht="13.5" customHeight="1">
      <c r="A155" s="10">
        <f>dataset_1!A545</f>
        <v>544</v>
      </c>
      <c r="B155" s="11">
        <f>dataset_1!B545</f>
        <v>40567</v>
      </c>
      <c r="C155" s="10">
        <f>dataset_1!C545</f>
        <v>1</v>
      </c>
      <c r="D155" s="10">
        <f>dataset_1!D545</f>
        <v>0</v>
      </c>
      <c r="E155" s="10">
        <f>dataset_1!E545</f>
        <v>1</v>
      </c>
      <c r="F155" s="10">
        <f>dataset_1!F545</f>
        <v>19</v>
      </c>
      <c r="G155" s="10" t="b">
        <f>dataset_1!G545</f>
        <v>0</v>
      </c>
      <c r="H155" s="10">
        <f>dataset_1!H545</f>
        <v>1</v>
      </c>
      <c r="I155" s="10">
        <f>dataset_1!I545</f>
        <v>1</v>
      </c>
      <c r="J155" s="10">
        <f>dataset_1!J545</f>
        <v>0.14</v>
      </c>
      <c r="K155" s="10">
        <f>VLOOKUP(A155,dataset_2!$A$2:$G$611,2,0)</f>
        <v>0.1515</v>
      </c>
      <c r="L155" s="10">
        <f>VLOOKUP(A155,dataset_2!$A$2:$G$611,3,0)</f>
        <v>0.54</v>
      </c>
      <c r="M155" s="10">
        <f>VLOOKUP(A155,dataset_2!$A$2:$G$611,4,0)</f>
        <v>0.1642</v>
      </c>
      <c r="N155" s="10">
        <f>VLOOKUP(A155,dataset_2!$A$2:$G$611,5,0)</f>
        <v>5</v>
      </c>
      <c r="O155" s="10">
        <f>VLOOKUP(A155,dataset_2!$A$2:$G$611,6,0)</f>
        <v>101</v>
      </c>
      <c r="P155" s="10">
        <f>VLOOKUP(A155,dataset_2!$A$2:$G$611,7,0)</f>
        <v>106</v>
      </c>
      <c r="Q155" s="10"/>
      <c r="R155" s="10" t="str">
        <f t="shared" si="1"/>
        <v>OK</v>
      </c>
      <c r="S155" s="10">
        <f t="shared" si="2"/>
        <v>5</v>
      </c>
      <c r="T155" s="10" t="str">
        <f t="shared" si="3"/>
        <v>OK</v>
      </c>
      <c r="U155" s="10">
        <f t="shared" si="4"/>
        <v>1</v>
      </c>
      <c r="V155" s="10"/>
      <c r="W155" s="10"/>
      <c r="X155" s="10"/>
      <c r="Y155" s="10"/>
      <c r="Z155" s="10"/>
    </row>
    <row r="156" ht="13.5" customHeight="1">
      <c r="A156" s="10">
        <f>dataset_1!A561</f>
        <v>560</v>
      </c>
      <c r="B156" s="11">
        <f>dataset_1!B561</f>
        <v>40568</v>
      </c>
      <c r="C156" s="10">
        <f>dataset_1!C561</f>
        <v>1</v>
      </c>
      <c r="D156" s="10">
        <f>dataset_1!D561</f>
        <v>0</v>
      </c>
      <c r="E156" s="10">
        <f>dataset_1!E561</f>
        <v>1</v>
      </c>
      <c r="F156" s="10">
        <f>dataset_1!F561</f>
        <v>12</v>
      </c>
      <c r="G156" s="10" t="b">
        <f>dataset_1!G561</f>
        <v>0</v>
      </c>
      <c r="H156" s="10">
        <f>dataset_1!H561</f>
        <v>2</v>
      </c>
      <c r="I156" s="10">
        <f>dataset_1!I561</f>
        <v>2</v>
      </c>
      <c r="J156" s="10">
        <f>dataset_1!J561</f>
        <v>0.26</v>
      </c>
      <c r="K156" s="10">
        <f>VLOOKUP(A156,dataset_2!$A$2:$G$611,2,0)</f>
        <v>0.2879</v>
      </c>
      <c r="L156" s="10">
        <f>VLOOKUP(A156,dataset_2!$A$2:$G$611,3,0)</f>
        <v>0.56</v>
      </c>
      <c r="M156" s="10">
        <f>VLOOKUP(A156,dataset_2!$A$2:$G$611,4,0)</f>
        <v>0.0896</v>
      </c>
      <c r="N156" s="10">
        <f>VLOOKUP(A156,dataset_2!$A$2:$G$611,5,0)</f>
        <v>21</v>
      </c>
      <c r="O156" s="10">
        <f>VLOOKUP(A156,dataset_2!$A$2:$G$611,6,0)</f>
        <v>85</v>
      </c>
      <c r="P156" s="10">
        <f>VLOOKUP(A156,dataset_2!$A$2:$G$611,7,0)</f>
        <v>106</v>
      </c>
      <c r="Q156" s="10"/>
      <c r="R156" s="10" t="str">
        <f t="shared" si="1"/>
        <v>OK</v>
      </c>
      <c r="S156" s="10">
        <f t="shared" si="2"/>
        <v>5</v>
      </c>
      <c r="T156" s="10" t="str">
        <f t="shared" si="3"/>
        <v>OK</v>
      </c>
      <c r="U156" s="10">
        <f t="shared" si="4"/>
        <v>1</v>
      </c>
      <c r="V156" s="10"/>
      <c r="W156" s="10"/>
      <c r="X156" s="10"/>
      <c r="Y156" s="10"/>
      <c r="Z156" s="10"/>
    </row>
    <row r="157" ht="13.5" customHeight="1">
      <c r="A157" s="10">
        <f>dataset_1!A367</f>
        <v>366</v>
      </c>
      <c r="B157" s="11">
        <f>dataset_1!B367</f>
        <v>40559</v>
      </c>
      <c r="C157" s="10">
        <f>dataset_1!C367</f>
        <v>1</v>
      </c>
      <c r="D157" s="10">
        <f>dataset_1!D367</f>
        <v>0</v>
      </c>
      <c r="E157" s="10">
        <f>dataset_1!E367</f>
        <v>1</v>
      </c>
      <c r="F157" s="10">
        <f>dataset_1!F367</f>
        <v>17</v>
      </c>
      <c r="G157" s="10" t="b">
        <f>dataset_1!G367</f>
        <v>0</v>
      </c>
      <c r="H157" s="10">
        <f>dataset_1!H367</f>
        <v>0</v>
      </c>
      <c r="I157" s="10">
        <f>dataset_1!I367</f>
        <v>1</v>
      </c>
      <c r="J157" s="10">
        <f>dataset_1!J367</f>
        <v>0.22</v>
      </c>
      <c r="K157" s="10">
        <f>VLOOKUP(A157,dataset_2!$A$2:$G$611,2,0)</f>
        <v>0.2121</v>
      </c>
      <c r="L157" s="10">
        <f>VLOOKUP(A157,dataset_2!$A$2:$G$611,3,0)</f>
        <v>0.37</v>
      </c>
      <c r="M157" s="10">
        <f>VLOOKUP(A157,dataset_2!$A$2:$G$611,4,0)</f>
        <v>0.2537</v>
      </c>
      <c r="N157" s="10">
        <f>VLOOKUP(A157,dataset_2!$A$2:$G$611,5,0)</f>
        <v>23</v>
      </c>
      <c r="O157" s="10">
        <f>VLOOKUP(A157,dataset_2!$A$2:$G$611,6,0)</f>
        <v>82</v>
      </c>
      <c r="P157" s="10">
        <f>VLOOKUP(A157,dataset_2!$A$2:$G$611,7,0)</f>
        <v>105</v>
      </c>
      <c r="Q157" s="10"/>
      <c r="R157" s="10" t="str">
        <f t="shared" si="1"/>
        <v>OK</v>
      </c>
      <c r="S157" s="10">
        <f t="shared" si="2"/>
        <v>5</v>
      </c>
      <c r="T157" s="10" t="str">
        <f t="shared" si="3"/>
        <v>OK</v>
      </c>
      <c r="U157" s="10">
        <f t="shared" si="4"/>
        <v>1</v>
      </c>
      <c r="V157" s="10"/>
      <c r="W157" s="10"/>
      <c r="X157" s="10"/>
      <c r="Y157" s="10"/>
      <c r="Z157" s="10"/>
    </row>
    <row r="158" ht="13.5" customHeight="1">
      <c r="A158" s="3">
        <v>979.0</v>
      </c>
      <c r="B158" s="12">
        <v>40587.0</v>
      </c>
      <c r="C158" s="3">
        <v>1.0</v>
      </c>
      <c r="D158" s="3">
        <v>0.0</v>
      </c>
      <c r="E158" s="3">
        <v>2.0</v>
      </c>
      <c r="F158" s="3">
        <v>10.0</v>
      </c>
      <c r="G158" s="3" t="b">
        <f>FALSE()</f>
        <v>0</v>
      </c>
      <c r="H158" s="3">
        <v>0.0</v>
      </c>
      <c r="I158" s="3">
        <v>1.0</v>
      </c>
      <c r="J158" s="3">
        <v>0.3</v>
      </c>
      <c r="K158" s="3">
        <v>0.2727</v>
      </c>
      <c r="L158" s="3">
        <v>0.45</v>
      </c>
      <c r="M158" s="3">
        <v>0.3284</v>
      </c>
      <c r="N158" s="3">
        <v>19.0</v>
      </c>
      <c r="O158" s="3">
        <v>86.0</v>
      </c>
      <c r="P158" s="3">
        <v>105.0</v>
      </c>
      <c r="Q158" s="10"/>
      <c r="R158" s="10" t="str">
        <f t="shared" si="1"/>
        <v>OK</v>
      </c>
      <c r="S158" s="10">
        <f t="shared" si="2"/>
        <v>5</v>
      </c>
      <c r="T158" s="10" t="str">
        <f t="shared" si="3"/>
        <v>OK</v>
      </c>
      <c r="U158" s="10">
        <f t="shared" si="4"/>
        <v>1</v>
      </c>
      <c r="V158" s="10"/>
      <c r="W158" s="10"/>
      <c r="X158" s="10"/>
      <c r="Y158" s="10"/>
      <c r="Z158" s="10"/>
    </row>
    <row r="159" ht="13.5" customHeight="1">
      <c r="A159" s="10">
        <f>dataset_1!A362</f>
        <v>361</v>
      </c>
      <c r="B159" s="11">
        <f>dataset_1!B362</f>
        <v>40559</v>
      </c>
      <c r="C159" s="10">
        <f>dataset_1!C362</f>
        <v>1</v>
      </c>
      <c r="D159" s="10">
        <f>dataset_1!D362</f>
        <v>0</v>
      </c>
      <c r="E159" s="10">
        <f>dataset_1!E362</f>
        <v>1</v>
      </c>
      <c r="F159" s="10">
        <f>dataset_1!F362</f>
        <v>12</v>
      </c>
      <c r="G159" s="10" t="b">
        <f>dataset_1!G362</f>
        <v>0</v>
      </c>
      <c r="H159" s="10">
        <f>dataset_1!H362</f>
        <v>0</v>
      </c>
      <c r="I159" s="10">
        <f>dataset_1!I362</f>
        <v>1</v>
      </c>
      <c r="J159" s="10">
        <f>dataset_1!J362</f>
        <v>0.24</v>
      </c>
      <c r="K159" s="10">
        <f>VLOOKUP(A159,dataset_2!$A$2:$G$611,2,0)</f>
        <v>0.2121</v>
      </c>
      <c r="L159" s="10">
        <f>VLOOKUP(A159,dataset_2!$A$2:$G$611,3,0)</f>
        <v>0.41</v>
      </c>
      <c r="M159" s="10">
        <f>VLOOKUP(A159,dataset_2!$A$2:$G$611,4,0)</f>
        <v>0.2836</v>
      </c>
      <c r="N159" s="10">
        <f>VLOOKUP(A159,dataset_2!$A$2:$G$611,5,0)</f>
        <v>29</v>
      </c>
      <c r="O159" s="10">
        <f>VLOOKUP(A159,dataset_2!$A$2:$G$611,6,0)</f>
        <v>75</v>
      </c>
      <c r="P159" s="10">
        <f>VLOOKUP(A159,dataset_2!$A$2:$G$611,7,0)</f>
        <v>104</v>
      </c>
      <c r="Q159" s="10"/>
      <c r="R159" s="10" t="str">
        <f t="shared" si="1"/>
        <v>OK</v>
      </c>
      <c r="S159" s="10">
        <f t="shared" si="2"/>
        <v>5</v>
      </c>
      <c r="T159" s="10" t="str">
        <f t="shared" si="3"/>
        <v>OK</v>
      </c>
      <c r="U159" s="10">
        <f t="shared" si="4"/>
        <v>1</v>
      </c>
      <c r="V159" s="10"/>
      <c r="W159" s="10"/>
      <c r="X159" s="10"/>
      <c r="Y159" s="10"/>
      <c r="Z159" s="10"/>
    </row>
    <row r="160" ht="13.5" customHeight="1">
      <c r="A160" s="10">
        <f>dataset_1!A425</f>
        <v>424</v>
      </c>
      <c r="B160" s="11">
        <f>dataset_1!B425</f>
        <v>40562</v>
      </c>
      <c r="C160" s="10">
        <f>dataset_1!C425</f>
        <v>1</v>
      </c>
      <c r="D160" s="10">
        <f>dataset_1!D425</f>
        <v>0</v>
      </c>
      <c r="E160" s="10">
        <f>dataset_1!E425</f>
        <v>1</v>
      </c>
      <c r="F160" s="10">
        <f>dataset_1!F425</f>
        <v>16</v>
      </c>
      <c r="G160" s="10" t="b">
        <f>dataset_1!G425</f>
        <v>0</v>
      </c>
      <c r="H160" s="10">
        <f>dataset_1!H425</f>
        <v>3</v>
      </c>
      <c r="I160" s="10">
        <f>dataset_1!I425</f>
        <v>1</v>
      </c>
      <c r="J160" s="10">
        <f>dataset_1!J425</f>
        <v>0.38</v>
      </c>
      <c r="K160" s="10">
        <f>VLOOKUP(A160,dataset_2!$A$2:$G$611,2,0)</f>
        <v>0.3939</v>
      </c>
      <c r="L160" s="10">
        <f>VLOOKUP(A160,dataset_2!$A$2:$G$611,3,0)</f>
        <v>0.58</v>
      </c>
      <c r="M160" s="10">
        <f>VLOOKUP(A160,dataset_2!$A$2:$G$611,4,0)</f>
        <v>0.3881</v>
      </c>
      <c r="N160" s="10">
        <f>VLOOKUP(A160,dataset_2!$A$2:$G$611,5,0)</f>
        <v>10</v>
      </c>
      <c r="O160" s="10">
        <f>VLOOKUP(A160,dataset_2!$A$2:$G$611,6,0)</f>
        <v>94</v>
      </c>
      <c r="P160" s="10">
        <f>VLOOKUP(A160,dataset_2!$A$2:$G$611,7,0)</f>
        <v>104</v>
      </c>
      <c r="Q160" s="10"/>
      <c r="R160" s="10" t="str">
        <f t="shared" si="1"/>
        <v>OK</v>
      </c>
      <c r="S160" s="10">
        <f t="shared" si="2"/>
        <v>5</v>
      </c>
      <c r="T160" s="10" t="str">
        <f t="shared" si="3"/>
        <v>OK</v>
      </c>
      <c r="U160" s="10">
        <f t="shared" si="4"/>
        <v>1</v>
      </c>
      <c r="V160" s="10"/>
      <c r="W160" s="10"/>
      <c r="X160" s="10"/>
      <c r="Y160" s="10"/>
      <c r="Z160" s="10"/>
    </row>
    <row r="161" ht="13.5" customHeight="1">
      <c r="A161" s="10">
        <f>dataset_1!A591</f>
        <v>590</v>
      </c>
      <c r="B161" s="11">
        <f>dataset_1!B591</f>
        <v>40570</v>
      </c>
      <c r="C161" s="10">
        <f>dataset_1!C591</f>
        <v>1</v>
      </c>
      <c r="D161" s="10">
        <f>dataset_1!D591</f>
        <v>0</v>
      </c>
      <c r="E161" s="10">
        <f>dataset_1!E591</f>
        <v>1</v>
      </c>
      <c r="F161" s="10">
        <f>dataset_1!F591</f>
        <v>18</v>
      </c>
      <c r="G161" s="10" t="b">
        <f>dataset_1!G591</f>
        <v>0</v>
      </c>
      <c r="H161" s="10">
        <f>dataset_1!H591</f>
        <v>4</v>
      </c>
      <c r="I161" s="10">
        <f>dataset_1!I591</f>
        <v>1</v>
      </c>
      <c r="J161" s="10">
        <f>dataset_1!J591</f>
        <v>0.2</v>
      </c>
      <c r="K161" s="10">
        <f>VLOOKUP(A161,dataset_2!$A$2:$G$611,2,0)</f>
        <v>0.2273</v>
      </c>
      <c r="L161" s="10">
        <f>VLOOKUP(A161,dataset_2!$A$2:$G$611,3,0)</f>
        <v>0.69</v>
      </c>
      <c r="M161" s="10">
        <f>VLOOKUP(A161,dataset_2!$A$2:$G$611,4,0)</f>
        <v>0.0896</v>
      </c>
      <c r="N161" s="10">
        <f>VLOOKUP(A161,dataset_2!$A$2:$G$611,5,0)</f>
        <v>3</v>
      </c>
      <c r="O161" s="10">
        <f>VLOOKUP(A161,dataset_2!$A$2:$G$611,6,0)</f>
        <v>101</v>
      </c>
      <c r="P161" s="10">
        <f>VLOOKUP(A161,dataset_2!$A$2:$G$611,7,0)</f>
        <v>104</v>
      </c>
      <c r="Q161" s="10"/>
      <c r="R161" s="10" t="str">
        <f t="shared" si="1"/>
        <v>OK</v>
      </c>
      <c r="S161" s="10">
        <f t="shared" si="2"/>
        <v>5</v>
      </c>
      <c r="T161" s="10" t="str">
        <f t="shared" si="3"/>
        <v>OK</v>
      </c>
      <c r="U161" s="10">
        <f t="shared" si="4"/>
        <v>1</v>
      </c>
      <c r="V161" s="10"/>
      <c r="W161" s="10"/>
      <c r="X161" s="10"/>
      <c r="Y161" s="10"/>
      <c r="Z161" s="10"/>
    </row>
    <row r="162" ht="13.5" customHeight="1">
      <c r="A162" s="10">
        <f>dataset_1!A495</f>
        <v>494</v>
      </c>
      <c r="B162" s="11">
        <f>dataset_1!B495</f>
        <v>40565</v>
      </c>
      <c r="C162" s="10">
        <f>dataset_1!C495</f>
        <v>1</v>
      </c>
      <c r="D162" s="10">
        <f>dataset_1!D495</f>
        <v>0</v>
      </c>
      <c r="E162" s="10">
        <f>dataset_1!E495</f>
        <v>1</v>
      </c>
      <c r="F162" s="10">
        <f>dataset_1!F495</f>
        <v>15</v>
      </c>
      <c r="G162" s="10" t="b">
        <f>dataset_1!G495</f>
        <v>0</v>
      </c>
      <c r="H162" s="10">
        <f>dataset_1!H495</f>
        <v>6</v>
      </c>
      <c r="I162" s="10">
        <f>dataset_1!I495</f>
        <v>1</v>
      </c>
      <c r="J162" s="10">
        <f>dataset_1!J495</f>
        <v>0.12</v>
      </c>
      <c r="K162" s="10">
        <f>VLOOKUP(A162,dataset_2!$A$2:$G$611,2,0)</f>
        <v>0.1515</v>
      </c>
      <c r="L162" s="10">
        <f>VLOOKUP(A162,dataset_2!$A$2:$G$611,3,0)</f>
        <v>0.28</v>
      </c>
      <c r="M162" s="10">
        <f>VLOOKUP(A162,dataset_2!$A$2:$G$611,4,0)</f>
        <v>0</v>
      </c>
      <c r="N162" s="10">
        <f>VLOOKUP(A162,dataset_2!$A$2:$G$611,5,0)</f>
        <v>10</v>
      </c>
      <c r="O162" s="10">
        <f>VLOOKUP(A162,dataset_2!$A$2:$G$611,6,0)</f>
        <v>93</v>
      </c>
      <c r="P162" s="10">
        <f>VLOOKUP(A162,dataset_2!$A$2:$G$611,7,0)</f>
        <v>103</v>
      </c>
      <c r="Q162" s="10"/>
      <c r="R162" s="10" t="str">
        <f t="shared" si="1"/>
        <v>OK</v>
      </c>
      <c r="S162" s="10">
        <f t="shared" si="2"/>
        <v>5</v>
      </c>
      <c r="T162" s="10" t="str">
        <f t="shared" si="3"/>
        <v>OK</v>
      </c>
      <c r="U162" s="10">
        <f t="shared" si="4"/>
        <v>1</v>
      </c>
      <c r="V162" s="10"/>
      <c r="W162" s="10"/>
      <c r="X162" s="10"/>
      <c r="Y162" s="10"/>
      <c r="Z162" s="10"/>
    </row>
    <row r="163" ht="13.5" customHeight="1">
      <c r="A163" s="3">
        <v>728.0</v>
      </c>
      <c r="B163" s="12">
        <v>40576.0</v>
      </c>
      <c r="C163" s="3">
        <v>1.0</v>
      </c>
      <c r="D163" s="3">
        <v>0.0</v>
      </c>
      <c r="E163" s="3">
        <v>2.0</v>
      </c>
      <c r="F163" s="3">
        <v>16.0</v>
      </c>
      <c r="G163" s="3" t="b">
        <f t="shared" ref="G163:G164" si="23">FALSE()</f>
        <v>0</v>
      </c>
      <c r="H163" s="3">
        <v>3.0</v>
      </c>
      <c r="I163" s="3">
        <v>1.0</v>
      </c>
      <c r="J163" s="3">
        <v>0.36</v>
      </c>
      <c r="K163" s="3">
        <v>0.3333</v>
      </c>
      <c r="L163" s="3">
        <v>0.71</v>
      </c>
      <c r="M163" s="3">
        <v>0.2985</v>
      </c>
      <c r="N163" s="3">
        <v>8.0</v>
      </c>
      <c r="O163" s="3">
        <v>95.0</v>
      </c>
      <c r="P163" s="3">
        <v>103.0</v>
      </c>
      <c r="Q163" s="10"/>
      <c r="R163" s="10" t="str">
        <f t="shared" si="1"/>
        <v>OK</v>
      </c>
      <c r="S163" s="10">
        <f t="shared" si="2"/>
        <v>5</v>
      </c>
      <c r="T163" s="10" t="str">
        <f t="shared" si="3"/>
        <v>OK</v>
      </c>
      <c r="U163" s="10">
        <f t="shared" si="4"/>
        <v>1</v>
      </c>
      <c r="V163" s="10"/>
      <c r="W163" s="10"/>
      <c r="X163" s="10"/>
      <c r="Y163" s="10"/>
      <c r="Z163" s="10"/>
    </row>
    <row r="164" ht="13.5" customHeight="1">
      <c r="A164" s="3">
        <v>777.0</v>
      </c>
      <c r="B164" s="12">
        <v>40578.0</v>
      </c>
      <c r="C164" s="3">
        <v>1.0</v>
      </c>
      <c r="D164" s="3">
        <v>0.0</v>
      </c>
      <c r="E164" s="3">
        <v>2.0</v>
      </c>
      <c r="F164" s="3">
        <v>19.0</v>
      </c>
      <c r="G164" s="3" t="b">
        <f t="shared" si="23"/>
        <v>0</v>
      </c>
      <c r="H164" s="3">
        <v>5.0</v>
      </c>
      <c r="I164" s="3">
        <v>2.0</v>
      </c>
      <c r="J164" s="3">
        <v>0.24</v>
      </c>
      <c r="K164" s="3">
        <v>0.2424</v>
      </c>
      <c r="L164" s="3">
        <v>0.65</v>
      </c>
      <c r="M164" s="3">
        <v>0.1343</v>
      </c>
      <c r="N164" s="3">
        <v>1.0</v>
      </c>
      <c r="O164" s="3">
        <v>102.0</v>
      </c>
      <c r="P164" s="3">
        <v>103.0</v>
      </c>
      <c r="Q164" s="10"/>
      <c r="R164" s="10" t="str">
        <f t="shared" si="1"/>
        <v>OK</v>
      </c>
      <c r="S164" s="10">
        <f t="shared" si="2"/>
        <v>5</v>
      </c>
      <c r="T164" s="10" t="str">
        <f t="shared" si="3"/>
        <v>OK</v>
      </c>
      <c r="U164" s="10">
        <f t="shared" si="4"/>
        <v>1</v>
      </c>
      <c r="V164" s="10"/>
      <c r="W164" s="10"/>
      <c r="X164" s="10"/>
      <c r="Y164" s="10"/>
      <c r="Z164" s="10"/>
    </row>
    <row r="165" ht="13.5" customHeight="1">
      <c r="A165" s="10">
        <f>dataset_1!A176</f>
        <v>175</v>
      </c>
      <c r="B165" s="11">
        <f>dataset_1!B176</f>
        <v>40551</v>
      </c>
      <c r="C165" s="10">
        <f>dataset_1!C176</f>
        <v>1</v>
      </c>
      <c r="D165" s="10">
        <f>dataset_1!D176</f>
        <v>0</v>
      </c>
      <c r="E165" s="10">
        <f>dataset_1!E176</f>
        <v>1</v>
      </c>
      <c r="F165" s="10">
        <f>dataset_1!F176</f>
        <v>13</v>
      </c>
      <c r="G165" s="10" t="b">
        <f>dataset_1!G176</f>
        <v>0</v>
      </c>
      <c r="H165" s="10">
        <f>dataset_1!H176</f>
        <v>6</v>
      </c>
      <c r="I165" s="10">
        <f>dataset_1!I176</f>
        <v>1</v>
      </c>
      <c r="J165" s="10">
        <f>dataset_1!J176</f>
        <v>0.2</v>
      </c>
      <c r="K165" s="10">
        <f>VLOOKUP(A165,dataset_2!$A$2:$G$611,2,0)</f>
        <v>0.1818</v>
      </c>
      <c r="L165" s="10">
        <f>VLOOKUP(A165,dataset_2!$A$2:$G$611,3,0)</f>
        <v>0.44</v>
      </c>
      <c r="M165" s="10">
        <f>VLOOKUP(A165,dataset_2!$A$2:$G$611,4,0)</f>
        <v>0.3284</v>
      </c>
      <c r="N165" s="10">
        <f>VLOOKUP(A165,dataset_2!$A$2:$G$611,5,0)</f>
        <v>7</v>
      </c>
      <c r="O165" s="10">
        <f>VLOOKUP(A165,dataset_2!$A$2:$G$611,6,0)</f>
        <v>95</v>
      </c>
      <c r="P165" s="10">
        <f>VLOOKUP(A165,dataset_2!$A$2:$G$611,7,0)</f>
        <v>102</v>
      </c>
      <c r="Q165" s="10"/>
      <c r="R165" s="10" t="str">
        <f t="shared" si="1"/>
        <v>OK</v>
      </c>
      <c r="S165" s="10">
        <f t="shared" si="2"/>
        <v>5</v>
      </c>
      <c r="T165" s="10" t="str">
        <f t="shared" si="3"/>
        <v>OK</v>
      </c>
      <c r="U165" s="10">
        <f t="shared" si="4"/>
        <v>1</v>
      </c>
      <c r="V165" s="10"/>
      <c r="W165" s="10"/>
      <c r="X165" s="10"/>
      <c r="Y165" s="10"/>
      <c r="Z165" s="10"/>
    </row>
    <row r="166" ht="13.5" customHeight="1">
      <c r="A166" s="10">
        <f>dataset_1!A535</f>
        <v>534</v>
      </c>
      <c r="B166" s="11">
        <f>dataset_1!B535</f>
        <v>40567</v>
      </c>
      <c r="C166" s="10">
        <f>dataset_1!C535</f>
        <v>1</v>
      </c>
      <c r="D166" s="10">
        <f>dataset_1!D535</f>
        <v>0</v>
      </c>
      <c r="E166" s="10">
        <f>dataset_1!E535</f>
        <v>1</v>
      </c>
      <c r="F166" s="10">
        <f>dataset_1!F535</f>
        <v>9</v>
      </c>
      <c r="G166" s="10" t="b">
        <f>dataset_1!G535</f>
        <v>0</v>
      </c>
      <c r="H166" s="10">
        <f>dataset_1!H535</f>
        <v>1</v>
      </c>
      <c r="I166" s="10">
        <f>dataset_1!I535</f>
        <v>1</v>
      </c>
      <c r="J166" s="10">
        <f>dataset_1!J535</f>
        <v>0.06</v>
      </c>
      <c r="K166" s="10">
        <f>VLOOKUP(A166,dataset_2!$A$2:$G$611,2,0)</f>
        <v>0.1515</v>
      </c>
      <c r="L166" s="10">
        <f>VLOOKUP(A166,dataset_2!$A$2:$G$611,3,0)</f>
        <v>0.41</v>
      </c>
      <c r="M166" s="10">
        <f>VLOOKUP(A166,dataset_2!$A$2:$G$611,4,0)</f>
        <v>0</v>
      </c>
      <c r="N166" s="10">
        <f>VLOOKUP(A166,dataset_2!$A$2:$G$611,5,0)</f>
        <v>4</v>
      </c>
      <c r="O166" s="10">
        <f>VLOOKUP(A166,dataset_2!$A$2:$G$611,6,0)</f>
        <v>98</v>
      </c>
      <c r="P166" s="10">
        <f>VLOOKUP(A166,dataset_2!$A$2:$G$611,7,0)</f>
        <v>102</v>
      </c>
      <c r="Q166" s="10"/>
      <c r="R166" s="10" t="str">
        <f t="shared" si="1"/>
        <v>OK</v>
      </c>
      <c r="S166" s="10">
        <f t="shared" si="2"/>
        <v>5</v>
      </c>
      <c r="T166" s="10" t="str">
        <f t="shared" si="3"/>
        <v>OK</v>
      </c>
      <c r="U166" s="10">
        <f t="shared" si="4"/>
        <v>1</v>
      </c>
      <c r="V166" s="10"/>
      <c r="W166" s="10"/>
      <c r="X166" s="10"/>
      <c r="Y166" s="10"/>
      <c r="Z166" s="10"/>
    </row>
    <row r="167" ht="13.5" customHeight="1">
      <c r="A167" s="10">
        <f>dataset_1!A339</f>
        <v>338</v>
      </c>
      <c r="B167" s="11">
        <f>dataset_1!B339</f>
        <v>40558</v>
      </c>
      <c r="C167" s="10">
        <f>dataset_1!C339</f>
        <v>1</v>
      </c>
      <c r="D167" s="10">
        <f>dataset_1!D339</f>
        <v>0</v>
      </c>
      <c r="E167" s="10">
        <f>dataset_1!E339</f>
        <v>1</v>
      </c>
      <c r="F167" s="10">
        <f>dataset_1!F339</f>
        <v>13</v>
      </c>
      <c r="G167" s="10" t="b">
        <f>dataset_1!G339</f>
        <v>0</v>
      </c>
      <c r="H167" s="10">
        <f>dataset_1!H339</f>
        <v>6</v>
      </c>
      <c r="I167" s="10">
        <f>dataset_1!I339</f>
        <v>1</v>
      </c>
      <c r="J167" s="10">
        <f>dataset_1!J339</f>
        <v>0.28</v>
      </c>
      <c r="K167" s="10">
        <f>VLOOKUP(A167,dataset_2!$A$2:$G$611,2,0)</f>
        <v>0.2576</v>
      </c>
      <c r="L167" s="10">
        <f>VLOOKUP(A167,dataset_2!$A$2:$G$611,3,0)</f>
        <v>0.38</v>
      </c>
      <c r="M167" s="10">
        <f>VLOOKUP(A167,dataset_2!$A$2:$G$611,4,0)</f>
        <v>0.2985</v>
      </c>
      <c r="N167" s="10">
        <f>VLOOKUP(A167,dataset_2!$A$2:$G$611,5,0)</f>
        <v>21</v>
      </c>
      <c r="O167" s="10">
        <f>VLOOKUP(A167,dataset_2!$A$2:$G$611,6,0)</f>
        <v>80</v>
      </c>
      <c r="P167" s="10">
        <f>VLOOKUP(A167,dataset_2!$A$2:$G$611,7,0)</f>
        <v>101</v>
      </c>
      <c r="Q167" s="10"/>
      <c r="R167" s="10" t="str">
        <f t="shared" si="1"/>
        <v>OK</v>
      </c>
      <c r="S167" s="10">
        <f t="shared" si="2"/>
        <v>5</v>
      </c>
      <c r="T167" s="10" t="str">
        <f t="shared" si="3"/>
        <v>OK</v>
      </c>
      <c r="U167" s="10">
        <f t="shared" si="4"/>
        <v>1</v>
      </c>
      <c r="V167" s="10"/>
      <c r="W167" s="10"/>
      <c r="X167" s="10"/>
      <c r="Y167" s="10"/>
      <c r="Z167" s="10"/>
    </row>
    <row r="168" ht="13.5" customHeight="1">
      <c r="A168" s="10">
        <f>dataset_1!A440</f>
        <v>439</v>
      </c>
      <c r="B168" s="11">
        <f>dataset_1!B440</f>
        <v>40563</v>
      </c>
      <c r="C168" s="10">
        <f>dataset_1!C440</f>
        <v>1</v>
      </c>
      <c r="D168" s="10">
        <f>dataset_1!D440</f>
        <v>0</v>
      </c>
      <c r="E168" s="10">
        <f>dataset_1!E440</f>
        <v>1</v>
      </c>
      <c r="F168" s="10">
        <f>dataset_1!F440</f>
        <v>7</v>
      </c>
      <c r="G168" s="10" t="b">
        <f>dataset_1!G440</f>
        <v>0</v>
      </c>
      <c r="H168" s="10">
        <f>dataset_1!H440</f>
        <v>4</v>
      </c>
      <c r="I168" s="10">
        <f>dataset_1!I440</f>
        <v>1</v>
      </c>
      <c r="J168" s="10">
        <f>dataset_1!J440</f>
        <v>0.22</v>
      </c>
      <c r="K168" s="10">
        <f>VLOOKUP(A168,dataset_2!$A$2:$G$611,2,0)</f>
        <v>0.2121</v>
      </c>
      <c r="L168" s="10">
        <f>VLOOKUP(A168,dataset_2!$A$2:$G$611,3,0)</f>
        <v>0.55</v>
      </c>
      <c r="M168" s="10">
        <f>VLOOKUP(A168,dataset_2!$A$2:$G$611,4,0)</f>
        <v>0.2239</v>
      </c>
      <c r="N168" s="10">
        <f>VLOOKUP(A168,dataset_2!$A$2:$G$611,5,0)</f>
        <v>1</v>
      </c>
      <c r="O168" s="10">
        <f>VLOOKUP(A168,dataset_2!$A$2:$G$611,6,0)</f>
        <v>100</v>
      </c>
      <c r="P168" s="10">
        <f>VLOOKUP(A168,dataset_2!$A$2:$G$611,7,0)</f>
        <v>101</v>
      </c>
      <c r="Q168" s="10"/>
      <c r="R168" s="10" t="str">
        <f t="shared" si="1"/>
        <v>OK</v>
      </c>
      <c r="S168" s="10">
        <f t="shared" si="2"/>
        <v>5</v>
      </c>
      <c r="T168" s="10" t="str">
        <f t="shared" si="3"/>
        <v>OK</v>
      </c>
      <c r="U168" s="10">
        <f t="shared" si="4"/>
        <v>1</v>
      </c>
      <c r="V168" s="10"/>
      <c r="W168" s="10"/>
      <c r="X168" s="10"/>
      <c r="Y168" s="10"/>
      <c r="Z168" s="10"/>
    </row>
    <row r="169" ht="13.5" customHeight="1">
      <c r="A169" s="10">
        <f>dataset_1!A605</f>
        <v>604</v>
      </c>
      <c r="B169" s="11">
        <f>dataset_1!B605</f>
        <v>40571</v>
      </c>
      <c r="C169" s="10">
        <f>dataset_1!C605</f>
        <v>1</v>
      </c>
      <c r="D169" s="10">
        <f>dataset_1!D605</f>
        <v>0</v>
      </c>
      <c r="E169" s="10">
        <f>dataset_1!E605</f>
        <v>1</v>
      </c>
      <c r="F169" s="10">
        <f>dataset_1!F605</f>
        <v>9</v>
      </c>
      <c r="G169" s="10" t="b">
        <f>dataset_1!G605</f>
        <v>0</v>
      </c>
      <c r="H169" s="10">
        <f>dataset_1!H605</f>
        <v>5</v>
      </c>
      <c r="I169" s="10">
        <f>dataset_1!I605</f>
        <v>3</v>
      </c>
      <c r="J169" s="10">
        <f>dataset_1!J605</f>
        <v>0.18</v>
      </c>
      <c r="K169" s="10">
        <f>VLOOKUP(A169,dataset_2!$A$2:$G$611,2,0)</f>
        <v>0.2121</v>
      </c>
      <c r="L169" s="10">
        <f>VLOOKUP(A169,dataset_2!$A$2:$G$611,3,0)</f>
        <v>0.86</v>
      </c>
      <c r="M169" s="10">
        <f>VLOOKUP(A169,dataset_2!$A$2:$G$611,4,0)</f>
        <v>0.0896</v>
      </c>
      <c r="N169" s="10">
        <f>VLOOKUP(A169,dataset_2!$A$2:$G$611,5,0)</f>
        <v>6</v>
      </c>
      <c r="O169" s="10">
        <f>VLOOKUP(A169,dataset_2!$A$2:$G$611,6,0)</f>
        <v>95</v>
      </c>
      <c r="P169" s="10">
        <f>VLOOKUP(A169,dataset_2!$A$2:$G$611,7,0)</f>
        <v>101</v>
      </c>
      <c r="Q169" s="10"/>
      <c r="R169" s="10" t="str">
        <f t="shared" si="1"/>
        <v>OK</v>
      </c>
      <c r="S169" s="10">
        <f t="shared" si="2"/>
        <v>5</v>
      </c>
      <c r="T169" s="10" t="str">
        <f t="shared" si="3"/>
        <v>OK</v>
      </c>
      <c r="U169" s="10">
        <f t="shared" si="4"/>
        <v>1</v>
      </c>
      <c r="V169" s="10"/>
      <c r="W169" s="10"/>
      <c r="X169" s="10"/>
      <c r="Y169" s="10"/>
      <c r="Z169" s="10"/>
    </row>
    <row r="170" ht="13.5" customHeight="1">
      <c r="A170" s="3">
        <v>873.0</v>
      </c>
      <c r="B170" s="12">
        <v>40582.0</v>
      </c>
      <c r="C170" s="3">
        <v>1.0</v>
      </c>
      <c r="D170" s="3">
        <v>0.0</v>
      </c>
      <c r="E170" s="3">
        <v>2.0</v>
      </c>
      <c r="F170" s="3">
        <v>19.0</v>
      </c>
      <c r="G170" s="3" t="b">
        <f t="shared" ref="G170:G171" si="24">FALSE()</f>
        <v>0</v>
      </c>
      <c r="H170" s="3">
        <v>2.0</v>
      </c>
      <c r="I170" s="3">
        <v>1.0</v>
      </c>
      <c r="J170" s="3">
        <v>0.16</v>
      </c>
      <c r="K170" s="3">
        <v>0.1212</v>
      </c>
      <c r="L170" s="3">
        <v>0.4</v>
      </c>
      <c r="M170" s="3">
        <v>0.4627</v>
      </c>
      <c r="N170" s="3">
        <v>1.0</v>
      </c>
      <c r="O170" s="3">
        <v>100.0</v>
      </c>
      <c r="P170" s="3">
        <v>101.0</v>
      </c>
      <c r="Q170" s="10"/>
      <c r="R170" s="10" t="str">
        <f t="shared" si="1"/>
        <v>OK</v>
      </c>
      <c r="S170" s="10">
        <f t="shared" si="2"/>
        <v>5</v>
      </c>
      <c r="T170" s="10" t="str">
        <f t="shared" si="3"/>
        <v>OK</v>
      </c>
      <c r="U170" s="10">
        <f t="shared" si="4"/>
        <v>1</v>
      </c>
      <c r="V170" s="10"/>
      <c r="W170" s="10"/>
      <c r="X170" s="10"/>
      <c r="Y170" s="10"/>
      <c r="Z170" s="10"/>
    </row>
    <row r="171" ht="13.5" customHeight="1">
      <c r="A171" s="3">
        <v>941.0</v>
      </c>
      <c r="B171" s="12">
        <v>40585.0</v>
      </c>
      <c r="C171" s="3">
        <v>1.0</v>
      </c>
      <c r="D171" s="3">
        <v>0.0</v>
      </c>
      <c r="E171" s="3">
        <v>2.0</v>
      </c>
      <c r="F171" s="3">
        <v>19.0</v>
      </c>
      <c r="G171" s="3" t="b">
        <f t="shared" si="24"/>
        <v>0</v>
      </c>
      <c r="H171" s="3">
        <v>5.0</v>
      </c>
      <c r="I171" s="3">
        <v>1.0</v>
      </c>
      <c r="J171" s="3">
        <v>0.26</v>
      </c>
      <c r="K171" s="3">
        <v>0.303</v>
      </c>
      <c r="L171" s="3">
        <v>0.33</v>
      </c>
      <c r="M171" s="3">
        <v>0.0</v>
      </c>
      <c r="N171" s="3">
        <v>7.0</v>
      </c>
      <c r="O171" s="3">
        <v>94.0</v>
      </c>
      <c r="P171" s="3">
        <v>101.0</v>
      </c>
      <c r="Q171" s="10"/>
      <c r="R171" s="10" t="str">
        <f t="shared" si="1"/>
        <v>OK</v>
      </c>
      <c r="S171" s="10">
        <f t="shared" si="2"/>
        <v>5</v>
      </c>
      <c r="T171" s="10" t="str">
        <f t="shared" si="3"/>
        <v>OK</v>
      </c>
      <c r="U171" s="10">
        <f t="shared" si="4"/>
        <v>1</v>
      </c>
      <c r="V171" s="10"/>
      <c r="W171" s="10"/>
      <c r="X171" s="10"/>
      <c r="Y171" s="10"/>
      <c r="Z171" s="10"/>
    </row>
    <row r="172" ht="13.5" customHeight="1">
      <c r="A172" s="10">
        <f>dataset_1!A79</f>
        <v>78</v>
      </c>
      <c r="B172" s="11">
        <f>dataset_1!B79</f>
        <v>40547</v>
      </c>
      <c r="C172" s="10">
        <f>dataset_1!C79</f>
        <v>1</v>
      </c>
      <c r="D172" s="10">
        <f>dataset_1!D79</f>
        <v>0</v>
      </c>
      <c r="E172" s="10">
        <f>dataset_1!E79</f>
        <v>1</v>
      </c>
      <c r="F172" s="10">
        <f>dataset_1!F79</f>
        <v>9</v>
      </c>
      <c r="G172" s="10" t="b">
        <f>dataset_1!G79</f>
        <v>0</v>
      </c>
      <c r="H172" s="10">
        <f>dataset_1!H79</f>
        <v>2</v>
      </c>
      <c r="I172" s="10">
        <f>dataset_1!I79</f>
        <v>1</v>
      </c>
      <c r="J172" s="10">
        <f>dataset_1!J79</f>
        <v>0.16</v>
      </c>
      <c r="K172" s="10">
        <f>VLOOKUP(A172,dataset_2!$A$2:$G$611,2,0)</f>
        <v>0.1515</v>
      </c>
      <c r="L172" s="10">
        <f>VLOOKUP(A172,dataset_2!$A$2:$G$611,3,0)</f>
        <v>0.64</v>
      </c>
      <c r="M172" s="10">
        <f>VLOOKUP(A172,dataset_2!$A$2:$G$611,4,0)</f>
        <v>0.2239</v>
      </c>
      <c r="N172" s="10">
        <f>VLOOKUP(A172,dataset_2!$A$2:$G$611,5,0)</f>
        <v>2</v>
      </c>
      <c r="O172" s="10">
        <f>VLOOKUP(A172,dataset_2!$A$2:$G$611,6,0)</f>
        <v>98</v>
      </c>
      <c r="P172" s="10">
        <f>VLOOKUP(A172,dataset_2!$A$2:$G$611,7,0)</f>
        <v>100</v>
      </c>
      <c r="Q172" s="10"/>
      <c r="R172" s="10" t="str">
        <f t="shared" si="1"/>
        <v>OK</v>
      </c>
      <c r="S172" s="10">
        <f t="shared" si="2"/>
        <v>5</v>
      </c>
      <c r="T172" s="10" t="str">
        <f t="shared" si="3"/>
        <v>OK</v>
      </c>
      <c r="U172" s="10">
        <f t="shared" si="4"/>
        <v>1</v>
      </c>
      <c r="V172" s="10"/>
      <c r="W172" s="10"/>
      <c r="X172" s="10"/>
      <c r="Y172" s="10"/>
      <c r="Z172" s="10"/>
    </row>
    <row r="173" ht="13.5" customHeight="1">
      <c r="A173" s="3">
        <v>861.0</v>
      </c>
      <c r="B173" s="12">
        <v>40582.0</v>
      </c>
      <c r="C173" s="3">
        <v>1.0</v>
      </c>
      <c r="D173" s="3">
        <v>0.0</v>
      </c>
      <c r="E173" s="3">
        <v>2.0</v>
      </c>
      <c r="F173" s="3">
        <v>7.0</v>
      </c>
      <c r="G173" s="3" t="b">
        <f>FALSE()</f>
        <v>0</v>
      </c>
      <c r="H173" s="3">
        <v>2.0</v>
      </c>
      <c r="I173" s="3">
        <v>1.0</v>
      </c>
      <c r="J173" s="3">
        <v>0.24</v>
      </c>
      <c r="K173" s="3">
        <v>0.197</v>
      </c>
      <c r="L173" s="3">
        <v>0.65</v>
      </c>
      <c r="M173" s="3">
        <v>0.4179</v>
      </c>
      <c r="N173" s="3">
        <v>3.0</v>
      </c>
      <c r="O173" s="3">
        <v>97.0</v>
      </c>
      <c r="P173" s="3">
        <v>100.0</v>
      </c>
      <c r="Q173" s="10"/>
      <c r="R173" s="10" t="str">
        <f t="shared" si="1"/>
        <v>OK</v>
      </c>
      <c r="S173" s="10">
        <f t="shared" si="2"/>
        <v>5</v>
      </c>
      <c r="T173" s="10" t="str">
        <f t="shared" si="3"/>
        <v>OK</v>
      </c>
      <c r="U173" s="10">
        <f t="shared" si="4"/>
        <v>1</v>
      </c>
      <c r="V173" s="10"/>
      <c r="W173" s="10"/>
      <c r="X173" s="10"/>
      <c r="Y173" s="10"/>
      <c r="Z173" s="10"/>
    </row>
    <row r="174" ht="13.5" customHeight="1">
      <c r="A174" s="10">
        <f>dataset_1!A240</f>
        <v>239</v>
      </c>
      <c r="B174" s="11">
        <f>dataset_1!B240</f>
        <v>40554</v>
      </c>
      <c r="C174" s="10">
        <f>dataset_1!C240</f>
        <v>1</v>
      </c>
      <c r="D174" s="10">
        <f>dataset_1!D240</f>
        <v>0</v>
      </c>
      <c r="E174" s="10">
        <f>dataset_1!E240</f>
        <v>1</v>
      </c>
      <c r="F174" s="10">
        <f>dataset_1!F240</f>
        <v>7</v>
      </c>
      <c r="G174" s="10" t="b">
        <f>dataset_1!G240</f>
        <v>0</v>
      </c>
      <c r="H174" s="10">
        <f>dataset_1!H240</f>
        <v>2</v>
      </c>
      <c r="I174" s="10">
        <f>dataset_1!I240</f>
        <v>2</v>
      </c>
      <c r="J174" s="10">
        <f>dataset_1!J240</f>
        <v>0.16</v>
      </c>
      <c r="K174" s="10">
        <f>VLOOKUP(A174,dataset_2!$A$2:$G$611,2,0)</f>
        <v>0.2273</v>
      </c>
      <c r="L174" s="10">
        <f>VLOOKUP(A174,dataset_2!$A$2:$G$611,3,0)</f>
        <v>0.55</v>
      </c>
      <c r="M174" s="10">
        <f>VLOOKUP(A174,dataset_2!$A$2:$G$611,4,0)</f>
        <v>0</v>
      </c>
      <c r="N174" s="10">
        <f>VLOOKUP(A174,dataset_2!$A$2:$G$611,5,0)</f>
        <v>2</v>
      </c>
      <c r="O174" s="10">
        <f>VLOOKUP(A174,dataset_2!$A$2:$G$611,6,0)</f>
        <v>97</v>
      </c>
      <c r="P174" s="10">
        <f>VLOOKUP(A174,dataset_2!$A$2:$G$611,7,0)</f>
        <v>99</v>
      </c>
      <c r="Q174" s="10"/>
      <c r="R174" s="10" t="str">
        <f t="shared" si="1"/>
        <v>OK</v>
      </c>
      <c r="S174" s="10">
        <f t="shared" si="2"/>
        <v>5</v>
      </c>
      <c r="T174" s="10" t="str">
        <f t="shared" si="3"/>
        <v>OK</v>
      </c>
      <c r="U174" s="10">
        <f t="shared" si="4"/>
        <v>1</v>
      </c>
      <c r="V174" s="10"/>
      <c r="W174" s="10"/>
      <c r="X174" s="10"/>
      <c r="Y174" s="10"/>
      <c r="Z174" s="10"/>
    </row>
    <row r="175" ht="13.5" customHeight="1">
      <c r="A175" s="10">
        <f>dataset_1!A298</f>
        <v>297</v>
      </c>
      <c r="B175" s="11">
        <f>dataset_1!B298</f>
        <v>40556</v>
      </c>
      <c r="C175" s="10">
        <f>dataset_1!C298</f>
        <v>1</v>
      </c>
      <c r="D175" s="10">
        <f>dataset_1!D298</f>
        <v>0</v>
      </c>
      <c r="E175" s="10">
        <f>dataset_1!E298</f>
        <v>1</v>
      </c>
      <c r="F175" s="10">
        <f>dataset_1!F298</f>
        <v>19</v>
      </c>
      <c r="G175" s="10" t="b">
        <f>dataset_1!G298</f>
        <v>0</v>
      </c>
      <c r="H175" s="10">
        <f>dataset_1!H298</f>
        <v>4</v>
      </c>
      <c r="I175" s="10">
        <f>dataset_1!I298</f>
        <v>1</v>
      </c>
      <c r="J175" s="10">
        <f>dataset_1!J298</f>
        <v>0.16</v>
      </c>
      <c r="K175" s="10">
        <f>VLOOKUP(A175,dataset_2!$A$2:$G$611,2,0)</f>
        <v>0.1515</v>
      </c>
      <c r="L175" s="10">
        <f>VLOOKUP(A175,dataset_2!$A$2:$G$611,3,0)</f>
        <v>0.47</v>
      </c>
      <c r="M175" s="10">
        <f>VLOOKUP(A175,dataset_2!$A$2:$G$611,4,0)</f>
        <v>0.2537</v>
      </c>
      <c r="N175" s="10">
        <f>VLOOKUP(A175,dataset_2!$A$2:$G$611,5,0)</f>
        <v>1</v>
      </c>
      <c r="O175" s="10">
        <f>VLOOKUP(A175,dataset_2!$A$2:$G$611,6,0)</f>
        <v>98</v>
      </c>
      <c r="P175" s="10">
        <f>VLOOKUP(A175,dataset_2!$A$2:$G$611,7,0)</f>
        <v>99</v>
      </c>
      <c r="Q175" s="10"/>
      <c r="R175" s="10" t="str">
        <f t="shared" si="1"/>
        <v>OK</v>
      </c>
      <c r="S175" s="10">
        <f t="shared" si="2"/>
        <v>5</v>
      </c>
      <c r="T175" s="10" t="str">
        <f t="shared" si="3"/>
        <v>OK</v>
      </c>
      <c r="U175" s="10">
        <f t="shared" si="4"/>
        <v>1</v>
      </c>
      <c r="V175" s="10"/>
      <c r="W175" s="10"/>
      <c r="X175" s="10"/>
      <c r="Y175" s="10"/>
      <c r="Z175" s="10"/>
    </row>
    <row r="176" ht="13.5" customHeight="1">
      <c r="A176" s="10">
        <f>dataset_1!A366</f>
        <v>365</v>
      </c>
      <c r="B176" s="11">
        <f>dataset_1!B366</f>
        <v>40559</v>
      </c>
      <c r="C176" s="10">
        <f>dataset_1!C366</f>
        <v>1</v>
      </c>
      <c r="D176" s="10">
        <f>dataset_1!D366</f>
        <v>0</v>
      </c>
      <c r="E176" s="10">
        <f>dataset_1!E366</f>
        <v>1</v>
      </c>
      <c r="F176" s="10">
        <f>dataset_1!F366</f>
        <v>16</v>
      </c>
      <c r="G176" s="10" t="b">
        <f>dataset_1!G366</f>
        <v>0</v>
      </c>
      <c r="H176" s="10">
        <f>dataset_1!H366</f>
        <v>0</v>
      </c>
      <c r="I176" s="10">
        <f>dataset_1!I366</f>
        <v>1</v>
      </c>
      <c r="J176" s="10">
        <f>dataset_1!J366</f>
        <v>0.24</v>
      </c>
      <c r="K176" s="10">
        <f>VLOOKUP(A176,dataset_2!$A$2:$G$611,2,0)</f>
        <v>0.2273</v>
      </c>
      <c r="L176" s="10">
        <f>VLOOKUP(A176,dataset_2!$A$2:$G$611,3,0)</f>
        <v>0.38</v>
      </c>
      <c r="M176" s="10">
        <f>VLOOKUP(A176,dataset_2!$A$2:$G$611,4,0)</f>
        <v>0.2239</v>
      </c>
      <c r="N176" s="10">
        <f>VLOOKUP(A176,dataset_2!$A$2:$G$611,5,0)</f>
        <v>22</v>
      </c>
      <c r="O176" s="10">
        <f>VLOOKUP(A176,dataset_2!$A$2:$G$611,6,0)</f>
        <v>77</v>
      </c>
      <c r="P176" s="10">
        <f>VLOOKUP(A176,dataset_2!$A$2:$G$611,7,0)</f>
        <v>99</v>
      </c>
      <c r="Q176" s="10"/>
      <c r="R176" s="10" t="str">
        <f t="shared" si="1"/>
        <v>OK</v>
      </c>
      <c r="S176" s="10">
        <f t="shared" si="2"/>
        <v>5</v>
      </c>
      <c r="T176" s="10" t="str">
        <f t="shared" si="3"/>
        <v>OK</v>
      </c>
      <c r="U176" s="10">
        <f t="shared" si="4"/>
        <v>1</v>
      </c>
      <c r="V176" s="10"/>
      <c r="W176" s="10"/>
      <c r="X176" s="10"/>
      <c r="Y176" s="10"/>
      <c r="Z176" s="10"/>
    </row>
    <row r="177" ht="13.5" customHeight="1">
      <c r="A177" s="10">
        <f>dataset_1!A405</f>
        <v>404</v>
      </c>
      <c r="B177" s="11">
        <f>dataset_1!B405</f>
        <v>40561</v>
      </c>
      <c r="C177" s="10">
        <f>dataset_1!C405</f>
        <v>1</v>
      </c>
      <c r="D177" s="10">
        <f>dataset_1!D405</f>
        <v>0</v>
      </c>
      <c r="E177" s="10">
        <f>dataset_1!E405</f>
        <v>1</v>
      </c>
      <c r="F177" s="10">
        <f>dataset_1!F405</f>
        <v>19</v>
      </c>
      <c r="G177" s="10" t="b">
        <f>dataset_1!G405</f>
        <v>0</v>
      </c>
      <c r="H177" s="10">
        <f>dataset_1!H405</f>
        <v>2</v>
      </c>
      <c r="I177" s="10">
        <f>dataset_1!I405</f>
        <v>2</v>
      </c>
      <c r="J177" s="10">
        <f>dataset_1!J405</f>
        <v>0.22</v>
      </c>
      <c r="K177" s="10">
        <f>VLOOKUP(A177,dataset_2!$A$2:$G$611,2,0)</f>
        <v>0.2273</v>
      </c>
      <c r="L177" s="10">
        <f>VLOOKUP(A177,dataset_2!$A$2:$G$611,3,0)</f>
        <v>0.8</v>
      </c>
      <c r="M177" s="10">
        <f>VLOOKUP(A177,dataset_2!$A$2:$G$611,4,0)</f>
        <v>0.1343</v>
      </c>
      <c r="N177" s="10">
        <f>VLOOKUP(A177,dataset_2!$A$2:$G$611,5,0)</f>
        <v>1</v>
      </c>
      <c r="O177" s="10">
        <f>VLOOKUP(A177,dataset_2!$A$2:$G$611,6,0)</f>
        <v>98</v>
      </c>
      <c r="P177" s="10">
        <f>VLOOKUP(A177,dataset_2!$A$2:$G$611,7,0)</f>
        <v>99</v>
      </c>
      <c r="Q177" s="10"/>
      <c r="R177" s="10" t="str">
        <f t="shared" si="1"/>
        <v>OK</v>
      </c>
      <c r="S177" s="10">
        <f t="shared" si="2"/>
        <v>5</v>
      </c>
      <c r="T177" s="10" t="str">
        <f t="shared" si="3"/>
        <v>OK</v>
      </c>
      <c r="U177" s="10">
        <f t="shared" si="4"/>
        <v>1</v>
      </c>
      <c r="V177" s="10"/>
      <c r="W177" s="10"/>
      <c r="X177" s="10"/>
      <c r="Y177" s="10"/>
      <c r="Z177" s="10"/>
    </row>
    <row r="178" ht="13.5" customHeight="1">
      <c r="A178" s="10">
        <f>dataset_1!A514</f>
        <v>513</v>
      </c>
      <c r="B178" s="11">
        <f>dataset_1!B514</f>
        <v>40566</v>
      </c>
      <c r="C178" s="10">
        <f>dataset_1!C514</f>
        <v>1</v>
      </c>
      <c r="D178" s="10">
        <f>dataset_1!D514</f>
        <v>0</v>
      </c>
      <c r="E178" s="10">
        <f>dataset_1!E514</f>
        <v>1</v>
      </c>
      <c r="F178" s="10">
        <f>dataset_1!F514</f>
        <v>11</v>
      </c>
      <c r="G178" s="10" t="b">
        <f>dataset_1!G514</f>
        <v>0</v>
      </c>
      <c r="H178" s="10">
        <f>dataset_1!H514</f>
        <v>0</v>
      </c>
      <c r="I178" s="10">
        <f>dataset_1!I514</f>
        <v>1</v>
      </c>
      <c r="J178" s="10">
        <f>dataset_1!J514</f>
        <v>0.14</v>
      </c>
      <c r="K178" s="10">
        <f>VLOOKUP(A178,dataset_2!$A$2:$G$611,2,0)</f>
        <v>0.1364</v>
      </c>
      <c r="L178" s="10">
        <f>VLOOKUP(A178,dataset_2!$A$2:$G$611,3,0)</f>
        <v>0.43</v>
      </c>
      <c r="M178" s="10">
        <f>VLOOKUP(A178,dataset_2!$A$2:$G$611,4,0)</f>
        <v>0.2239</v>
      </c>
      <c r="N178" s="10">
        <f>VLOOKUP(A178,dataset_2!$A$2:$G$611,5,0)</f>
        <v>22</v>
      </c>
      <c r="O178" s="10">
        <f>VLOOKUP(A178,dataset_2!$A$2:$G$611,6,0)</f>
        <v>77</v>
      </c>
      <c r="P178" s="10">
        <f>VLOOKUP(A178,dataset_2!$A$2:$G$611,7,0)</f>
        <v>99</v>
      </c>
      <c r="Q178" s="10"/>
      <c r="R178" s="10" t="str">
        <f t="shared" si="1"/>
        <v>OK</v>
      </c>
      <c r="S178" s="10">
        <f t="shared" si="2"/>
        <v>5</v>
      </c>
      <c r="T178" s="10" t="str">
        <f t="shared" si="3"/>
        <v>OK</v>
      </c>
      <c r="U178" s="10">
        <f t="shared" si="4"/>
        <v>1</v>
      </c>
      <c r="V178" s="10"/>
      <c r="W178" s="10"/>
      <c r="X178" s="10"/>
      <c r="Y178" s="10"/>
      <c r="Z178" s="10"/>
    </row>
    <row r="179" ht="13.5" customHeight="1">
      <c r="A179" s="3">
        <v>632.0</v>
      </c>
      <c r="B179" s="12">
        <v>40572.0</v>
      </c>
      <c r="C179" s="3">
        <v>1.0</v>
      </c>
      <c r="D179" s="3">
        <v>0.0</v>
      </c>
      <c r="E179" s="3">
        <v>1.0</v>
      </c>
      <c r="F179" s="3">
        <v>14.0</v>
      </c>
      <c r="G179" s="3" t="b">
        <f t="shared" ref="G179:G182" si="25">FALSE()</f>
        <v>0</v>
      </c>
      <c r="H179" s="3">
        <v>6.0</v>
      </c>
      <c r="I179" s="3">
        <v>2.0</v>
      </c>
      <c r="J179" s="3">
        <v>0.22</v>
      </c>
      <c r="K179" s="3">
        <v>0.2273</v>
      </c>
      <c r="L179" s="3">
        <v>0.6</v>
      </c>
      <c r="M179" s="3">
        <v>0.1343</v>
      </c>
      <c r="N179" s="3">
        <v>10.0</v>
      </c>
      <c r="O179" s="3">
        <v>89.0</v>
      </c>
      <c r="P179" s="3">
        <v>99.0</v>
      </c>
      <c r="Q179" s="10"/>
      <c r="R179" s="10" t="str">
        <f t="shared" si="1"/>
        <v>OK</v>
      </c>
      <c r="S179" s="10">
        <f t="shared" si="2"/>
        <v>5</v>
      </c>
      <c r="T179" s="10" t="str">
        <f t="shared" si="3"/>
        <v>OK</v>
      </c>
      <c r="U179" s="10">
        <f t="shared" si="4"/>
        <v>1</v>
      </c>
      <c r="V179" s="10"/>
      <c r="W179" s="10"/>
      <c r="X179" s="10"/>
      <c r="Y179" s="10"/>
      <c r="Z179" s="10"/>
    </row>
    <row r="180" ht="13.5" customHeight="1">
      <c r="A180" s="3">
        <v>774.0</v>
      </c>
      <c r="B180" s="12">
        <v>40578.0</v>
      </c>
      <c r="C180" s="3">
        <v>1.0</v>
      </c>
      <c r="D180" s="3">
        <v>0.0</v>
      </c>
      <c r="E180" s="3">
        <v>2.0</v>
      </c>
      <c r="F180" s="3">
        <v>16.0</v>
      </c>
      <c r="G180" s="3" t="b">
        <f t="shared" si="25"/>
        <v>0</v>
      </c>
      <c r="H180" s="3">
        <v>5.0</v>
      </c>
      <c r="I180" s="3">
        <v>2.0</v>
      </c>
      <c r="J180" s="3">
        <v>0.3</v>
      </c>
      <c r="K180" s="3">
        <v>0.2879</v>
      </c>
      <c r="L180" s="3">
        <v>0.42</v>
      </c>
      <c r="M180" s="3">
        <v>0.2239</v>
      </c>
      <c r="N180" s="3">
        <v>8.0</v>
      </c>
      <c r="O180" s="3">
        <v>91.0</v>
      </c>
      <c r="P180" s="3">
        <v>99.0</v>
      </c>
      <c r="Q180" s="10"/>
      <c r="R180" s="10" t="str">
        <f t="shared" si="1"/>
        <v>OK</v>
      </c>
      <c r="S180" s="10">
        <f t="shared" si="2"/>
        <v>5</v>
      </c>
      <c r="T180" s="10" t="str">
        <f t="shared" si="3"/>
        <v>OK</v>
      </c>
      <c r="U180" s="10">
        <f t="shared" si="4"/>
        <v>1</v>
      </c>
      <c r="V180" s="10"/>
      <c r="W180" s="10"/>
      <c r="X180" s="10"/>
      <c r="Y180" s="10"/>
      <c r="Z180" s="10"/>
    </row>
    <row r="181" ht="13.5" customHeight="1">
      <c r="A181" s="3">
        <v>884.0</v>
      </c>
      <c r="B181" s="12">
        <v>40583.0</v>
      </c>
      <c r="C181" s="3">
        <v>1.0</v>
      </c>
      <c r="D181" s="3">
        <v>0.0</v>
      </c>
      <c r="E181" s="3">
        <v>2.0</v>
      </c>
      <c r="F181" s="3">
        <v>7.0</v>
      </c>
      <c r="G181" s="3" t="b">
        <f t="shared" si="25"/>
        <v>0</v>
      </c>
      <c r="H181" s="3">
        <v>3.0</v>
      </c>
      <c r="I181" s="3">
        <v>1.0</v>
      </c>
      <c r="J181" s="3">
        <v>0.06</v>
      </c>
      <c r="K181" s="3">
        <v>0.1061</v>
      </c>
      <c r="L181" s="3">
        <v>0.49</v>
      </c>
      <c r="M181" s="3">
        <v>0.1045</v>
      </c>
      <c r="N181" s="3">
        <v>4.0</v>
      </c>
      <c r="O181" s="3">
        <v>95.0</v>
      </c>
      <c r="P181" s="3">
        <v>99.0</v>
      </c>
      <c r="Q181" s="10"/>
      <c r="R181" s="10" t="str">
        <f t="shared" si="1"/>
        <v>OK</v>
      </c>
      <c r="S181" s="10">
        <f t="shared" si="2"/>
        <v>5</v>
      </c>
      <c r="T181" s="10" t="str">
        <f t="shared" si="3"/>
        <v>OK</v>
      </c>
      <c r="U181" s="10">
        <f t="shared" si="4"/>
        <v>1</v>
      </c>
      <c r="V181" s="10"/>
      <c r="W181" s="10"/>
      <c r="X181" s="10"/>
      <c r="Y181" s="10"/>
      <c r="Z181" s="10"/>
    </row>
    <row r="182" ht="13.5" customHeight="1">
      <c r="A182" s="3">
        <v>907.0</v>
      </c>
      <c r="B182" s="12">
        <v>40584.0</v>
      </c>
      <c r="C182" s="3">
        <v>1.0</v>
      </c>
      <c r="D182" s="3">
        <v>0.0</v>
      </c>
      <c r="E182" s="3">
        <v>2.0</v>
      </c>
      <c r="F182" s="3">
        <v>7.0</v>
      </c>
      <c r="G182" s="3" t="b">
        <f t="shared" si="25"/>
        <v>0</v>
      </c>
      <c r="H182" s="3">
        <v>4.0</v>
      </c>
      <c r="I182" s="3">
        <v>1.0</v>
      </c>
      <c r="J182" s="3">
        <v>0.1</v>
      </c>
      <c r="K182" s="3">
        <v>0.0758</v>
      </c>
      <c r="L182" s="3">
        <v>0.5</v>
      </c>
      <c r="M182" s="3">
        <v>0.4179</v>
      </c>
      <c r="N182" s="3">
        <v>0.0</v>
      </c>
      <c r="O182" s="3">
        <v>99.0</v>
      </c>
      <c r="P182" s="3">
        <v>99.0</v>
      </c>
      <c r="Q182" s="10"/>
      <c r="R182" s="10" t="str">
        <f t="shared" si="1"/>
        <v>OK</v>
      </c>
      <c r="S182" s="10">
        <f t="shared" si="2"/>
        <v>5</v>
      </c>
      <c r="T182" s="10" t="str">
        <f t="shared" si="3"/>
        <v>OK</v>
      </c>
      <c r="U182" s="10">
        <f t="shared" si="4"/>
        <v>1</v>
      </c>
      <c r="V182" s="10"/>
      <c r="W182" s="10"/>
      <c r="X182" s="10"/>
      <c r="Y182" s="10"/>
      <c r="Z182" s="10"/>
    </row>
    <row r="183" ht="13.5" customHeight="1">
      <c r="A183" s="10">
        <f>dataset_1!A175</f>
        <v>174</v>
      </c>
      <c r="B183" s="11">
        <f>dataset_1!B175</f>
        <v>40551</v>
      </c>
      <c r="C183" s="10">
        <f>dataset_1!C175</f>
        <v>1</v>
      </c>
      <c r="D183" s="10">
        <f>dataset_1!D175</f>
        <v>0</v>
      </c>
      <c r="E183" s="10">
        <f>dataset_1!E175</f>
        <v>1</v>
      </c>
      <c r="F183" s="10">
        <f>dataset_1!F175</f>
        <v>12</v>
      </c>
      <c r="G183" s="10" t="b">
        <f>dataset_1!G175</f>
        <v>0</v>
      </c>
      <c r="H183" s="10">
        <f>dataset_1!H175</f>
        <v>6</v>
      </c>
      <c r="I183" s="10">
        <f>dataset_1!I175</f>
        <v>2</v>
      </c>
      <c r="J183" s="10">
        <f>dataset_1!J175</f>
        <v>0.2</v>
      </c>
      <c r="K183" s="10">
        <f>VLOOKUP(A183,dataset_2!$A$2:$G$611,2,0)</f>
        <v>0.1818</v>
      </c>
      <c r="L183" s="10">
        <f>VLOOKUP(A183,dataset_2!$A$2:$G$611,3,0)</f>
        <v>0.59</v>
      </c>
      <c r="M183" s="10">
        <f>VLOOKUP(A183,dataset_2!$A$2:$G$611,4,0)</f>
        <v>0.3582</v>
      </c>
      <c r="N183" s="10">
        <f>VLOOKUP(A183,dataset_2!$A$2:$G$611,5,0)</f>
        <v>8</v>
      </c>
      <c r="O183" s="10">
        <f>VLOOKUP(A183,dataset_2!$A$2:$G$611,6,0)</f>
        <v>90</v>
      </c>
      <c r="P183" s="10">
        <f>VLOOKUP(A183,dataset_2!$A$2:$G$611,7,0)</f>
        <v>98</v>
      </c>
      <c r="Q183" s="10"/>
      <c r="R183" s="10" t="str">
        <f t="shared" si="1"/>
        <v>OK</v>
      </c>
      <c r="S183" s="10">
        <f t="shared" si="2"/>
        <v>5</v>
      </c>
      <c r="T183" s="10" t="str">
        <f t="shared" si="3"/>
        <v>OK</v>
      </c>
      <c r="U183" s="10">
        <f t="shared" si="4"/>
        <v>1</v>
      </c>
      <c r="V183" s="10"/>
      <c r="W183" s="10"/>
      <c r="X183" s="10"/>
      <c r="Y183" s="10"/>
      <c r="Z183" s="10"/>
    </row>
    <row r="184" ht="13.5" customHeight="1">
      <c r="A184" s="10">
        <f>dataset_1!A446</f>
        <v>445</v>
      </c>
      <c r="B184" s="11">
        <f>dataset_1!B446</f>
        <v>40563</v>
      </c>
      <c r="C184" s="10">
        <f>dataset_1!C446</f>
        <v>1</v>
      </c>
      <c r="D184" s="10">
        <f>dataset_1!D446</f>
        <v>0</v>
      </c>
      <c r="E184" s="10">
        <f>dataset_1!E446</f>
        <v>1</v>
      </c>
      <c r="F184" s="10">
        <f>dataset_1!F446</f>
        <v>13</v>
      </c>
      <c r="G184" s="10" t="b">
        <f>dataset_1!G446</f>
        <v>0</v>
      </c>
      <c r="H184" s="10">
        <f>dataset_1!H446</f>
        <v>4</v>
      </c>
      <c r="I184" s="10">
        <f>dataset_1!I446</f>
        <v>2</v>
      </c>
      <c r="J184" s="10">
        <f>dataset_1!J446</f>
        <v>0.28</v>
      </c>
      <c r="K184" s="10">
        <f>VLOOKUP(A184,dataset_2!$A$2:$G$611,2,0)</f>
        <v>0.2879</v>
      </c>
      <c r="L184" s="10">
        <f>VLOOKUP(A184,dataset_2!$A$2:$G$611,3,0)</f>
        <v>0.45</v>
      </c>
      <c r="M184" s="10">
        <f>VLOOKUP(A184,dataset_2!$A$2:$G$611,4,0)</f>
        <v>0.1045</v>
      </c>
      <c r="N184" s="10">
        <f>VLOOKUP(A184,dataset_2!$A$2:$G$611,5,0)</f>
        <v>12</v>
      </c>
      <c r="O184" s="10">
        <f>VLOOKUP(A184,dataset_2!$A$2:$G$611,6,0)</f>
        <v>86</v>
      </c>
      <c r="P184" s="10">
        <f>VLOOKUP(A184,dataset_2!$A$2:$G$611,7,0)</f>
        <v>98</v>
      </c>
      <c r="Q184" s="10"/>
      <c r="R184" s="10" t="str">
        <f t="shared" si="1"/>
        <v>OK</v>
      </c>
      <c r="S184" s="10">
        <f t="shared" si="2"/>
        <v>5</v>
      </c>
      <c r="T184" s="10" t="str">
        <f t="shared" si="3"/>
        <v>OK</v>
      </c>
      <c r="U184" s="10">
        <f t="shared" si="4"/>
        <v>1</v>
      </c>
      <c r="V184" s="10"/>
      <c r="W184" s="10"/>
      <c r="X184" s="10"/>
      <c r="Y184" s="10"/>
      <c r="Z184" s="10"/>
    </row>
    <row r="185" ht="13.5" customHeight="1">
      <c r="A185" s="3">
        <v>1000.0</v>
      </c>
      <c r="B185" s="12">
        <v>40588.0</v>
      </c>
      <c r="C185" s="3">
        <v>1.0</v>
      </c>
      <c r="D185" s="3">
        <v>0.0</v>
      </c>
      <c r="E185" s="3">
        <v>2.0</v>
      </c>
      <c r="F185" s="3">
        <v>7.0</v>
      </c>
      <c r="G185" s="3" t="b">
        <f>FALSE()</f>
        <v>0</v>
      </c>
      <c r="H185" s="3">
        <v>1.0</v>
      </c>
      <c r="I185" s="3">
        <v>1.0</v>
      </c>
      <c r="J185" s="3">
        <v>0.34</v>
      </c>
      <c r="K185" s="3">
        <v>0.303</v>
      </c>
      <c r="L185" s="3">
        <v>0.46</v>
      </c>
      <c r="M185" s="3">
        <v>0.2985</v>
      </c>
      <c r="N185" s="3">
        <v>2.0</v>
      </c>
      <c r="O185" s="3">
        <v>96.0</v>
      </c>
      <c r="P185" s="3">
        <v>98.0</v>
      </c>
      <c r="Q185" s="10"/>
      <c r="R185" s="10" t="str">
        <f t="shared" si="1"/>
        <v>OK</v>
      </c>
      <c r="S185" s="10">
        <f t="shared" si="2"/>
        <v>5</v>
      </c>
      <c r="T185" s="10" t="str">
        <f t="shared" si="3"/>
        <v>OK</v>
      </c>
      <c r="U185" s="10">
        <f t="shared" si="4"/>
        <v>1</v>
      </c>
      <c r="V185" s="10"/>
      <c r="W185" s="10"/>
      <c r="X185" s="10"/>
      <c r="Y185" s="10"/>
      <c r="Z185" s="10"/>
    </row>
    <row r="186" ht="13.5" customHeight="1">
      <c r="A186" s="10">
        <f>dataset_1!A83</f>
        <v>82</v>
      </c>
      <c r="B186" s="11">
        <f>dataset_1!B83</f>
        <v>40547</v>
      </c>
      <c r="C186" s="10">
        <f>dataset_1!C83</f>
        <v>1</v>
      </c>
      <c r="D186" s="10">
        <f>dataset_1!D83</f>
        <v>0</v>
      </c>
      <c r="E186" s="10">
        <f>dataset_1!E83</f>
        <v>1</v>
      </c>
      <c r="F186" s="10">
        <f>dataset_1!F83</f>
        <v>13</v>
      </c>
      <c r="G186" s="10" t="b">
        <f>dataset_1!G83</f>
        <v>0</v>
      </c>
      <c r="H186" s="10">
        <f>dataset_1!H83</f>
        <v>2</v>
      </c>
      <c r="I186" s="10">
        <f>dataset_1!I83</f>
        <v>1</v>
      </c>
      <c r="J186" s="10">
        <f>dataset_1!J83</f>
        <v>0.24</v>
      </c>
      <c r="K186" s="10">
        <f>VLOOKUP(A186,dataset_2!$A$2:$G$611,2,0)</f>
        <v>0.2273</v>
      </c>
      <c r="L186" s="10">
        <f>VLOOKUP(A186,dataset_2!$A$2:$G$611,3,0)</f>
        <v>0.56</v>
      </c>
      <c r="M186" s="10">
        <f>VLOOKUP(A186,dataset_2!$A$2:$G$611,4,0)</f>
        <v>0.194</v>
      </c>
      <c r="N186" s="10">
        <f>VLOOKUP(A186,dataset_2!$A$2:$G$611,5,0)</f>
        <v>18</v>
      </c>
      <c r="O186" s="10">
        <f>VLOOKUP(A186,dataset_2!$A$2:$G$611,6,0)</f>
        <v>79</v>
      </c>
      <c r="P186" s="10">
        <f>VLOOKUP(A186,dataset_2!$A$2:$G$611,7,0)</f>
        <v>97</v>
      </c>
      <c r="Q186" s="10"/>
      <c r="R186" s="10" t="str">
        <f t="shared" si="1"/>
        <v>OK</v>
      </c>
      <c r="S186" s="10">
        <f t="shared" si="2"/>
        <v>5</v>
      </c>
      <c r="T186" s="10" t="str">
        <f t="shared" si="3"/>
        <v>OK</v>
      </c>
      <c r="U186" s="10">
        <f t="shared" si="4"/>
        <v>1</v>
      </c>
      <c r="V186" s="10"/>
      <c r="W186" s="10"/>
      <c r="X186" s="10"/>
      <c r="Y186" s="10"/>
      <c r="Z186" s="10"/>
    </row>
    <row r="187" ht="13.5" customHeight="1">
      <c r="A187" s="10">
        <f>dataset_1!A473</f>
        <v>472</v>
      </c>
      <c r="B187" s="11">
        <f>dataset_1!B473</f>
        <v>40564</v>
      </c>
      <c r="C187" s="10">
        <f>dataset_1!C473</f>
        <v>1</v>
      </c>
      <c r="D187" s="10">
        <f>dataset_1!D473</f>
        <v>0</v>
      </c>
      <c r="E187" s="10">
        <f>dataset_1!E473</f>
        <v>1</v>
      </c>
      <c r="F187" s="10">
        <f>dataset_1!F473</f>
        <v>16</v>
      </c>
      <c r="G187" s="10" t="b">
        <f>dataset_1!G473</f>
        <v>0</v>
      </c>
      <c r="H187" s="10">
        <f>dataset_1!H473</f>
        <v>5</v>
      </c>
      <c r="I187" s="10">
        <f>dataset_1!I473</f>
        <v>1</v>
      </c>
      <c r="J187" s="10">
        <f>dataset_1!J473</f>
        <v>0.16</v>
      </c>
      <c r="K187" s="10">
        <f>VLOOKUP(A187,dataset_2!$A$2:$G$611,2,0)</f>
        <v>0.1364</v>
      </c>
      <c r="L187" s="10">
        <f>VLOOKUP(A187,dataset_2!$A$2:$G$611,3,0)</f>
        <v>0.26</v>
      </c>
      <c r="M187" s="10">
        <f>VLOOKUP(A187,dataset_2!$A$2:$G$611,4,0)</f>
        <v>0.3582</v>
      </c>
      <c r="N187" s="10">
        <f>VLOOKUP(A187,dataset_2!$A$2:$G$611,5,0)</f>
        <v>0</v>
      </c>
      <c r="O187" s="10">
        <f>VLOOKUP(A187,dataset_2!$A$2:$G$611,6,0)</f>
        <v>97</v>
      </c>
      <c r="P187" s="10">
        <f>VLOOKUP(A187,dataset_2!$A$2:$G$611,7,0)</f>
        <v>97</v>
      </c>
      <c r="Q187" s="10"/>
      <c r="R187" s="10" t="str">
        <f t="shared" si="1"/>
        <v>OK</v>
      </c>
      <c r="S187" s="10">
        <f t="shared" si="2"/>
        <v>5</v>
      </c>
      <c r="T187" s="10" t="str">
        <f t="shared" si="3"/>
        <v>OK</v>
      </c>
      <c r="U187" s="10">
        <f t="shared" si="4"/>
        <v>1</v>
      </c>
      <c r="V187" s="10"/>
      <c r="W187" s="10"/>
      <c r="X187" s="10"/>
      <c r="Y187" s="10"/>
      <c r="Z187" s="10"/>
    </row>
    <row r="188" ht="13.5" customHeight="1">
      <c r="A188" s="3">
        <v>653.0</v>
      </c>
      <c r="B188" s="12">
        <v>40573.0</v>
      </c>
      <c r="C188" s="3">
        <v>1.0</v>
      </c>
      <c r="D188" s="3">
        <v>0.0</v>
      </c>
      <c r="E188" s="3">
        <v>1.0</v>
      </c>
      <c r="F188" s="3">
        <v>12.0</v>
      </c>
      <c r="G188" s="3" t="b">
        <f t="shared" ref="G188:G189" si="26">FALSE()</f>
        <v>0</v>
      </c>
      <c r="H188" s="3">
        <v>0.0</v>
      </c>
      <c r="I188" s="3">
        <v>1.0</v>
      </c>
      <c r="J188" s="3">
        <v>0.3</v>
      </c>
      <c r="K188" s="3">
        <v>0.3182</v>
      </c>
      <c r="L188" s="3">
        <v>0.52</v>
      </c>
      <c r="M188" s="3">
        <v>0.1045</v>
      </c>
      <c r="N188" s="3">
        <v>10.0</v>
      </c>
      <c r="O188" s="3">
        <v>87.0</v>
      </c>
      <c r="P188" s="3">
        <v>97.0</v>
      </c>
      <c r="Q188" s="10"/>
      <c r="R188" s="10" t="str">
        <f t="shared" si="1"/>
        <v>OK</v>
      </c>
      <c r="S188" s="10">
        <f t="shared" si="2"/>
        <v>5</v>
      </c>
      <c r="T188" s="10" t="str">
        <f t="shared" si="3"/>
        <v>OK</v>
      </c>
      <c r="U188" s="10">
        <f t="shared" si="4"/>
        <v>1</v>
      </c>
      <c r="V188" s="10"/>
      <c r="W188" s="10"/>
      <c r="X188" s="10"/>
      <c r="Y188" s="10"/>
      <c r="Z188" s="10"/>
    </row>
    <row r="189" ht="13.5" customHeight="1">
      <c r="A189" s="3">
        <v>920.0</v>
      </c>
      <c r="B189" s="12">
        <v>40584.0</v>
      </c>
      <c r="C189" s="3">
        <v>1.0</v>
      </c>
      <c r="D189" s="3">
        <v>0.0</v>
      </c>
      <c r="E189" s="3">
        <v>2.0</v>
      </c>
      <c r="F189" s="3">
        <v>20.0</v>
      </c>
      <c r="G189" s="3" t="b">
        <f t="shared" si="26"/>
        <v>0</v>
      </c>
      <c r="H189" s="3">
        <v>4.0</v>
      </c>
      <c r="I189" s="3">
        <v>1.0</v>
      </c>
      <c r="J189" s="3">
        <v>0.14</v>
      </c>
      <c r="K189" s="3">
        <v>0.1818</v>
      </c>
      <c r="L189" s="3">
        <v>0.31</v>
      </c>
      <c r="M189" s="3">
        <v>0.0896</v>
      </c>
      <c r="N189" s="3">
        <v>4.0</v>
      </c>
      <c r="O189" s="3">
        <v>93.0</v>
      </c>
      <c r="P189" s="3">
        <v>97.0</v>
      </c>
      <c r="Q189" s="10"/>
      <c r="R189" s="10" t="str">
        <f t="shared" si="1"/>
        <v>OK</v>
      </c>
      <c r="S189" s="10">
        <f t="shared" si="2"/>
        <v>5</v>
      </c>
      <c r="T189" s="10" t="str">
        <f t="shared" si="3"/>
        <v>OK</v>
      </c>
      <c r="U189" s="10">
        <f t="shared" si="4"/>
        <v>1</v>
      </c>
      <c r="V189" s="10"/>
      <c r="W189" s="10"/>
      <c r="X189" s="10"/>
      <c r="Y189" s="10"/>
      <c r="Z189" s="10"/>
    </row>
    <row r="190" ht="13.5" customHeight="1">
      <c r="A190" s="10">
        <f>dataset_1!A476</f>
        <v>475</v>
      </c>
      <c r="B190" s="11">
        <f>dataset_1!B476</f>
        <v>40564</v>
      </c>
      <c r="C190" s="10">
        <f>dataset_1!C476</f>
        <v>1</v>
      </c>
      <c r="D190" s="10">
        <f>dataset_1!D476</f>
        <v>0</v>
      </c>
      <c r="E190" s="10">
        <f>dataset_1!E476</f>
        <v>1</v>
      </c>
      <c r="F190" s="10">
        <f>dataset_1!F476</f>
        <v>19</v>
      </c>
      <c r="G190" s="10" t="b">
        <f>dataset_1!G476</f>
        <v>0</v>
      </c>
      <c r="H190" s="10">
        <f>dataset_1!H476</f>
        <v>5</v>
      </c>
      <c r="I190" s="10">
        <f>dataset_1!I476</f>
        <v>1</v>
      </c>
      <c r="J190" s="10">
        <f>dataset_1!J476</f>
        <v>0.12</v>
      </c>
      <c r="K190" s="10">
        <f>VLOOKUP(A190,dataset_2!$A$2:$G$611,2,0)</f>
        <v>0.1061</v>
      </c>
      <c r="L190" s="10">
        <f>VLOOKUP(A190,dataset_2!$A$2:$G$611,3,0)</f>
        <v>0.3</v>
      </c>
      <c r="M190" s="10">
        <f>VLOOKUP(A190,dataset_2!$A$2:$G$611,4,0)</f>
        <v>0.3284</v>
      </c>
      <c r="N190" s="10">
        <f>VLOOKUP(A190,dataset_2!$A$2:$G$611,5,0)</f>
        <v>3</v>
      </c>
      <c r="O190" s="10">
        <f>VLOOKUP(A190,dataset_2!$A$2:$G$611,6,0)</f>
        <v>93</v>
      </c>
      <c r="P190" s="10">
        <f>VLOOKUP(A190,dataset_2!$A$2:$G$611,7,0)</f>
        <v>96</v>
      </c>
      <c r="Q190" s="10"/>
      <c r="R190" s="10" t="str">
        <f t="shared" si="1"/>
        <v>OK</v>
      </c>
      <c r="S190" s="10">
        <f t="shared" si="2"/>
        <v>5</v>
      </c>
      <c r="T190" s="10" t="str">
        <f t="shared" si="3"/>
        <v>OK</v>
      </c>
      <c r="U190" s="10">
        <f t="shared" si="4"/>
        <v>1</v>
      </c>
      <c r="V190" s="10"/>
      <c r="W190" s="10"/>
      <c r="X190" s="10"/>
      <c r="Y190" s="10"/>
      <c r="Z190" s="10"/>
    </row>
    <row r="191" ht="13.5" customHeight="1">
      <c r="A191" s="3">
        <v>754.0</v>
      </c>
      <c r="B191" s="12">
        <v>40577.0</v>
      </c>
      <c r="C191" s="3">
        <v>1.0</v>
      </c>
      <c r="D191" s="3">
        <v>0.0</v>
      </c>
      <c r="E191" s="3">
        <v>2.0</v>
      </c>
      <c r="F191" s="3">
        <v>19.0</v>
      </c>
      <c r="G191" s="3" t="b">
        <f>FALSE()</f>
        <v>0</v>
      </c>
      <c r="H191" s="3">
        <v>4.0</v>
      </c>
      <c r="I191" s="3">
        <v>1.0</v>
      </c>
      <c r="J191" s="3">
        <v>0.2</v>
      </c>
      <c r="K191" s="3">
        <v>0.2576</v>
      </c>
      <c r="L191" s="3">
        <v>0.4</v>
      </c>
      <c r="M191" s="3">
        <v>0.0</v>
      </c>
      <c r="N191" s="3">
        <v>4.0</v>
      </c>
      <c r="O191" s="3">
        <v>92.0</v>
      </c>
      <c r="P191" s="3">
        <v>96.0</v>
      </c>
      <c r="Q191" s="10"/>
      <c r="R191" s="10" t="str">
        <f t="shared" si="1"/>
        <v>OK</v>
      </c>
      <c r="S191" s="10">
        <f t="shared" si="2"/>
        <v>5</v>
      </c>
      <c r="T191" s="10" t="str">
        <f t="shared" si="3"/>
        <v>OK</v>
      </c>
      <c r="U191" s="10">
        <f t="shared" si="4"/>
        <v>1</v>
      </c>
      <c r="V191" s="10"/>
      <c r="W191" s="10"/>
      <c r="X191" s="10"/>
      <c r="Y191" s="10"/>
      <c r="Z191" s="10"/>
    </row>
    <row r="192" ht="13.5" customHeight="1">
      <c r="A192" s="10">
        <f>dataset_1!A123</f>
        <v>122</v>
      </c>
      <c r="B192" s="11">
        <f>dataset_1!B123</f>
        <v>40549</v>
      </c>
      <c r="C192" s="10">
        <f>dataset_1!C123</f>
        <v>1</v>
      </c>
      <c r="D192" s="10">
        <f>dataset_1!D123</f>
        <v>0</v>
      </c>
      <c r="E192" s="10">
        <f>dataset_1!E123</f>
        <v>1</v>
      </c>
      <c r="F192" s="10">
        <f>dataset_1!F123</f>
        <v>7</v>
      </c>
      <c r="G192" s="10" t="b">
        <f>dataset_1!G123</f>
        <v>0</v>
      </c>
      <c r="H192" s="10">
        <f>dataset_1!H123</f>
        <v>4</v>
      </c>
      <c r="I192" s="10">
        <f>dataset_1!I123</f>
        <v>2</v>
      </c>
      <c r="J192" s="10">
        <f>dataset_1!J123</f>
        <v>0.16</v>
      </c>
      <c r="K192" s="10">
        <f>VLOOKUP(A192,dataset_2!$A$2:$G$611,2,0)</f>
        <v>0.2273</v>
      </c>
      <c r="L192" s="10">
        <f>VLOOKUP(A192,dataset_2!$A$2:$G$611,3,0)</f>
        <v>0.59</v>
      </c>
      <c r="M192" s="10">
        <f>VLOOKUP(A192,dataset_2!$A$2:$G$611,4,0)</f>
        <v>0</v>
      </c>
      <c r="N192" s="10">
        <f>VLOOKUP(A192,dataset_2!$A$2:$G$611,5,0)</f>
        <v>0</v>
      </c>
      <c r="O192" s="10">
        <f>VLOOKUP(A192,dataset_2!$A$2:$G$611,6,0)</f>
        <v>95</v>
      </c>
      <c r="P192" s="10">
        <f>VLOOKUP(A192,dataset_2!$A$2:$G$611,7,0)</f>
        <v>95</v>
      </c>
      <c r="Q192" s="10"/>
      <c r="R192" s="10" t="str">
        <f t="shared" si="1"/>
        <v>OK</v>
      </c>
      <c r="S192" s="10">
        <f t="shared" si="2"/>
        <v>5</v>
      </c>
      <c r="T192" s="10" t="str">
        <f t="shared" si="3"/>
        <v>OK</v>
      </c>
      <c r="U192" s="10">
        <f t="shared" si="4"/>
        <v>1</v>
      </c>
      <c r="V192" s="10"/>
      <c r="W192" s="10"/>
      <c r="X192" s="10"/>
      <c r="Y192" s="10"/>
      <c r="Z192" s="10"/>
    </row>
    <row r="193" ht="13.5" customHeight="1">
      <c r="A193" s="10">
        <f>dataset_1!A158</f>
        <v>157</v>
      </c>
      <c r="B193" s="11">
        <f>dataset_1!B158</f>
        <v>40550</v>
      </c>
      <c r="C193" s="10">
        <f>dataset_1!C158</f>
        <v>1</v>
      </c>
      <c r="D193" s="10">
        <f>dataset_1!D158</f>
        <v>0</v>
      </c>
      <c r="E193" s="10">
        <f>dataset_1!E158</f>
        <v>1</v>
      </c>
      <c r="F193" s="10">
        <f>dataset_1!F158</f>
        <v>19</v>
      </c>
      <c r="G193" s="10" t="b">
        <f>dataset_1!G158</f>
        <v>0</v>
      </c>
      <c r="H193" s="10">
        <f>dataset_1!H158</f>
        <v>5</v>
      </c>
      <c r="I193" s="10">
        <f>dataset_1!I158</f>
        <v>1</v>
      </c>
      <c r="J193" s="10">
        <f>dataset_1!J158</f>
        <v>0.16</v>
      </c>
      <c r="K193" s="10">
        <f>VLOOKUP(A193,dataset_2!$A$2:$G$611,2,0)</f>
        <v>0.197</v>
      </c>
      <c r="L193" s="10">
        <f>VLOOKUP(A193,dataset_2!$A$2:$G$611,3,0)</f>
        <v>0.55</v>
      </c>
      <c r="M193" s="10">
        <f>VLOOKUP(A193,dataset_2!$A$2:$G$611,4,0)</f>
        <v>0.0896</v>
      </c>
      <c r="N193" s="10">
        <f>VLOOKUP(A193,dataset_2!$A$2:$G$611,5,0)</f>
        <v>3</v>
      </c>
      <c r="O193" s="10">
        <f>VLOOKUP(A193,dataset_2!$A$2:$G$611,6,0)</f>
        <v>92</v>
      </c>
      <c r="P193" s="10">
        <f>VLOOKUP(A193,dataset_2!$A$2:$G$611,7,0)</f>
        <v>95</v>
      </c>
      <c r="Q193" s="10"/>
      <c r="R193" s="10" t="str">
        <f t="shared" si="1"/>
        <v>OK</v>
      </c>
      <c r="S193" s="10">
        <f t="shared" si="2"/>
        <v>5</v>
      </c>
      <c r="T193" s="10" t="str">
        <f t="shared" si="3"/>
        <v>OK</v>
      </c>
      <c r="U193" s="10">
        <f t="shared" si="4"/>
        <v>1</v>
      </c>
      <c r="V193" s="10"/>
      <c r="W193" s="10"/>
      <c r="X193" s="10"/>
      <c r="Y193" s="10"/>
      <c r="Z193" s="10"/>
    </row>
    <row r="194" ht="13.5" customHeight="1">
      <c r="A194" s="10">
        <f>dataset_1!A177</f>
        <v>176</v>
      </c>
      <c r="B194" s="11">
        <f>dataset_1!B177</f>
        <v>40551</v>
      </c>
      <c r="C194" s="10">
        <f>dataset_1!C177</f>
        <v>1</v>
      </c>
      <c r="D194" s="10">
        <f>dataset_1!D177</f>
        <v>0</v>
      </c>
      <c r="E194" s="10">
        <f>dataset_1!E177</f>
        <v>1</v>
      </c>
      <c r="F194" s="10">
        <f>dataset_1!F177</f>
        <v>14</v>
      </c>
      <c r="G194" s="10" t="b">
        <f>dataset_1!G177</f>
        <v>0</v>
      </c>
      <c r="H194" s="10">
        <f>dataset_1!H177</f>
        <v>6</v>
      </c>
      <c r="I194" s="10">
        <f>dataset_1!I177</f>
        <v>1</v>
      </c>
      <c r="J194" s="10">
        <f>dataset_1!J177</f>
        <v>0.2</v>
      </c>
      <c r="K194" s="10">
        <f>VLOOKUP(A194,dataset_2!$A$2:$G$611,2,0)</f>
        <v>0.1667</v>
      </c>
      <c r="L194" s="10">
        <f>VLOOKUP(A194,dataset_2!$A$2:$G$611,3,0)</f>
        <v>0.32</v>
      </c>
      <c r="M194" s="10">
        <f>VLOOKUP(A194,dataset_2!$A$2:$G$611,4,0)</f>
        <v>0.4925</v>
      </c>
      <c r="N194" s="10">
        <f>VLOOKUP(A194,dataset_2!$A$2:$G$611,5,0)</f>
        <v>12</v>
      </c>
      <c r="O194" s="10">
        <f>VLOOKUP(A194,dataset_2!$A$2:$G$611,6,0)</f>
        <v>83</v>
      </c>
      <c r="P194" s="10">
        <f>VLOOKUP(A194,dataset_2!$A$2:$G$611,7,0)</f>
        <v>95</v>
      </c>
      <c r="Q194" s="10"/>
      <c r="R194" s="10" t="str">
        <f t="shared" si="1"/>
        <v>OK</v>
      </c>
      <c r="S194" s="10">
        <f t="shared" si="2"/>
        <v>5</v>
      </c>
      <c r="T194" s="10" t="str">
        <f t="shared" si="3"/>
        <v>OK</v>
      </c>
      <c r="U194" s="10">
        <f t="shared" si="4"/>
        <v>1</v>
      </c>
      <c r="V194" s="10"/>
      <c r="W194" s="10"/>
      <c r="X194" s="10"/>
      <c r="Y194" s="10"/>
      <c r="Z194" s="10"/>
    </row>
    <row r="195" ht="13.5" customHeight="1">
      <c r="A195" s="10">
        <f>dataset_1!A230</f>
        <v>229</v>
      </c>
      <c r="B195" s="11">
        <f>dataset_1!B230</f>
        <v>40553</v>
      </c>
      <c r="C195" s="10">
        <f>dataset_1!C230</f>
        <v>1</v>
      </c>
      <c r="D195" s="10">
        <f>dataset_1!D230</f>
        <v>0</v>
      </c>
      <c r="E195" s="10">
        <f>dataset_1!E230</f>
        <v>1</v>
      </c>
      <c r="F195" s="10">
        <f>dataset_1!F230</f>
        <v>19</v>
      </c>
      <c r="G195" s="10" t="b">
        <f>dataset_1!G230</f>
        <v>0</v>
      </c>
      <c r="H195" s="10">
        <f>dataset_1!H230</f>
        <v>1</v>
      </c>
      <c r="I195" s="10">
        <f>dataset_1!I230</f>
        <v>1</v>
      </c>
      <c r="J195" s="10">
        <f>dataset_1!J230</f>
        <v>0.16</v>
      </c>
      <c r="K195" s="10">
        <f>VLOOKUP(A195,dataset_2!$A$2:$G$611,2,0)</f>
        <v>0.1667</v>
      </c>
      <c r="L195" s="10">
        <f>VLOOKUP(A195,dataset_2!$A$2:$G$611,3,0)</f>
        <v>0.47</v>
      </c>
      <c r="M195" s="10">
        <f>VLOOKUP(A195,dataset_2!$A$2:$G$611,4,0)</f>
        <v>0.1642</v>
      </c>
      <c r="N195" s="10">
        <f>VLOOKUP(A195,dataset_2!$A$2:$G$611,5,0)</f>
        <v>3</v>
      </c>
      <c r="O195" s="10">
        <f>VLOOKUP(A195,dataset_2!$A$2:$G$611,6,0)</f>
        <v>92</v>
      </c>
      <c r="P195" s="10">
        <f>VLOOKUP(A195,dataset_2!$A$2:$G$611,7,0)</f>
        <v>95</v>
      </c>
      <c r="Q195" s="10"/>
      <c r="R195" s="10" t="str">
        <f t="shared" si="1"/>
        <v>OK</v>
      </c>
      <c r="S195" s="10">
        <f t="shared" si="2"/>
        <v>5</v>
      </c>
      <c r="T195" s="10" t="str">
        <f t="shared" si="3"/>
        <v>OK</v>
      </c>
      <c r="U195" s="10">
        <f t="shared" si="4"/>
        <v>1</v>
      </c>
      <c r="V195" s="10"/>
      <c r="W195" s="10"/>
      <c r="X195" s="10"/>
      <c r="Y195" s="10"/>
      <c r="Z195" s="10"/>
    </row>
    <row r="196" ht="13.5" customHeight="1">
      <c r="A196" s="10">
        <f>dataset_1!A251</f>
        <v>250</v>
      </c>
      <c r="B196" s="11">
        <f>dataset_1!B251</f>
        <v>40554</v>
      </c>
      <c r="C196" s="10">
        <f>dataset_1!C251</f>
        <v>1</v>
      </c>
      <c r="D196" s="10">
        <f>dataset_1!D251</f>
        <v>0</v>
      </c>
      <c r="E196" s="10">
        <f>dataset_1!E251</f>
        <v>1</v>
      </c>
      <c r="F196" s="10">
        <f>dataset_1!F251</f>
        <v>18</v>
      </c>
      <c r="G196" s="10" t="b">
        <f>dataset_1!G251</f>
        <v>0</v>
      </c>
      <c r="H196" s="10">
        <f>dataset_1!H251</f>
        <v>2</v>
      </c>
      <c r="I196" s="10">
        <f>dataset_1!I251</f>
        <v>3</v>
      </c>
      <c r="J196" s="10">
        <f>dataset_1!J251</f>
        <v>0.16</v>
      </c>
      <c r="K196" s="10">
        <f>VLOOKUP(A196,dataset_2!$A$2:$G$611,2,0)</f>
        <v>0.1818</v>
      </c>
      <c r="L196" s="10">
        <f>VLOOKUP(A196,dataset_2!$A$2:$G$611,3,0)</f>
        <v>0.93</v>
      </c>
      <c r="M196" s="10">
        <f>VLOOKUP(A196,dataset_2!$A$2:$G$611,4,0)</f>
        <v>0.1045</v>
      </c>
      <c r="N196" s="10">
        <f>VLOOKUP(A196,dataset_2!$A$2:$G$611,5,0)</f>
        <v>1</v>
      </c>
      <c r="O196" s="10">
        <f>VLOOKUP(A196,dataset_2!$A$2:$G$611,6,0)</f>
        <v>94</v>
      </c>
      <c r="P196" s="10">
        <f>VLOOKUP(A196,dataset_2!$A$2:$G$611,7,0)</f>
        <v>95</v>
      </c>
      <c r="Q196" s="10"/>
      <c r="R196" s="10" t="str">
        <f t="shared" si="1"/>
        <v>OK</v>
      </c>
      <c r="S196" s="10">
        <f t="shared" si="2"/>
        <v>5</v>
      </c>
      <c r="T196" s="10" t="str">
        <f t="shared" si="3"/>
        <v>OK</v>
      </c>
      <c r="U196" s="10">
        <f t="shared" si="4"/>
        <v>1</v>
      </c>
      <c r="V196" s="10"/>
      <c r="W196" s="10"/>
      <c r="X196" s="10"/>
      <c r="Y196" s="10"/>
      <c r="Z196" s="10"/>
    </row>
    <row r="197" ht="13.5" customHeight="1">
      <c r="A197" s="3">
        <v>837.0</v>
      </c>
      <c r="B197" s="12">
        <v>40581.0</v>
      </c>
      <c r="C197" s="3">
        <v>1.0</v>
      </c>
      <c r="D197" s="3">
        <v>0.0</v>
      </c>
      <c r="E197" s="3">
        <v>2.0</v>
      </c>
      <c r="F197" s="3">
        <v>7.0</v>
      </c>
      <c r="G197" s="3" t="b">
        <f t="shared" ref="G197:G198" si="27">FALSE()</f>
        <v>0</v>
      </c>
      <c r="H197" s="3">
        <v>1.0</v>
      </c>
      <c r="I197" s="3">
        <v>1.0</v>
      </c>
      <c r="J197" s="3">
        <v>0.18</v>
      </c>
      <c r="K197" s="3">
        <v>0.2424</v>
      </c>
      <c r="L197" s="3">
        <v>0.86</v>
      </c>
      <c r="M197" s="3">
        <v>0.0</v>
      </c>
      <c r="N197" s="3">
        <v>6.0</v>
      </c>
      <c r="O197" s="3">
        <v>89.0</v>
      </c>
      <c r="P197" s="3">
        <v>95.0</v>
      </c>
      <c r="Q197" s="10"/>
      <c r="R197" s="10" t="str">
        <f t="shared" si="1"/>
        <v>OK</v>
      </c>
      <c r="S197" s="10">
        <f t="shared" si="2"/>
        <v>5</v>
      </c>
      <c r="T197" s="10" t="str">
        <f t="shared" si="3"/>
        <v>OK</v>
      </c>
      <c r="U197" s="10">
        <f t="shared" si="4"/>
        <v>1</v>
      </c>
      <c r="V197" s="10"/>
      <c r="W197" s="10"/>
      <c r="X197" s="10"/>
      <c r="Y197" s="10"/>
      <c r="Z197" s="10"/>
    </row>
    <row r="198" ht="13.5" customHeight="1">
      <c r="A198" s="3">
        <v>987.0</v>
      </c>
      <c r="B198" s="12">
        <v>40587.0</v>
      </c>
      <c r="C198" s="3">
        <v>1.0</v>
      </c>
      <c r="D198" s="3">
        <v>0.0</v>
      </c>
      <c r="E198" s="3">
        <v>2.0</v>
      </c>
      <c r="F198" s="3">
        <v>18.0</v>
      </c>
      <c r="G198" s="3" t="b">
        <f t="shared" si="27"/>
        <v>0</v>
      </c>
      <c r="H198" s="3">
        <v>0.0</v>
      </c>
      <c r="I198" s="3">
        <v>1.0</v>
      </c>
      <c r="J198" s="3">
        <v>0.4</v>
      </c>
      <c r="K198" s="3">
        <v>0.4091</v>
      </c>
      <c r="L198" s="3">
        <v>0.32</v>
      </c>
      <c r="M198" s="3">
        <v>0.2985</v>
      </c>
      <c r="N198" s="3">
        <v>17.0</v>
      </c>
      <c r="O198" s="3">
        <v>78.0</v>
      </c>
      <c r="P198" s="3">
        <v>95.0</v>
      </c>
      <c r="Q198" s="10"/>
      <c r="R198" s="10" t="str">
        <f t="shared" si="1"/>
        <v>OK</v>
      </c>
      <c r="S198" s="10">
        <f t="shared" si="2"/>
        <v>5</v>
      </c>
      <c r="T198" s="10" t="str">
        <f t="shared" si="3"/>
        <v>OK</v>
      </c>
      <c r="U198" s="10">
        <f t="shared" si="4"/>
        <v>1</v>
      </c>
      <c r="V198" s="10"/>
      <c r="W198" s="10"/>
      <c r="X198" s="10"/>
      <c r="Y198" s="10"/>
      <c r="Z198" s="10"/>
    </row>
    <row r="199" ht="13.5" customHeight="1">
      <c r="A199" s="10">
        <f>dataset_1!A15</f>
        <v>14</v>
      </c>
      <c r="B199" s="11">
        <f>dataset_1!B15</f>
        <v>40544</v>
      </c>
      <c r="C199" s="10">
        <f>dataset_1!C15</f>
        <v>1</v>
      </c>
      <c r="D199" s="10">
        <f>dataset_1!D15</f>
        <v>0</v>
      </c>
      <c r="E199" s="10">
        <f>dataset_1!E15</f>
        <v>1</v>
      </c>
      <c r="F199" s="10">
        <f>dataset_1!F15</f>
        <v>13</v>
      </c>
      <c r="G199" s="10" t="b">
        <f>dataset_1!G15</f>
        <v>0</v>
      </c>
      <c r="H199" s="10">
        <f>dataset_1!H15</f>
        <v>6</v>
      </c>
      <c r="I199" s="10">
        <f>dataset_1!I15</f>
        <v>2</v>
      </c>
      <c r="J199" s="10">
        <f>dataset_1!J15</f>
        <v>0.46</v>
      </c>
      <c r="K199" s="10">
        <f>VLOOKUP(A199,dataset_2!$A$2:$G$611,2,0)</f>
        <v>0.4545</v>
      </c>
      <c r="L199" s="10">
        <f>VLOOKUP(A199,dataset_2!$A$2:$G$611,3,0)</f>
        <v>0.72</v>
      </c>
      <c r="M199" s="10">
        <f>VLOOKUP(A199,dataset_2!$A$2:$G$611,4,0)</f>
        <v>0.2985</v>
      </c>
      <c r="N199" s="10">
        <f>VLOOKUP(A199,dataset_2!$A$2:$G$611,5,0)</f>
        <v>47</v>
      </c>
      <c r="O199" s="10">
        <f>VLOOKUP(A199,dataset_2!$A$2:$G$611,6,0)</f>
        <v>47</v>
      </c>
      <c r="P199" s="10">
        <f>VLOOKUP(A199,dataset_2!$A$2:$G$611,7,0)</f>
        <v>94</v>
      </c>
      <c r="Q199" s="10"/>
      <c r="R199" s="10" t="str">
        <f t="shared" si="1"/>
        <v>OK</v>
      </c>
      <c r="S199" s="10">
        <f t="shared" si="2"/>
        <v>5</v>
      </c>
      <c r="T199" s="10" t="str">
        <f t="shared" si="3"/>
        <v>OK</v>
      </c>
      <c r="U199" s="10">
        <f t="shared" si="4"/>
        <v>1</v>
      </c>
      <c r="V199" s="10"/>
      <c r="W199" s="10"/>
      <c r="X199" s="10"/>
      <c r="Y199" s="10"/>
      <c r="Z199" s="10"/>
    </row>
    <row r="200" ht="13.5" customHeight="1">
      <c r="A200" s="10">
        <f>dataset_1!A77</f>
        <v>76</v>
      </c>
      <c r="B200" s="11">
        <f>dataset_1!B77</f>
        <v>40547</v>
      </c>
      <c r="C200" s="10">
        <f>dataset_1!C77</f>
        <v>1</v>
      </c>
      <c r="D200" s="10">
        <f>dataset_1!D77</f>
        <v>0</v>
      </c>
      <c r="E200" s="10">
        <f>dataset_1!E77</f>
        <v>1</v>
      </c>
      <c r="F200" s="10">
        <f>dataset_1!F77</f>
        <v>7</v>
      </c>
      <c r="G200" s="10" t="b">
        <f>dataset_1!G77</f>
        <v>0</v>
      </c>
      <c r="H200" s="10">
        <f>dataset_1!H77</f>
        <v>2</v>
      </c>
      <c r="I200" s="10">
        <f>dataset_1!I77</f>
        <v>1</v>
      </c>
      <c r="J200" s="10">
        <f>dataset_1!J77</f>
        <v>0.12</v>
      </c>
      <c r="K200" s="10">
        <f>VLOOKUP(A200,dataset_2!$A$2:$G$611,2,0)</f>
        <v>0.1515</v>
      </c>
      <c r="L200" s="10">
        <f>VLOOKUP(A200,dataset_2!$A$2:$G$611,3,0)</f>
        <v>0.74</v>
      </c>
      <c r="M200" s="10">
        <f>VLOOKUP(A200,dataset_2!$A$2:$G$611,4,0)</f>
        <v>0.1343</v>
      </c>
      <c r="N200" s="10">
        <f>VLOOKUP(A200,dataset_2!$A$2:$G$611,5,0)</f>
        <v>2</v>
      </c>
      <c r="O200" s="10">
        <f>VLOOKUP(A200,dataset_2!$A$2:$G$611,6,0)</f>
        <v>92</v>
      </c>
      <c r="P200" s="10">
        <f>VLOOKUP(A200,dataset_2!$A$2:$G$611,7,0)</f>
        <v>94</v>
      </c>
      <c r="Q200" s="10"/>
      <c r="R200" s="10" t="str">
        <f t="shared" si="1"/>
        <v>OK</v>
      </c>
      <c r="S200" s="10">
        <f t="shared" si="2"/>
        <v>5</v>
      </c>
      <c r="T200" s="10" t="str">
        <f t="shared" si="3"/>
        <v>OK</v>
      </c>
      <c r="U200" s="10">
        <f t="shared" si="4"/>
        <v>1</v>
      </c>
      <c r="V200" s="10"/>
      <c r="W200" s="10"/>
      <c r="X200" s="10"/>
      <c r="Y200" s="10"/>
      <c r="Z200" s="10"/>
    </row>
    <row r="201" ht="13.5" customHeight="1">
      <c r="A201" s="10">
        <f>dataset_1!A220</f>
        <v>219</v>
      </c>
      <c r="B201" s="11">
        <f>dataset_1!B220</f>
        <v>40553</v>
      </c>
      <c r="C201" s="10">
        <f>dataset_1!C220</f>
        <v>1</v>
      </c>
      <c r="D201" s="10">
        <f>dataset_1!D220</f>
        <v>0</v>
      </c>
      <c r="E201" s="10">
        <f>dataset_1!E220</f>
        <v>1</v>
      </c>
      <c r="F201" s="10">
        <f>dataset_1!F220</f>
        <v>9</v>
      </c>
      <c r="G201" s="10" t="b">
        <f>dataset_1!G220</f>
        <v>0</v>
      </c>
      <c r="H201" s="10">
        <f>dataset_1!H220</f>
        <v>1</v>
      </c>
      <c r="I201" s="10">
        <f>dataset_1!I220</f>
        <v>2</v>
      </c>
      <c r="J201" s="10">
        <f>dataset_1!J220</f>
        <v>0.14</v>
      </c>
      <c r="K201" s="10">
        <f>VLOOKUP(A201,dataset_2!$A$2:$G$611,2,0)</f>
        <v>0.1212</v>
      </c>
      <c r="L201" s="10">
        <f>VLOOKUP(A201,dataset_2!$A$2:$G$611,3,0)</f>
        <v>0.5</v>
      </c>
      <c r="M201" s="10">
        <f>VLOOKUP(A201,dataset_2!$A$2:$G$611,4,0)</f>
        <v>0.2537</v>
      </c>
      <c r="N201" s="10">
        <f>VLOOKUP(A201,dataset_2!$A$2:$G$611,5,0)</f>
        <v>2</v>
      </c>
      <c r="O201" s="10">
        <f>VLOOKUP(A201,dataset_2!$A$2:$G$611,6,0)</f>
        <v>92</v>
      </c>
      <c r="P201" s="10">
        <f>VLOOKUP(A201,dataset_2!$A$2:$G$611,7,0)</f>
        <v>94</v>
      </c>
      <c r="Q201" s="10"/>
      <c r="R201" s="10" t="str">
        <f t="shared" si="1"/>
        <v>OK</v>
      </c>
      <c r="S201" s="10">
        <f t="shared" si="2"/>
        <v>5</v>
      </c>
      <c r="T201" s="10" t="str">
        <f t="shared" si="3"/>
        <v>OK</v>
      </c>
      <c r="U201" s="10">
        <f t="shared" si="4"/>
        <v>1</v>
      </c>
      <c r="V201" s="10"/>
      <c r="W201" s="10"/>
      <c r="X201" s="10"/>
      <c r="Y201" s="10"/>
      <c r="Z201" s="10"/>
    </row>
    <row r="202" ht="13.5" customHeight="1">
      <c r="A202" s="10">
        <f>dataset_1!A18</f>
        <v>17</v>
      </c>
      <c r="B202" s="11">
        <f>dataset_1!B18</f>
        <v>40544</v>
      </c>
      <c r="C202" s="10">
        <f>dataset_1!C18</f>
        <v>1</v>
      </c>
      <c r="D202" s="10">
        <f>dataset_1!D18</f>
        <v>0</v>
      </c>
      <c r="E202" s="10">
        <f>dataset_1!E18</f>
        <v>1</v>
      </c>
      <c r="F202" s="10">
        <f>dataset_1!F18</f>
        <v>16</v>
      </c>
      <c r="G202" s="10" t="b">
        <f>dataset_1!G18</f>
        <v>0</v>
      </c>
      <c r="H202" s="10">
        <f>dataset_1!H18</f>
        <v>6</v>
      </c>
      <c r="I202" s="10">
        <f>dataset_1!I18</f>
        <v>2</v>
      </c>
      <c r="J202" s="10">
        <f>dataset_1!J18</f>
        <v>0.42</v>
      </c>
      <c r="K202" s="10">
        <f>VLOOKUP(A202,dataset_2!$A$2:$G$611,2,0)</f>
        <v>0.4242</v>
      </c>
      <c r="L202" s="10">
        <f>VLOOKUP(A202,dataset_2!$A$2:$G$611,3,0)</f>
        <v>0.82</v>
      </c>
      <c r="M202" s="10">
        <f>VLOOKUP(A202,dataset_2!$A$2:$G$611,4,0)</f>
        <v>0.2985</v>
      </c>
      <c r="N202" s="10">
        <f>VLOOKUP(A202,dataset_2!$A$2:$G$611,5,0)</f>
        <v>41</v>
      </c>
      <c r="O202" s="10">
        <f>VLOOKUP(A202,dataset_2!$A$2:$G$611,6,0)</f>
        <v>52</v>
      </c>
      <c r="P202" s="10">
        <f>VLOOKUP(A202,dataset_2!$A$2:$G$611,7,0)</f>
        <v>93</v>
      </c>
      <c r="Q202" s="10"/>
      <c r="R202" s="10" t="str">
        <f t="shared" si="1"/>
        <v>OK</v>
      </c>
      <c r="S202" s="10">
        <f t="shared" si="2"/>
        <v>5</v>
      </c>
      <c r="T202" s="10" t="str">
        <f t="shared" si="3"/>
        <v>OK</v>
      </c>
      <c r="U202" s="10">
        <f t="shared" si="4"/>
        <v>1</v>
      </c>
      <c r="V202" s="10"/>
      <c r="W202" s="10"/>
      <c r="X202" s="10"/>
      <c r="Y202" s="10"/>
      <c r="Z202" s="10"/>
    </row>
    <row r="203" ht="13.5" customHeight="1">
      <c r="A203" s="10">
        <f>dataset_1!A37</f>
        <v>36</v>
      </c>
      <c r="B203" s="11">
        <f>dataset_1!B37</f>
        <v>40545</v>
      </c>
      <c r="C203" s="10">
        <f>dataset_1!C37</f>
        <v>1</v>
      </c>
      <c r="D203" s="10">
        <f>dataset_1!D37</f>
        <v>0</v>
      </c>
      <c r="E203" s="10">
        <f>dataset_1!E37</f>
        <v>1</v>
      </c>
      <c r="F203" s="10">
        <f>dataset_1!F37</f>
        <v>12</v>
      </c>
      <c r="G203" s="10" t="b">
        <f>dataset_1!G37</f>
        <v>0</v>
      </c>
      <c r="H203" s="10">
        <f>dataset_1!H37</f>
        <v>0</v>
      </c>
      <c r="I203" s="10">
        <f>dataset_1!I37</f>
        <v>2</v>
      </c>
      <c r="J203" s="10">
        <f>dataset_1!J37</f>
        <v>0.36</v>
      </c>
      <c r="K203" s="10">
        <f>VLOOKUP(A203,dataset_2!$A$2:$G$611,2,0)</f>
        <v>0.3333</v>
      </c>
      <c r="L203" s="10">
        <f>VLOOKUP(A203,dataset_2!$A$2:$G$611,3,0)</f>
        <v>0.66</v>
      </c>
      <c r="M203" s="10">
        <f>VLOOKUP(A203,dataset_2!$A$2:$G$611,4,0)</f>
        <v>0.2985</v>
      </c>
      <c r="N203" s="10">
        <f>VLOOKUP(A203,dataset_2!$A$2:$G$611,5,0)</f>
        <v>20</v>
      </c>
      <c r="O203" s="10">
        <f>VLOOKUP(A203,dataset_2!$A$2:$G$611,6,0)</f>
        <v>73</v>
      </c>
      <c r="P203" s="10">
        <f>VLOOKUP(A203,dataset_2!$A$2:$G$611,7,0)</f>
        <v>93</v>
      </c>
      <c r="Q203" s="10"/>
      <c r="R203" s="10" t="str">
        <f t="shared" si="1"/>
        <v>OK</v>
      </c>
      <c r="S203" s="10">
        <f t="shared" si="2"/>
        <v>5</v>
      </c>
      <c r="T203" s="10" t="str">
        <f t="shared" si="3"/>
        <v>OK</v>
      </c>
      <c r="U203" s="10">
        <f t="shared" si="4"/>
        <v>1</v>
      </c>
      <c r="V203" s="10"/>
      <c r="W203" s="10"/>
      <c r="X203" s="10"/>
      <c r="Y203" s="10"/>
      <c r="Z203" s="10"/>
    </row>
    <row r="204" ht="13.5" customHeight="1">
      <c r="A204" s="10">
        <f>dataset_1!A361</f>
        <v>360</v>
      </c>
      <c r="B204" s="11">
        <f>dataset_1!B361</f>
        <v>40559</v>
      </c>
      <c r="C204" s="10">
        <f>dataset_1!C361</f>
        <v>1</v>
      </c>
      <c r="D204" s="10">
        <f>dataset_1!D361</f>
        <v>0</v>
      </c>
      <c r="E204" s="10">
        <f>dataset_1!E361</f>
        <v>1</v>
      </c>
      <c r="F204" s="10">
        <f>dataset_1!F361</f>
        <v>11</v>
      </c>
      <c r="G204" s="10" t="b">
        <f>dataset_1!G361</f>
        <v>0</v>
      </c>
      <c r="H204" s="10">
        <f>dataset_1!H361</f>
        <v>0</v>
      </c>
      <c r="I204" s="10">
        <f>dataset_1!I361</f>
        <v>1</v>
      </c>
      <c r="J204" s="10">
        <f>dataset_1!J361</f>
        <v>0.24</v>
      </c>
      <c r="K204" s="10">
        <f>VLOOKUP(A204,dataset_2!$A$2:$G$611,2,0)</f>
        <v>0.2273</v>
      </c>
      <c r="L204" s="10">
        <f>VLOOKUP(A204,dataset_2!$A$2:$G$611,3,0)</f>
        <v>0.44</v>
      </c>
      <c r="M204" s="10">
        <f>VLOOKUP(A204,dataset_2!$A$2:$G$611,4,0)</f>
        <v>0.2537</v>
      </c>
      <c r="N204" s="10">
        <f>VLOOKUP(A204,dataset_2!$A$2:$G$611,5,0)</f>
        <v>23</v>
      </c>
      <c r="O204" s="10">
        <f>VLOOKUP(A204,dataset_2!$A$2:$G$611,6,0)</f>
        <v>70</v>
      </c>
      <c r="P204" s="10">
        <f>VLOOKUP(A204,dataset_2!$A$2:$G$611,7,0)</f>
        <v>93</v>
      </c>
      <c r="Q204" s="10"/>
      <c r="R204" s="10" t="str">
        <f t="shared" si="1"/>
        <v>OK</v>
      </c>
      <c r="S204" s="10">
        <f t="shared" si="2"/>
        <v>5</v>
      </c>
      <c r="T204" s="10" t="str">
        <f t="shared" si="3"/>
        <v>OK</v>
      </c>
      <c r="U204" s="10">
        <f t="shared" si="4"/>
        <v>1</v>
      </c>
      <c r="V204" s="10"/>
      <c r="W204" s="10"/>
      <c r="X204" s="10"/>
      <c r="Y204" s="10"/>
      <c r="Z204" s="10"/>
    </row>
    <row r="205" ht="13.5" customHeight="1">
      <c r="A205" s="10">
        <f>dataset_1!A387</f>
        <v>386</v>
      </c>
      <c r="B205" s="11">
        <f>dataset_1!B387</f>
        <v>40560</v>
      </c>
      <c r="C205" s="10">
        <f>dataset_1!C387</f>
        <v>1</v>
      </c>
      <c r="D205" s="10">
        <f>dataset_1!D387</f>
        <v>0</v>
      </c>
      <c r="E205" s="10">
        <f>dataset_1!E387</f>
        <v>1</v>
      </c>
      <c r="F205" s="10">
        <f>dataset_1!F387</f>
        <v>13</v>
      </c>
      <c r="G205" s="10" t="b">
        <f>dataset_1!G387</f>
        <v>1</v>
      </c>
      <c r="H205" s="10">
        <f>dataset_1!H387</f>
        <v>1</v>
      </c>
      <c r="I205" s="10">
        <f>dataset_1!I387</f>
        <v>2</v>
      </c>
      <c r="J205" s="10">
        <f>dataset_1!J387</f>
        <v>0.18</v>
      </c>
      <c r="K205" s="10">
        <f>VLOOKUP(A205,dataset_2!$A$2:$G$611,2,0)</f>
        <v>0.197</v>
      </c>
      <c r="L205" s="10">
        <f>VLOOKUP(A205,dataset_2!$A$2:$G$611,3,0)</f>
        <v>0.47</v>
      </c>
      <c r="M205" s="10">
        <f>VLOOKUP(A205,dataset_2!$A$2:$G$611,4,0)</f>
        <v>0.1343</v>
      </c>
      <c r="N205" s="10">
        <f>VLOOKUP(A205,dataset_2!$A$2:$G$611,5,0)</f>
        <v>13</v>
      </c>
      <c r="O205" s="10">
        <f>VLOOKUP(A205,dataset_2!$A$2:$G$611,6,0)</f>
        <v>80</v>
      </c>
      <c r="P205" s="10">
        <f>VLOOKUP(A205,dataset_2!$A$2:$G$611,7,0)</f>
        <v>93</v>
      </c>
      <c r="Q205" s="10"/>
      <c r="R205" s="10" t="str">
        <f t="shared" si="1"/>
        <v>OK</v>
      </c>
      <c r="S205" s="10">
        <f t="shared" si="2"/>
        <v>5</v>
      </c>
      <c r="T205" s="10" t="str">
        <f t="shared" si="3"/>
        <v>OK</v>
      </c>
      <c r="U205" s="10">
        <f t="shared" si="4"/>
        <v>1</v>
      </c>
      <c r="V205" s="10"/>
      <c r="W205" s="10"/>
      <c r="X205" s="10"/>
      <c r="Y205" s="10"/>
      <c r="Z205" s="10"/>
    </row>
    <row r="206" ht="13.5" customHeight="1">
      <c r="A206" s="10">
        <f>dataset_1!A389</f>
        <v>388</v>
      </c>
      <c r="B206" s="11">
        <f>dataset_1!B389</f>
        <v>40560</v>
      </c>
      <c r="C206" s="10">
        <f>dataset_1!C389</f>
        <v>1</v>
      </c>
      <c r="D206" s="10">
        <f>dataset_1!D389</f>
        <v>0</v>
      </c>
      <c r="E206" s="10">
        <f>dataset_1!E389</f>
        <v>1</v>
      </c>
      <c r="F206" s="10">
        <f>dataset_1!F389</f>
        <v>15</v>
      </c>
      <c r="G206" s="10" t="b">
        <f>dataset_1!G389</f>
        <v>1</v>
      </c>
      <c r="H206" s="10">
        <f>dataset_1!H389</f>
        <v>1</v>
      </c>
      <c r="I206" s="10">
        <f>dataset_1!I389</f>
        <v>2</v>
      </c>
      <c r="J206" s="10">
        <f>dataset_1!J389</f>
        <v>0.2</v>
      </c>
      <c r="K206" s="10">
        <f>VLOOKUP(A206,dataset_2!$A$2:$G$611,2,0)</f>
        <v>0.2121</v>
      </c>
      <c r="L206" s="10">
        <f>VLOOKUP(A206,dataset_2!$A$2:$G$611,3,0)</f>
        <v>0.47</v>
      </c>
      <c r="M206" s="10">
        <f>VLOOKUP(A206,dataset_2!$A$2:$G$611,4,0)</f>
        <v>0.1642</v>
      </c>
      <c r="N206" s="10">
        <f>VLOOKUP(A206,dataset_2!$A$2:$G$611,5,0)</f>
        <v>21</v>
      </c>
      <c r="O206" s="10">
        <f>VLOOKUP(A206,dataset_2!$A$2:$G$611,6,0)</f>
        <v>72</v>
      </c>
      <c r="P206" s="10">
        <f>VLOOKUP(A206,dataset_2!$A$2:$G$611,7,0)</f>
        <v>93</v>
      </c>
      <c r="Q206" s="10"/>
      <c r="R206" s="10" t="str">
        <f t="shared" si="1"/>
        <v>OK</v>
      </c>
      <c r="S206" s="10">
        <f t="shared" si="2"/>
        <v>5</v>
      </c>
      <c r="T206" s="10" t="str">
        <f t="shared" si="3"/>
        <v>OK</v>
      </c>
      <c r="U206" s="10">
        <f t="shared" si="4"/>
        <v>1</v>
      </c>
      <c r="V206" s="10"/>
      <c r="W206" s="10"/>
      <c r="X206" s="10"/>
      <c r="Y206" s="10"/>
      <c r="Z206" s="10"/>
    </row>
    <row r="207" ht="13.5" customHeight="1">
      <c r="A207" s="10">
        <f>dataset_1!A562</f>
        <v>561</v>
      </c>
      <c r="B207" s="11">
        <f>dataset_1!B562</f>
        <v>40568</v>
      </c>
      <c r="C207" s="10">
        <f>dataset_1!C562</f>
        <v>1</v>
      </c>
      <c r="D207" s="10">
        <f>dataset_1!D562</f>
        <v>0</v>
      </c>
      <c r="E207" s="10">
        <f>dataset_1!E562</f>
        <v>1</v>
      </c>
      <c r="F207" s="10">
        <f>dataset_1!F562</f>
        <v>13</v>
      </c>
      <c r="G207" s="10" t="b">
        <f>dataset_1!G562</f>
        <v>0</v>
      </c>
      <c r="H207" s="10">
        <f>dataset_1!H562</f>
        <v>2</v>
      </c>
      <c r="I207" s="10">
        <f>dataset_1!I562</f>
        <v>2</v>
      </c>
      <c r="J207" s="10">
        <f>dataset_1!J562</f>
        <v>0.26</v>
      </c>
      <c r="K207" s="10">
        <f>VLOOKUP(A207,dataset_2!$A$2:$G$611,2,0)</f>
        <v>0.2727</v>
      </c>
      <c r="L207" s="10">
        <f>VLOOKUP(A207,dataset_2!$A$2:$G$611,3,0)</f>
        <v>0.56</v>
      </c>
      <c r="M207" s="10">
        <f>VLOOKUP(A207,dataset_2!$A$2:$G$611,4,0)</f>
        <v>0.1343</v>
      </c>
      <c r="N207" s="10">
        <f>VLOOKUP(A207,dataset_2!$A$2:$G$611,5,0)</f>
        <v>21</v>
      </c>
      <c r="O207" s="10">
        <f>VLOOKUP(A207,dataset_2!$A$2:$G$611,6,0)</f>
        <v>72</v>
      </c>
      <c r="P207" s="10">
        <f>VLOOKUP(A207,dataset_2!$A$2:$G$611,7,0)</f>
        <v>93</v>
      </c>
      <c r="Q207" s="10"/>
      <c r="R207" s="10" t="str">
        <f t="shared" si="1"/>
        <v>OK</v>
      </c>
      <c r="S207" s="10">
        <f t="shared" si="2"/>
        <v>5</v>
      </c>
      <c r="T207" s="10" t="str">
        <f t="shared" si="3"/>
        <v>OK</v>
      </c>
      <c r="U207" s="10">
        <f t="shared" si="4"/>
        <v>1</v>
      </c>
      <c r="V207" s="10"/>
      <c r="W207" s="10"/>
      <c r="X207" s="10"/>
      <c r="Y207" s="10"/>
      <c r="Z207" s="10"/>
    </row>
    <row r="208" ht="13.5" customHeight="1">
      <c r="A208" s="10">
        <f>dataset_1!A203</f>
        <v>202</v>
      </c>
      <c r="B208" s="11">
        <f>dataset_1!B203</f>
        <v>40552</v>
      </c>
      <c r="C208" s="10">
        <f>dataset_1!C203</f>
        <v>1</v>
      </c>
      <c r="D208" s="10">
        <f>dataset_1!D203</f>
        <v>0</v>
      </c>
      <c r="E208" s="10">
        <f>dataset_1!E203</f>
        <v>1</v>
      </c>
      <c r="F208" s="10">
        <f>dataset_1!F203</f>
        <v>16</v>
      </c>
      <c r="G208" s="10" t="b">
        <f>dataset_1!G203</f>
        <v>0</v>
      </c>
      <c r="H208" s="10">
        <f>dataset_1!H203</f>
        <v>0</v>
      </c>
      <c r="I208" s="10">
        <f>dataset_1!I203</f>
        <v>1</v>
      </c>
      <c r="J208" s="10">
        <f>dataset_1!J203</f>
        <v>0.2</v>
      </c>
      <c r="K208" s="10">
        <f>VLOOKUP(A208,dataset_2!$A$2:$G$611,2,0)</f>
        <v>0.1667</v>
      </c>
      <c r="L208" s="10">
        <f>VLOOKUP(A208,dataset_2!$A$2:$G$611,3,0)</f>
        <v>0.34</v>
      </c>
      <c r="M208" s="10">
        <f>VLOOKUP(A208,dataset_2!$A$2:$G$611,4,0)</f>
        <v>0.4478</v>
      </c>
      <c r="N208" s="10">
        <f>VLOOKUP(A208,dataset_2!$A$2:$G$611,5,0)</f>
        <v>13</v>
      </c>
      <c r="O208" s="10">
        <f>VLOOKUP(A208,dataset_2!$A$2:$G$611,6,0)</f>
        <v>79</v>
      </c>
      <c r="P208" s="10">
        <f>VLOOKUP(A208,dataset_2!$A$2:$G$611,7,0)</f>
        <v>92</v>
      </c>
      <c r="Q208" s="10"/>
      <c r="R208" s="10" t="str">
        <f t="shared" si="1"/>
        <v>OK</v>
      </c>
      <c r="S208" s="10">
        <f t="shared" si="2"/>
        <v>5</v>
      </c>
      <c r="T208" s="10" t="str">
        <f t="shared" si="3"/>
        <v>OK</v>
      </c>
      <c r="U208" s="10">
        <f t="shared" si="4"/>
        <v>1</v>
      </c>
      <c r="V208" s="10"/>
      <c r="W208" s="10"/>
      <c r="X208" s="10"/>
      <c r="Y208" s="10"/>
      <c r="Z208" s="10"/>
    </row>
    <row r="209" ht="13.5" customHeight="1">
      <c r="A209" s="10">
        <f>dataset_1!A321</f>
        <v>320</v>
      </c>
      <c r="B209" s="11">
        <f>dataset_1!B321</f>
        <v>40557</v>
      </c>
      <c r="C209" s="10">
        <f>dataset_1!C321</f>
        <v>1</v>
      </c>
      <c r="D209" s="10">
        <f>dataset_1!D321</f>
        <v>0</v>
      </c>
      <c r="E209" s="10">
        <f>dataset_1!E321</f>
        <v>1</v>
      </c>
      <c r="F209" s="10">
        <f>dataset_1!F321</f>
        <v>19</v>
      </c>
      <c r="G209" s="10" t="b">
        <f>dataset_1!G321</f>
        <v>0</v>
      </c>
      <c r="H209" s="10">
        <f>dataset_1!H321</f>
        <v>5</v>
      </c>
      <c r="I209" s="10">
        <f>dataset_1!I321</f>
        <v>1</v>
      </c>
      <c r="J209" s="10">
        <f>dataset_1!J321</f>
        <v>0.16</v>
      </c>
      <c r="K209" s="10">
        <f>VLOOKUP(A209,dataset_2!$A$2:$G$611,2,0)</f>
        <v>0.197</v>
      </c>
      <c r="L209" s="10">
        <f>VLOOKUP(A209,dataset_2!$A$2:$G$611,3,0)</f>
        <v>0.59</v>
      </c>
      <c r="M209" s="10">
        <f>VLOOKUP(A209,dataset_2!$A$2:$G$611,4,0)</f>
        <v>0.0896</v>
      </c>
      <c r="N209" s="10">
        <f>VLOOKUP(A209,dataset_2!$A$2:$G$611,5,0)</f>
        <v>3</v>
      </c>
      <c r="O209" s="10">
        <f>VLOOKUP(A209,dataset_2!$A$2:$G$611,6,0)</f>
        <v>89</v>
      </c>
      <c r="P209" s="10">
        <f>VLOOKUP(A209,dataset_2!$A$2:$G$611,7,0)</f>
        <v>92</v>
      </c>
      <c r="Q209" s="10"/>
      <c r="R209" s="10" t="str">
        <f t="shared" si="1"/>
        <v>OK</v>
      </c>
      <c r="S209" s="10">
        <f t="shared" si="2"/>
        <v>5</v>
      </c>
      <c r="T209" s="10" t="str">
        <f t="shared" si="3"/>
        <v>OK</v>
      </c>
      <c r="U209" s="10">
        <f t="shared" si="4"/>
        <v>1</v>
      </c>
      <c r="V209" s="10"/>
      <c r="W209" s="10"/>
      <c r="X209" s="10"/>
      <c r="Y209" s="10"/>
      <c r="Z209" s="10"/>
    </row>
    <row r="210" ht="13.5" customHeight="1">
      <c r="A210" s="10">
        <f>dataset_1!A392</f>
        <v>391</v>
      </c>
      <c r="B210" s="11">
        <f>dataset_1!B392</f>
        <v>40560</v>
      </c>
      <c r="C210" s="10">
        <f>dataset_1!C392</f>
        <v>1</v>
      </c>
      <c r="D210" s="10">
        <f>dataset_1!D392</f>
        <v>0</v>
      </c>
      <c r="E210" s="10">
        <f>dataset_1!E392</f>
        <v>1</v>
      </c>
      <c r="F210" s="10">
        <f>dataset_1!F392</f>
        <v>18</v>
      </c>
      <c r="G210" s="10" t="b">
        <f>dataset_1!G392</f>
        <v>1</v>
      </c>
      <c r="H210" s="10">
        <f>dataset_1!H392</f>
        <v>1</v>
      </c>
      <c r="I210" s="10">
        <f>dataset_1!I392</f>
        <v>2</v>
      </c>
      <c r="J210" s="10">
        <f>dataset_1!J392</f>
        <v>0.18</v>
      </c>
      <c r="K210" s="10">
        <f>VLOOKUP(A210,dataset_2!$A$2:$G$611,2,0)</f>
        <v>0.1667</v>
      </c>
      <c r="L210" s="10">
        <f>VLOOKUP(A210,dataset_2!$A$2:$G$611,3,0)</f>
        <v>0.55</v>
      </c>
      <c r="M210" s="10">
        <f>VLOOKUP(A210,dataset_2!$A$2:$G$611,4,0)</f>
        <v>0.2537</v>
      </c>
      <c r="N210" s="10">
        <f>VLOOKUP(A210,dataset_2!$A$2:$G$611,5,0)</f>
        <v>7</v>
      </c>
      <c r="O210" s="10">
        <f>VLOOKUP(A210,dataset_2!$A$2:$G$611,6,0)</f>
        <v>85</v>
      </c>
      <c r="P210" s="10">
        <f>VLOOKUP(A210,dataset_2!$A$2:$G$611,7,0)</f>
        <v>92</v>
      </c>
      <c r="Q210" s="10"/>
      <c r="R210" s="10" t="str">
        <f t="shared" si="1"/>
        <v>OK</v>
      </c>
      <c r="S210" s="10">
        <f t="shared" si="2"/>
        <v>5</v>
      </c>
      <c r="T210" s="10" t="str">
        <f t="shared" si="3"/>
        <v>OK</v>
      </c>
      <c r="U210" s="10">
        <f t="shared" si="4"/>
        <v>1</v>
      </c>
      <c r="V210" s="10"/>
      <c r="W210" s="10"/>
      <c r="X210" s="10"/>
      <c r="Y210" s="10"/>
      <c r="Z210" s="10"/>
    </row>
    <row r="211" ht="13.5" customHeight="1">
      <c r="A211" s="10">
        <f>dataset_1!A364</f>
        <v>363</v>
      </c>
      <c r="B211" s="11">
        <f>dataset_1!B364</f>
        <v>40559</v>
      </c>
      <c r="C211" s="10">
        <f>dataset_1!C364</f>
        <v>1</v>
      </c>
      <c r="D211" s="10">
        <f>dataset_1!D364</f>
        <v>0</v>
      </c>
      <c r="E211" s="10">
        <f>dataset_1!E364</f>
        <v>1</v>
      </c>
      <c r="F211" s="10">
        <f>dataset_1!F364</f>
        <v>14</v>
      </c>
      <c r="G211" s="10" t="b">
        <f>dataset_1!G364</f>
        <v>0</v>
      </c>
      <c r="H211" s="10">
        <f>dataset_1!H364</f>
        <v>0</v>
      </c>
      <c r="I211" s="10">
        <f>dataset_1!I364</f>
        <v>1</v>
      </c>
      <c r="J211" s="10">
        <f>dataset_1!J364</f>
        <v>0.28</v>
      </c>
      <c r="K211" s="10">
        <f>VLOOKUP(A211,dataset_2!$A$2:$G$611,2,0)</f>
        <v>0.2727</v>
      </c>
      <c r="L211" s="10">
        <f>VLOOKUP(A211,dataset_2!$A$2:$G$611,3,0)</f>
        <v>0.36</v>
      </c>
      <c r="M211" s="10">
        <f>VLOOKUP(A211,dataset_2!$A$2:$G$611,4,0)</f>
        <v>0.2537</v>
      </c>
      <c r="N211" s="10">
        <f>VLOOKUP(A211,dataset_2!$A$2:$G$611,5,0)</f>
        <v>22</v>
      </c>
      <c r="O211" s="10">
        <f>VLOOKUP(A211,dataset_2!$A$2:$G$611,6,0)</f>
        <v>69</v>
      </c>
      <c r="P211" s="10">
        <f>VLOOKUP(A211,dataset_2!$A$2:$G$611,7,0)</f>
        <v>91</v>
      </c>
      <c r="Q211" s="10"/>
      <c r="R211" s="10" t="str">
        <f t="shared" si="1"/>
        <v>OK</v>
      </c>
      <c r="S211" s="10">
        <f t="shared" si="2"/>
        <v>5</v>
      </c>
      <c r="T211" s="10" t="str">
        <f t="shared" si="3"/>
        <v>OK</v>
      </c>
      <c r="U211" s="10">
        <f t="shared" si="4"/>
        <v>1</v>
      </c>
      <c r="V211" s="10"/>
      <c r="W211" s="10"/>
      <c r="X211" s="10"/>
      <c r="Y211" s="10"/>
      <c r="Z211" s="10"/>
    </row>
    <row r="212" ht="13.5" customHeight="1">
      <c r="A212" s="10">
        <f>dataset_1!A449</f>
        <v>448</v>
      </c>
      <c r="B212" s="11">
        <f>dataset_1!B449</f>
        <v>40563</v>
      </c>
      <c r="C212" s="10">
        <f>dataset_1!C449</f>
        <v>1</v>
      </c>
      <c r="D212" s="10">
        <f>dataset_1!D449</f>
        <v>0</v>
      </c>
      <c r="E212" s="10">
        <f>dataset_1!E449</f>
        <v>1</v>
      </c>
      <c r="F212" s="10">
        <f>dataset_1!F449</f>
        <v>16</v>
      </c>
      <c r="G212" s="10" t="b">
        <f>dataset_1!G449</f>
        <v>0</v>
      </c>
      <c r="H212" s="10">
        <f>dataset_1!H449</f>
        <v>4</v>
      </c>
      <c r="I212" s="10">
        <f>dataset_1!I449</f>
        <v>2</v>
      </c>
      <c r="J212" s="10">
        <f>dataset_1!J449</f>
        <v>0.3</v>
      </c>
      <c r="K212" s="10">
        <f>VLOOKUP(A212,dataset_2!$A$2:$G$611,2,0)</f>
        <v>0.303</v>
      </c>
      <c r="L212" s="10">
        <f>VLOOKUP(A212,dataset_2!$A$2:$G$611,3,0)</f>
        <v>0.49</v>
      </c>
      <c r="M212" s="10">
        <f>VLOOKUP(A212,dataset_2!$A$2:$G$611,4,0)</f>
        <v>0.1343</v>
      </c>
      <c r="N212" s="10">
        <f>VLOOKUP(A212,dataset_2!$A$2:$G$611,5,0)</f>
        <v>8</v>
      </c>
      <c r="O212" s="10">
        <f>VLOOKUP(A212,dataset_2!$A$2:$G$611,6,0)</f>
        <v>83</v>
      </c>
      <c r="P212" s="10">
        <f>VLOOKUP(A212,dataset_2!$A$2:$G$611,7,0)</f>
        <v>91</v>
      </c>
      <c r="Q212" s="10"/>
      <c r="R212" s="10" t="str">
        <f t="shared" si="1"/>
        <v>OK</v>
      </c>
      <c r="S212" s="10">
        <f t="shared" si="2"/>
        <v>5</v>
      </c>
      <c r="T212" s="10" t="str">
        <f t="shared" si="3"/>
        <v>OK</v>
      </c>
      <c r="U212" s="10">
        <f t="shared" si="4"/>
        <v>1</v>
      </c>
      <c r="V212" s="10"/>
      <c r="W212" s="10"/>
      <c r="X212" s="10"/>
      <c r="Y212" s="10"/>
      <c r="Z212" s="10"/>
    </row>
    <row r="213" ht="13.5" customHeight="1">
      <c r="A213" s="3">
        <v>635.0</v>
      </c>
      <c r="B213" s="12">
        <v>40572.0</v>
      </c>
      <c r="C213" s="3">
        <v>1.0</v>
      </c>
      <c r="D213" s="3">
        <v>0.0</v>
      </c>
      <c r="E213" s="3">
        <v>1.0</v>
      </c>
      <c r="F213" s="3">
        <v>17.0</v>
      </c>
      <c r="G213" s="3" t="b">
        <f t="shared" ref="G213:G215" si="28">FALSE()</f>
        <v>0</v>
      </c>
      <c r="H213" s="3">
        <v>6.0</v>
      </c>
      <c r="I213" s="3">
        <v>1.0</v>
      </c>
      <c r="J213" s="3">
        <v>0.24</v>
      </c>
      <c r="K213" s="3">
        <v>0.2879</v>
      </c>
      <c r="L213" s="3">
        <v>0.6</v>
      </c>
      <c r="M213" s="3">
        <v>0.0</v>
      </c>
      <c r="N213" s="3">
        <v>9.0</v>
      </c>
      <c r="O213" s="3">
        <v>82.0</v>
      </c>
      <c r="P213" s="3">
        <v>91.0</v>
      </c>
      <c r="Q213" s="10"/>
      <c r="R213" s="10" t="str">
        <f t="shared" si="1"/>
        <v>OK</v>
      </c>
      <c r="S213" s="10">
        <f t="shared" si="2"/>
        <v>5</v>
      </c>
      <c r="T213" s="10" t="str">
        <f t="shared" si="3"/>
        <v>OK</v>
      </c>
      <c r="U213" s="10">
        <f t="shared" si="4"/>
        <v>1</v>
      </c>
      <c r="V213" s="10"/>
      <c r="W213" s="10"/>
      <c r="X213" s="10"/>
      <c r="Y213" s="10"/>
      <c r="Z213" s="10"/>
    </row>
    <row r="214" ht="13.5" customHeight="1">
      <c r="A214" s="3">
        <v>731.0</v>
      </c>
      <c r="B214" s="12">
        <v>40576.0</v>
      </c>
      <c r="C214" s="3">
        <v>1.0</v>
      </c>
      <c r="D214" s="3">
        <v>0.0</v>
      </c>
      <c r="E214" s="3">
        <v>2.0</v>
      </c>
      <c r="F214" s="3">
        <v>19.0</v>
      </c>
      <c r="G214" s="3" t="b">
        <f t="shared" si="28"/>
        <v>0</v>
      </c>
      <c r="H214" s="3">
        <v>3.0</v>
      </c>
      <c r="I214" s="3">
        <v>1.0</v>
      </c>
      <c r="J214" s="3">
        <v>0.28</v>
      </c>
      <c r="K214" s="3">
        <v>0.2424</v>
      </c>
      <c r="L214" s="3">
        <v>0.45</v>
      </c>
      <c r="M214" s="3">
        <v>0.4925</v>
      </c>
      <c r="N214" s="3">
        <v>3.0</v>
      </c>
      <c r="O214" s="3">
        <v>88.0</v>
      </c>
      <c r="P214" s="3">
        <v>91.0</v>
      </c>
      <c r="Q214" s="10"/>
      <c r="R214" s="10" t="str">
        <f t="shared" si="1"/>
        <v>OK</v>
      </c>
      <c r="S214" s="10">
        <f t="shared" si="2"/>
        <v>5</v>
      </c>
      <c r="T214" s="10" t="str">
        <f t="shared" si="3"/>
        <v>OK</v>
      </c>
      <c r="U214" s="10">
        <f t="shared" si="4"/>
        <v>1</v>
      </c>
      <c r="V214" s="10"/>
      <c r="W214" s="10"/>
      <c r="X214" s="10"/>
      <c r="Y214" s="10"/>
      <c r="Z214" s="10"/>
    </row>
    <row r="215" ht="13.5" customHeight="1">
      <c r="A215" s="3">
        <v>772.0</v>
      </c>
      <c r="B215" s="12">
        <v>40578.0</v>
      </c>
      <c r="C215" s="3">
        <v>1.0</v>
      </c>
      <c r="D215" s="3">
        <v>0.0</v>
      </c>
      <c r="E215" s="3">
        <v>2.0</v>
      </c>
      <c r="F215" s="3">
        <v>14.0</v>
      </c>
      <c r="G215" s="3" t="b">
        <f t="shared" si="28"/>
        <v>0</v>
      </c>
      <c r="H215" s="3">
        <v>5.0</v>
      </c>
      <c r="I215" s="3">
        <v>2.0</v>
      </c>
      <c r="J215" s="3">
        <v>0.28</v>
      </c>
      <c r="K215" s="3">
        <v>0.2727</v>
      </c>
      <c r="L215" s="3">
        <v>0.45</v>
      </c>
      <c r="M215" s="3">
        <v>0.1642</v>
      </c>
      <c r="N215" s="3">
        <v>15.0</v>
      </c>
      <c r="O215" s="3">
        <v>76.0</v>
      </c>
      <c r="P215" s="3">
        <v>91.0</v>
      </c>
      <c r="Q215" s="10"/>
      <c r="R215" s="10" t="str">
        <f t="shared" si="1"/>
        <v>OK</v>
      </c>
      <c r="S215" s="10">
        <f t="shared" si="2"/>
        <v>5</v>
      </c>
      <c r="T215" s="10" t="str">
        <f t="shared" si="3"/>
        <v>OK</v>
      </c>
      <c r="U215" s="10">
        <f t="shared" si="4"/>
        <v>1</v>
      </c>
      <c r="V215" s="10"/>
      <c r="W215" s="10"/>
      <c r="X215" s="10"/>
      <c r="Y215" s="10"/>
      <c r="Z215" s="10"/>
    </row>
    <row r="216" ht="13.5" customHeight="1">
      <c r="A216" s="10">
        <f>dataset_1!A318</f>
        <v>317</v>
      </c>
      <c r="B216" s="11">
        <f>dataset_1!B318</f>
        <v>40557</v>
      </c>
      <c r="C216" s="10">
        <f>dataset_1!C318</f>
        <v>1</v>
      </c>
      <c r="D216" s="10">
        <f>dataset_1!D318</f>
        <v>0</v>
      </c>
      <c r="E216" s="10">
        <f>dataset_1!E318</f>
        <v>1</v>
      </c>
      <c r="F216" s="10">
        <f>dataset_1!F318</f>
        <v>16</v>
      </c>
      <c r="G216" s="10" t="b">
        <f>dataset_1!G318</f>
        <v>0</v>
      </c>
      <c r="H216" s="10">
        <f>dataset_1!H318</f>
        <v>5</v>
      </c>
      <c r="I216" s="10">
        <f>dataset_1!I318</f>
        <v>1</v>
      </c>
      <c r="J216" s="10">
        <f>dataset_1!J318</f>
        <v>0.22</v>
      </c>
      <c r="K216" s="10">
        <f>VLOOKUP(A216,dataset_2!$A$2:$G$611,2,0)</f>
        <v>0.2424</v>
      </c>
      <c r="L216" s="10">
        <f>VLOOKUP(A216,dataset_2!$A$2:$G$611,3,0)</f>
        <v>0.41</v>
      </c>
      <c r="M216" s="10">
        <f>VLOOKUP(A216,dataset_2!$A$2:$G$611,4,0)</f>
        <v>0.1045</v>
      </c>
      <c r="N216" s="10">
        <f>VLOOKUP(A216,dataset_2!$A$2:$G$611,5,0)</f>
        <v>3</v>
      </c>
      <c r="O216" s="10">
        <f>VLOOKUP(A216,dataset_2!$A$2:$G$611,6,0)</f>
        <v>87</v>
      </c>
      <c r="P216" s="10">
        <f>VLOOKUP(A216,dataset_2!$A$2:$G$611,7,0)</f>
        <v>90</v>
      </c>
      <c r="Q216" s="10"/>
      <c r="R216" s="10" t="str">
        <f t="shared" si="1"/>
        <v>OK</v>
      </c>
      <c r="S216" s="10">
        <f t="shared" si="2"/>
        <v>5</v>
      </c>
      <c r="T216" s="10" t="str">
        <f t="shared" si="3"/>
        <v>OK</v>
      </c>
      <c r="U216" s="10">
        <f t="shared" si="4"/>
        <v>1</v>
      </c>
      <c r="V216" s="10"/>
      <c r="W216" s="10"/>
      <c r="X216" s="10"/>
      <c r="Y216" s="10"/>
      <c r="Z216" s="10"/>
    </row>
    <row r="217" ht="13.5" customHeight="1">
      <c r="A217" s="10">
        <f>dataset_1!A416</f>
        <v>415</v>
      </c>
      <c r="B217" s="11">
        <f>dataset_1!B416</f>
        <v>40562</v>
      </c>
      <c r="C217" s="10">
        <f>dataset_1!C416</f>
        <v>1</v>
      </c>
      <c r="D217" s="10">
        <f>dataset_1!D416</f>
        <v>0</v>
      </c>
      <c r="E217" s="10">
        <f>dataset_1!E416</f>
        <v>1</v>
      </c>
      <c r="F217" s="10">
        <f>dataset_1!F416</f>
        <v>7</v>
      </c>
      <c r="G217" s="10" t="b">
        <f>dataset_1!G416</f>
        <v>0</v>
      </c>
      <c r="H217" s="10">
        <f>dataset_1!H416</f>
        <v>3</v>
      </c>
      <c r="I217" s="10">
        <f>dataset_1!I416</f>
        <v>2</v>
      </c>
      <c r="J217" s="10">
        <f>dataset_1!J416</f>
        <v>0.24</v>
      </c>
      <c r="K217" s="10">
        <f>VLOOKUP(A217,dataset_2!$A$2:$G$611,2,0)</f>
        <v>0.2576</v>
      </c>
      <c r="L217" s="10">
        <f>VLOOKUP(A217,dataset_2!$A$2:$G$611,3,0)</f>
        <v>0.92</v>
      </c>
      <c r="M217" s="10">
        <f>VLOOKUP(A217,dataset_2!$A$2:$G$611,4,0)</f>
        <v>0.1045</v>
      </c>
      <c r="N217" s="10">
        <f>VLOOKUP(A217,dataset_2!$A$2:$G$611,5,0)</f>
        <v>1</v>
      </c>
      <c r="O217" s="10">
        <f>VLOOKUP(A217,dataset_2!$A$2:$G$611,6,0)</f>
        <v>89</v>
      </c>
      <c r="P217" s="10">
        <f>VLOOKUP(A217,dataset_2!$A$2:$G$611,7,0)</f>
        <v>90</v>
      </c>
      <c r="Q217" s="10"/>
      <c r="R217" s="10" t="str">
        <f t="shared" si="1"/>
        <v>OK</v>
      </c>
      <c r="S217" s="10">
        <f t="shared" si="2"/>
        <v>5</v>
      </c>
      <c r="T217" s="10" t="str">
        <f t="shared" si="3"/>
        <v>OK</v>
      </c>
      <c r="U217" s="10">
        <f t="shared" si="4"/>
        <v>1</v>
      </c>
      <c r="V217" s="10"/>
      <c r="W217" s="10"/>
      <c r="X217" s="10"/>
      <c r="Y217" s="10"/>
      <c r="Z217" s="10"/>
    </row>
    <row r="218" ht="13.5" customHeight="1">
      <c r="A218" s="3">
        <v>773.0</v>
      </c>
      <c r="B218" s="12">
        <v>40578.0</v>
      </c>
      <c r="C218" s="3">
        <v>1.0</v>
      </c>
      <c r="D218" s="3">
        <v>0.0</v>
      </c>
      <c r="E218" s="3">
        <v>2.0</v>
      </c>
      <c r="F218" s="3">
        <v>15.0</v>
      </c>
      <c r="G218" s="3" t="b">
        <f>FALSE()</f>
        <v>0</v>
      </c>
      <c r="H218" s="3">
        <v>5.0</v>
      </c>
      <c r="I218" s="3">
        <v>2.0</v>
      </c>
      <c r="J218" s="3">
        <v>0.28</v>
      </c>
      <c r="K218" s="3">
        <v>0.2727</v>
      </c>
      <c r="L218" s="3">
        <v>0.48</v>
      </c>
      <c r="M218" s="3">
        <v>0.2537</v>
      </c>
      <c r="N218" s="3">
        <v>9.0</v>
      </c>
      <c r="O218" s="3">
        <v>81.0</v>
      </c>
      <c r="P218" s="3">
        <v>90.0</v>
      </c>
      <c r="Q218" s="10"/>
      <c r="R218" s="10" t="str">
        <f t="shared" si="1"/>
        <v>OK</v>
      </c>
      <c r="S218" s="10">
        <f t="shared" si="2"/>
        <v>5</v>
      </c>
      <c r="T218" s="10" t="str">
        <f t="shared" si="3"/>
        <v>OK</v>
      </c>
      <c r="U218" s="10">
        <f t="shared" si="4"/>
        <v>1</v>
      </c>
      <c r="V218" s="10"/>
      <c r="W218" s="10"/>
      <c r="X218" s="10"/>
      <c r="Y218" s="10"/>
      <c r="Z218" s="10"/>
    </row>
    <row r="219" ht="13.5" customHeight="1">
      <c r="A219" s="10">
        <f>dataset_1!A109</f>
        <v>108</v>
      </c>
      <c r="B219" s="11">
        <f>dataset_1!B109</f>
        <v>40548</v>
      </c>
      <c r="C219" s="10">
        <f>dataset_1!C109</f>
        <v>1</v>
      </c>
      <c r="D219" s="10">
        <f>dataset_1!D109</f>
        <v>0</v>
      </c>
      <c r="E219" s="10">
        <f>dataset_1!E109</f>
        <v>1</v>
      </c>
      <c r="F219" s="10">
        <f>dataset_1!F109</f>
        <v>16</v>
      </c>
      <c r="G219" s="10" t="b">
        <f>dataset_1!G109</f>
        <v>0</v>
      </c>
      <c r="H219" s="10">
        <f>dataset_1!H109</f>
        <v>3</v>
      </c>
      <c r="I219" s="10">
        <f>dataset_1!I109</f>
        <v>1</v>
      </c>
      <c r="J219" s="10">
        <f>dataset_1!J109</f>
        <v>0.3</v>
      </c>
      <c r="K219" s="10">
        <f>VLOOKUP(A219,dataset_2!$A$2:$G$611,2,0)</f>
        <v>0.3182</v>
      </c>
      <c r="L219" s="10">
        <f>VLOOKUP(A219,dataset_2!$A$2:$G$611,3,0)</f>
        <v>0.28</v>
      </c>
      <c r="M219" s="10">
        <f>VLOOKUP(A219,dataset_2!$A$2:$G$611,4,0)</f>
        <v>0.0896</v>
      </c>
      <c r="N219" s="10">
        <f>VLOOKUP(A219,dataset_2!$A$2:$G$611,5,0)</f>
        <v>4</v>
      </c>
      <c r="O219" s="10">
        <f>VLOOKUP(A219,dataset_2!$A$2:$G$611,6,0)</f>
        <v>85</v>
      </c>
      <c r="P219" s="10">
        <f>VLOOKUP(A219,dataset_2!$A$2:$G$611,7,0)</f>
        <v>89</v>
      </c>
      <c r="Q219" s="10"/>
      <c r="R219" s="10" t="str">
        <f t="shared" si="1"/>
        <v>OK</v>
      </c>
      <c r="S219" s="10">
        <f t="shared" si="2"/>
        <v>5</v>
      </c>
      <c r="T219" s="10" t="str">
        <f t="shared" si="3"/>
        <v>OK</v>
      </c>
      <c r="U219" s="10">
        <f t="shared" si="4"/>
        <v>1</v>
      </c>
      <c r="V219" s="10"/>
      <c r="W219" s="10"/>
      <c r="X219" s="10"/>
      <c r="Y219" s="10"/>
      <c r="Z219" s="10"/>
    </row>
    <row r="220" ht="13.5" customHeight="1">
      <c r="A220" s="10">
        <f>dataset_1!A113</f>
        <v>112</v>
      </c>
      <c r="B220" s="11">
        <f>dataset_1!B113</f>
        <v>40548</v>
      </c>
      <c r="C220" s="10">
        <f>dataset_1!C113</f>
        <v>1</v>
      </c>
      <c r="D220" s="10">
        <f>dataset_1!D113</f>
        <v>0</v>
      </c>
      <c r="E220" s="10">
        <f>dataset_1!E113</f>
        <v>1</v>
      </c>
      <c r="F220" s="10">
        <f>dataset_1!F113</f>
        <v>20</v>
      </c>
      <c r="G220" s="10" t="b">
        <f>dataset_1!G113</f>
        <v>0</v>
      </c>
      <c r="H220" s="10">
        <f>dataset_1!H113</f>
        <v>3</v>
      </c>
      <c r="I220" s="10">
        <f>dataset_1!I113</f>
        <v>1</v>
      </c>
      <c r="J220" s="10">
        <f>dataset_1!J113</f>
        <v>0.22</v>
      </c>
      <c r="K220" s="10">
        <f>VLOOKUP(A220,dataset_2!$A$2:$G$611,2,0)</f>
        <v>0.2273</v>
      </c>
      <c r="L220" s="10">
        <f>VLOOKUP(A220,dataset_2!$A$2:$G$611,3,0)</f>
        <v>0.47</v>
      </c>
      <c r="M220" s="10">
        <f>VLOOKUP(A220,dataset_2!$A$2:$G$611,4,0)</f>
        <v>0.1642</v>
      </c>
      <c r="N220" s="10">
        <f>VLOOKUP(A220,dataset_2!$A$2:$G$611,5,0)</f>
        <v>7</v>
      </c>
      <c r="O220" s="10">
        <f>VLOOKUP(A220,dataset_2!$A$2:$G$611,6,0)</f>
        <v>82</v>
      </c>
      <c r="P220" s="10">
        <f>VLOOKUP(A220,dataset_2!$A$2:$G$611,7,0)</f>
        <v>89</v>
      </c>
      <c r="Q220" s="10"/>
      <c r="R220" s="10" t="str">
        <f t="shared" si="1"/>
        <v>OK</v>
      </c>
      <c r="S220" s="10">
        <f t="shared" si="2"/>
        <v>5</v>
      </c>
      <c r="T220" s="10" t="str">
        <f t="shared" si="3"/>
        <v>OK</v>
      </c>
      <c r="U220" s="10">
        <f t="shared" si="4"/>
        <v>1</v>
      </c>
      <c r="V220" s="10"/>
      <c r="W220" s="10"/>
      <c r="X220" s="10"/>
      <c r="Y220" s="10"/>
      <c r="Z220" s="10"/>
    </row>
    <row r="221" ht="13.5" customHeight="1">
      <c r="A221" s="10">
        <f>dataset_1!A338</f>
        <v>337</v>
      </c>
      <c r="B221" s="11">
        <f>dataset_1!B338</f>
        <v>40558</v>
      </c>
      <c r="C221" s="10">
        <f>dataset_1!C338</f>
        <v>1</v>
      </c>
      <c r="D221" s="10">
        <f>dataset_1!D338</f>
        <v>0</v>
      </c>
      <c r="E221" s="10">
        <f>dataset_1!E338</f>
        <v>1</v>
      </c>
      <c r="F221" s="10">
        <f>dataset_1!F338</f>
        <v>12</v>
      </c>
      <c r="G221" s="10" t="b">
        <f>dataset_1!G338</f>
        <v>0</v>
      </c>
      <c r="H221" s="10">
        <f>dataset_1!H338</f>
        <v>6</v>
      </c>
      <c r="I221" s="10">
        <f>dataset_1!I338</f>
        <v>1</v>
      </c>
      <c r="J221" s="10">
        <f>dataset_1!J338</f>
        <v>0.24</v>
      </c>
      <c r="K221" s="10">
        <f>VLOOKUP(A221,dataset_2!$A$2:$G$611,2,0)</f>
        <v>0.2273</v>
      </c>
      <c r="L221" s="10">
        <f>VLOOKUP(A221,dataset_2!$A$2:$G$611,3,0)</f>
        <v>0.48</v>
      </c>
      <c r="M221" s="10">
        <f>VLOOKUP(A221,dataset_2!$A$2:$G$611,4,0)</f>
        <v>0.2239</v>
      </c>
      <c r="N221" s="10">
        <f>VLOOKUP(A221,dataset_2!$A$2:$G$611,5,0)</f>
        <v>15</v>
      </c>
      <c r="O221" s="10">
        <f>VLOOKUP(A221,dataset_2!$A$2:$G$611,6,0)</f>
        <v>74</v>
      </c>
      <c r="P221" s="10">
        <f>VLOOKUP(A221,dataset_2!$A$2:$G$611,7,0)</f>
        <v>89</v>
      </c>
      <c r="Q221" s="10"/>
      <c r="R221" s="10" t="str">
        <f t="shared" si="1"/>
        <v>OK</v>
      </c>
      <c r="S221" s="10">
        <f t="shared" si="2"/>
        <v>5</v>
      </c>
      <c r="T221" s="10" t="str">
        <f t="shared" si="3"/>
        <v>OK</v>
      </c>
      <c r="U221" s="10">
        <f t="shared" si="4"/>
        <v>1</v>
      </c>
      <c r="V221" s="10"/>
      <c r="W221" s="10"/>
      <c r="X221" s="10"/>
      <c r="Y221" s="10"/>
      <c r="Z221" s="10"/>
    </row>
    <row r="222" ht="13.5" customHeight="1">
      <c r="A222" s="3">
        <v>614.0</v>
      </c>
      <c r="B222" s="12">
        <v>40571.0</v>
      </c>
      <c r="C222" s="3">
        <v>1.0</v>
      </c>
      <c r="D222" s="3">
        <v>0.0</v>
      </c>
      <c r="E222" s="3">
        <v>1.0</v>
      </c>
      <c r="F222" s="3">
        <v>19.0</v>
      </c>
      <c r="G222" s="3" t="b">
        <f t="shared" ref="G222:G223" si="29">FALSE()</f>
        <v>0</v>
      </c>
      <c r="H222" s="3">
        <v>5.0</v>
      </c>
      <c r="I222" s="3">
        <v>2.0</v>
      </c>
      <c r="J222" s="3">
        <v>0.24</v>
      </c>
      <c r="K222" s="3">
        <v>0.2424</v>
      </c>
      <c r="L222" s="3">
        <v>0.75</v>
      </c>
      <c r="M222" s="3">
        <v>0.1343</v>
      </c>
      <c r="N222" s="3">
        <v>5.0</v>
      </c>
      <c r="O222" s="3">
        <v>84.0</v>
      </c>
      <c r="P222" s="3">
        <v>89.0</v>
      </c>
      <c r="Q222" s="10"/>
      <c r="R222" s="10" t="str">
        <f t="shared" si="1"/>
        <v>OK</v>
      </c>
      <c r="S222" s="10">
        <f t="shared" si="2"/>
        <v>5</v>
      </c>
      <c r="T222" s="10" t="str">
        <f t="shared" si="3"/>
        <v>OK</v>
      </c>
      <c r="U222" s="10">
        <f t="shared" si="4"/>
        <v>1</v>
      </c>
      <c r="V222" s="10"/>
      <c r="W222" s="10"/>
      <c r="X222" s="10"/>
      <c r="Y222" s="10"/>
      <c r="Z222" s="10"/>
    </row>
    <row r="223" ht="13.5" customHeight="1">
      <c r="A223" s="3">
        <v>816.0</v>
      </c>
      <c r="B223" s="12">
        <v>40580.0</v>
      </c>
      <c r="C223" s="3">
        <v>1.0</v>
      </c>
      <c r="D223" s="3">
        <v>0.0</v>
      </c>
      <c r="E223" s="3">
        <v>2.0</v>
      </c>
      <c r="F223" s="3">
        <v>10.0</v>
      </c>
      <c r="G223" s="3" t="b">
        <f t="shared" si="29"/>
        <v>0</v>
      </c>
      <c r="H223" s="3">
        <v>0.0</v>
      </c>
      <c r="I223" s="3">
        <v>1.0</v>
      </c>
      <c r="J223" s="3">
        <v>0.3</v>
      </c>
      <c r="K223" s="3">
        <v>0.2879</v>
      </c>
      <c r="L223" s="3">
        <v>0.52</v>
      </c>
      <c r="M223" s="3">
        <v>0.2537</v>
      </c>
      <c r="N223" s="3">
        <v>15.0</v>
      </c>
      <c r="O223" s="3">
        <v>74.0</v>
      </c>
      <c r="P223" s="3">
        <v>89.0</v>
      </c>
      <c r="Q223" s="10"/>
      <c r="R223" s="10" t="str">
        <f t="shared" si="1"/>
        <v>OK</v>
      </c>
      <c r="S223" s="10">
        <f t="shared" si="2"/>
        <v>5</v>
      </c>
      <c r="T223" s="10" t="str">
        <f t="shared" si="3"/>
        <v>OK</v>
      </c>
      <c r="U223" s="10">
        <f t="shared" si="4"/>
        <v>1</v>
      </c>
      <c r="V223" s="10"/>
      <c r="W223" s="10"/>
      <c r="X223" s="10"/>
      <c r="Y223" s="10"/>
      <c r="Z223" s="10"/>
    </row>
    <row r="224" ht="13.5" customHeight="1">
      <c r="A224" s="10">
        <f>dataset_1!A56</f>
        <v>55</v>
      </c>
      <c r="B224" s="11">
        <f>dataset_1!B56</f>
        <v>40546</v>
      </c>
      <c r="C224" s="10">
        <f>dataset_1!C56</f>
        <v>1</v>
      </c>
      <c r="D224" s="10">
        <f>dataset_1!D56</f>
        <v>0</v>
      </c>
      <c r="E224" s="10">
        <f>dataset_1!E56</f>
        <v>1</v>
      </c>
      <c r="F224" s="10">
        <f>dataset_1!F56</f>
        <v>9</v>
      </c>
      <c r="G224" s="10" t="b">
        <f>dataset_1!G56</f>
        <v>0</v>
      </c>
      <c r="H224" s="10">
        <f>dataset_1!H56</f>
        <v>1</v>
      </c>
      <c r="I224" s="10">
        <f>dataset_1!I56</f>
        <v>1</v>
      </c>
      <c r="J224" s="10">
        <f>dataset_1!J56</f>
        <v>0.16</v>
      </c>
      <c r="K224" s="10">
        <f>VLOOKUP(A224,dataset_2!$A$2:$G$611,2,0)</f>
        <v>0.1364</v>
      </c>
      <c r="L224" s="10">
        <f>VLOOKUP(A224,dataset_2!$A$2:$G$611,3,0)</f>
        <v>0.43</v>
      </c>
      <c r="M224" s="10">
        <f>VLOOKUP(A224,dataset_2!$A$2:$G$611,4,0)</f>
        <v>0.3881</v>
      </c>
      <c r="N224" s="10">
        <f>VLOOKUP(A224,dataset_2!$A$2:$G$611,5,0)</f>
        <v>7</v>
      </c>
      <c r="O224" s="10">
        <f>VLOOKUP(A224,dataset_2!$A$2:$G$611,6,0)</f>
        <v>81</v>
      </c>
      <c r="P224" s="10">
        <f>VLOOKUP(A224,dataset_2!$A$2:$G$611,7,0)</f>
        <v>88</v>
      </c>
      <c r="Q224" s="10"/>
      <c r="R224" s="10" t="str">
        <f t="shared" si="1"/>
        <v>OK</v>
      </c>
      <c r="S224" s="10">
        <f t="shared" si="2"/>
        <v>5</v>
      </c>
      <c r="T224" s="10" t="str">
        <f t="shared" si="3"/>
        <v>OK</v>
      </c>
      <c r="U224" s="10">
        <f t="shared" si="4"/>
        <v>1</v>
      </c>
      <c r="V224" s="10"/>
      <c r="W224" s="10"/>
      <c r="X224" s="10"/>
      <c r="Y224" s="10"/>
      <c r="Z224" s="10"/>
    </row>
    <row r="225" ht="13.5" customHeight="1">
      <c r="A225" s="10">
        <f>dataset_1!A100</f>
        <v>99</v>
      </c>
      <c r="B225" s="11">
        <f>dataset_1!B100</f>
        <v>40548</v>
      </c>
      <c r="C225" s="10">
        <f>dataset_1!C100</f>
        <v>1</v>
      </c>
      <c r="D225" s="10">
        <f>dataset_1!D100</f>
        <v>0</v>
      </c>
      <c r="E225" s="10">
        <f>dataset_1!E100</f>
        <v>1</v>
      </c>
      <c r="F225" s="10">
        <f>dataset_1!F100</f>
        <v>7</v>
      </c>
      <c r="G225" s="10" t="b">
        <f>dataset_1!G100</f>
        <v>0</v>
      </c>
      <c r="H225" s="10">
        <f>dataset_1!H100</f>
        <v>3</v>
      </c>
      <c r="I225" s="10">
        <f>dataset_1!I100</f>
        <v>1</v>
      </c>
      <c r="J225" s="10">
        <f>dataset_1!J100</f>
        <v>0.18</v>
      </c>
      <c r="K225" s="10">
        <f>VLOOKUP(A225,dataset_2!$A$2:$G$611,2,0)</f>
        <v>0.1818</v>
      </c>
      <c r="L225" s="10">
        <f>VLOOKUP(A225,dataset_2!$A$2:$G$611,3,0)</f>
        <v>0.43</v>
      </c>
      <c r="M225" s="10">
        <f>VLOOKUP(A225,dataset_2!$A$2:$G$611,4,0)</f>
        <v>0.194</v>
      </c>
      <c r="N225" s="10">
        <f>VLOOKUP(A225,dataset_2!$A$2:$G$611,5,0)</f>
        <v>1</v>
      </c>
      <c r="O225" s="10">
        <f>VLOOKUP(A225,dataset_2!$A$2:$G$611,6,0)</f>
        <v>87</v>
      </c>
      <c r="P225" s="10">
        <f>VLOOKUP(A225,dataset_2!$A$2:$G$611,7,0)</f>
        <v>88</v>
      </c>
      <c r="Q225" s="10"/>
      <c r="R225" s="10" t="str">
        <f t="shared" si="1"/>
        <v>OK</v>
      </c>
      <c r="S225" s="10">
        <f t="shared" si="2"/>
        <v>5</v>
      </c>
      <c r="T225" s="10" t="str">
        <f t="shared" si="3"/>
        <v>OK</v>
      </c>
      <c r="U225" s="10">
        <f t="shared" si="4"/>
        <v>1</v>
      </c>
      <c r="V225" s="10"/>
      <c r="W225" s="10"/>
      <c r="X225" s="10"/>
      <c r="Y225" s="10"/>
      <c r="Z225" s="10"/>
    </row>
    <row r="226" ht="13.5" customHeight="1">
      <c r="A226" s="3">
        <v>850.0</v>
      </c>
      <c r="B226" s="12">
        <v>40581.0</v>
      </c>
      <c r="C226" s="3">
        <v>1.0</v>
      </c>
      <c r="D226" s="3">
        <v>0.0</v>
      </c>
      <c r="E226" s="3">
        <v>2.0</v>
      </c>
      <c r="F226" s="3">
        <v>20.0</v>
      </c>
      <c r="G226" s="3" t="b">
        <f t="shared" ref="G226:G227" si="30">FALSE()</f>
        <v>0</v>
      </c>
      <c r="H226" s="3">
        <v>1.0</v>
      </c>
      <c r="I226" s="3">
        <v>2.0</v>
      </c>
      <c r="J226" s="3">
        <v>0.32</v>
      </c>
      <c r="K226" s="3">
        <v>0.3333</v>
      </c>
      <c r="L226" s="3">
        <v>0.7</v>
      </c>
      <c r="M226" s="3">
        <v>0.1045</v>
      </c>
      <c r="N226" s="3">
        <v>6.0</v>
      </c>
      <c r="O226" s="3">
        <v>82.0</v>
      </c>
      <c r="P226" s="3">
        <v>88.0</v>
      </c>
      <c r="Q226" s="10"/>
      <c r="R226" s="10" t="str">
        <f t="shared" si="1"/>
        <v>OK</v>
      </c>
      <c r="S226" s="10">
        <f t="shared" si="2"/>
        <v>5</v>
      </c>
      <c r="T226" s="10" t="str">
        <f t="shared" si="3"/>
        <v>OK</v>
      </c>
      <c r="U226" s="10">
        <f t="shared" si="4"/>
        <v>1</v>
      </c>
      <c r="V226" s="10"/>
      <c r="W226" s="10"/>
      <c r="X226" s="10"/>
      <c r="Y226" s="10"/>
      <c r="Z226" s="10"/>
    </row>
    <row r="227" ht="13.5" customHeight="1">
      <c r="A227" s="3">
        <v>896.0</v>
      </c>
      <c r="B227" s="12">
        <v>40583.0</v>
      </c>
      <c r="C227" s="3">
        <v>1.0</v>
      </c>
      <c r="D227" s="3">
        <v>0.0</v>
      </c>
      <c r="E227" s="3">
        <v>2.0</v>
      </c>
      <c r="F227" s="3">
        <v>19.0</v>
      </c>
      <c r="G227" s="3" t="b">
        <f t="shared" si="30"/>
        <v>0</v>
      </c>
      <c r="H227" s="3">
        <v>3.0</v>
      </c>
      <c r="I227" s="3">
        <v>3.0</v>
      </c>
      <c r="J227" s="3">
        <v>0.14</v>
      </c>
      <c r="K227" s="3">
        <v>0.1212</v>
      </c>
      <c r="L227" s="3">
        <v>0.86</v>
      </c>
      <c r="M227" s="3">
        <v>0.2537</v>
      </c>
      <c r="N227" s="3">
        <v>1.0</v>
      </c>
      <c r="O227" s="3">
        <v>87.0</v>
      </c>
      <c r="P227" s="3">
        <v>88.0</v>
      </c>
      <c r="Q227" s="10"/>
      <c r="R227" s="10" t="str">
        <f t="shared" si="1"/>
        <v>OK</v>
      </c>
      <c r="S227" s="10">
        <f t="shared" si="2"/>
        <v>5</v>
      </c>
      <c r="T227" s="10" t="str">
        <f t="shared" si="3"/>
        <v>OK</v>
      </c>
      <c r="U227" s="10">
        <f t="shared" si="4"/>
        <v>1</v>
      </c>
      <c r="V227" s="10"/>
      <c r="W227" s="10"/>
      <c r="X227" s="10"/>
      <c r="Y227" s="10"/>
      <c r="Z227" s="10"/>
    </row>
    <row r="228" ht="13.5" customHeight="1">
      <c r="A228" s="10">
        <f>dataset_1!A155</f>
        <v>154</v>
      </c>
      <c r="B228" s="11">
        <f>dataset_1!B155</f>
        <v>40550</v>
      </c>
      <c r="C228" s="10">
        <f>dataset_1!C155</f>
        <v>1</v>
      </c>
      <c r="D228" s="10">
        <f>dataset_1!D155</f>
        <v>0</v>
      </c>
      <c r="E228" s="10">
        <f>dataset_1!E155</f>
        <v>1</v>
      </c>
      <c r="F228" s="10">
        <f>dataset_1!F155</f>
        <v>16</v>
      </c>
      <c r="G228" s="10" t="b">
        <f>dataset_1!G155</f>
        <v>0</v>
      </c>
      <c r="H228" s="10">
        <f>dataset_1!H155</f>
        <v>5</v>
      </c>
      <c r="I228" s="10">
        <f>dataset_1!I155</f>
        <v>2</v>
      </c>
      <c r="J228" s="10">
        <f>dataset_1!J155</f>
        <v>0.2</v>
      </c>
      <c r="K228" s="10">
        <f>VLOOKUP(A228,dataset_2!$A$2:$G$611,2,0)</f>
        <v>0.2121</v>
      </c>
      <c r="L228" s="10">
        <f>VLOOKUP(A228,dataset_2!$A$2:$G$611,3,0)</f>
        <v>0.37</v>
      </c>
      <c r="M228" s="10">
        <f>VLOOKUP(A228,dataset_2!$A$2:$G$611,4,0)</f>
        <v>0.1642</v>
      </c>
      <c r="N228" s="10">
        <f>VLOOKUP(A228,dataset_2!$A$2:$G$611,5,0)</f>
        <v>5</v>
      </c>
      <c r="O228" s="10">
        <f>VLOOKUP(A228,dataset_2!$A$2:$G$611,6,0)</f>
        <v>82</v>
      </c>
      <c r="P228" s="10">
        <f>VLOOKUP(A228,dataset_2!$A$2:$G$611,7,0)</f>
        <v>87</v>
      </c>
      <c r="Q228" s="10"/>
      <c r="R228" s="10" t="str">
        <f t="shared" si="1"/>
        <v>OK</v>
      </c>
      <c r="S228" s="10">
        <f t="shared" si="2"/>
        <v>5</v>
      </c>
      <c r="T228" s="10" t="str">
        <f t="shared" si="3"/>
        <v>OK</v>
      </c>
      <c r="U228" s="10">
        <f t="shared" si="4"/>
        <v>1</v>
      </c>
      <c r="V228" s="10"/>
      <c r="W228" s="10"/>
      <c r="X228" s="10"/>
      <c r="Y228" s="10"/>
      <c r="Z228" s="10"/>
    </row>
    <row r="229" ht="13.5" customHeight="1">
      <c r="A229" s="10">
        <f>dataset_1!A516</f>
        <v>515</v>
      </c>
      <c r="B229" s="11">
        <f>dataset_1!B516</f>
        <v>40566</v>
      </c>
      <c r="C229" s="10">
        <f>dataset_1!C516</f>
        <v>1</v>
      </c>
      <c r="D229" s="10">
        <f>dataset_1!D516</f>
        <v>0</v>
      </c>
      <c r="E229" s="10">
        <f>dataset_1!E516</f>
        <v>1</v>
      </c>
      <c r="F229" s="10">
        <f>dataset_1!F516</f>
        <v>13</v>
      </c>
      <c r="G229" s="10" t="b">
        <f>dataset_1!G516</f>
        <v>0</v>
      </c>
      <c r="H229" s="10">
        <f>dataset_1!H516</f>
        <v>0</v>
      </c>
      <c r="I229" s="10">
        <f>dataset_1!I516</f>
        <v>1</v>
      </c>
      <c r="J229" s="10">
        <f>dataset_1!J516</f>
        <v>0.14</v>
      </c>
      <c r="K229" s="10">
        <f>VLOOKUP(A229,dataset_2!$A$2:$G$611,2,0)</f>
        <v>0.1061</v>
      </c>
      <c r="L229" s="10">
        <f>VLOOKUP(A229,dataset_2!$A$2:$G$611,3,0)</f>
        <v>0.33</v>
      </c>
      <c r="M229" s="10">
        <f>VLOOKUP(A229,dataset_2!$A$2:$G$611,4,0)</f>
        <v>0.3881</v>
      </c>
      <c r="N229" s="10">
        <f>VLOOKUP(A229,dataset_2!$A$2:$G$611,5,0)</f>
        <v>12</v>
      </c>
      <c r="O229" s="10">
        <f>VLOOKUP(A229,dataset_2!$A$2:$G$611,6,0)</f>
        <v>75</v>
      </c>
      <c r="P229" s="10">
        <f>VLOOKUP(A229,dataset_2!$A$2:$G$611,7,0)</f>
        <v>87</v>
      </c>
      <c r="Q229" s="10"/>
      <c r="R229" s="10" t="str">
        <f t="shared" si="1"/>
        <v>OK</v>
      </c>
      <c r="S229" s="10">
        <f t="shared" si="2"/>
        <v>5</v>
      </c>
      <c r="T229" s="10" t="str">
        <f t="shared" si="3"/>
        <v>OK</v>
      </c>
      <c r="U229" s="10">
        <f t="shared" si="4"/>
        <v>1</v>
      </c>
      <c r="V229" s="10"/>
      <c r="W229" s="10"/>
      <c r="X229" s="10"/>
      <c r="Y229" s="10"/>
      <c r="Z229" s="10"/>
    </row>
    <row r="230" ht="13.5" customHeight="1">
      <c r="A230" s="3">
        <v>742.0</v>
      </c>
      <c r="B230" s="12">
        <v>40577.0</v>
      </c>
      <c r="C230" s="3">
        <v>1.0</v>
      </c>
      <c r="D230" s="3">
        <v>0.0</v>
      </c>
      <c r="E230" s="3">
        <v>2.0</v>
      </c>
      <c r="F230" s="3">
        <v>7.0</v>
      </c>
      <c r="G230" s="3" t="b">
        <f t="shared" ref="G230:G231" si="31">FALSE()</f>
        <v>0</v>
      </c>
      <c r="H230" s="3">
        <v>4.0</v>
      </c>
      <c r="I230" s="3">
        <v>1.0</v>
      </c>
      <c r="J230" s="3">
        <v>0.14</v>
      </c>
      <c r="K230" s="3">
        <v>0.1212</v>
      </c>
      <c r="L230" s="3">
        <v>0.5</v>
      </c>
      <c r="M230" s="3">
        <v>0.3284</v>
      </c>
      <c r="N230" s="3">
        <v>1.0</v>
      </c>
      <c r="O230" s="3">
        <v>86.0</v>
      </c>
      <c r="P230" s="3">
        <v>87.0</v>
      </c>
      <c r="Q230" s="10"/>
      <c r="R230" s="10" t="str">
        <f t="shared" si="1"/>
        <v>OK</v>
      </c>
      <c r="S230" s="10">
        <f t="shared" si="2"/>
        <v>5</v>
      </c>
      <c r="T230" s="10" t="str">
        <f t="shared" si="3"/>
        <v>OK</v>
      </c>
      <c r="U230" s="10">
        <f t="shared" si="4"/>
        <v>1</v>
      </c>
      <c r="V230" s="10"/>
      <c r="W230" s="10"/>
      <c r="X230" s="10"/>
      <c r="Y230" s="10"/>
      <c r="Z230" s="10"/>
    </row>
    <row r="231" ht="13.5" customHeight="1">
      <c r="A231" s="3">
        <v>765.0</v>
      </c>
      <c r="B231" s="12">
        <v>40578.0</v>
      </c>
      <c r="C231" s="3">
        <v>1.0</v>
      </c>
      <c r="D231" s="3">
        <v>0.0</v>
      </c>
      <c r="E231" s="3">
        <v>2.0</v>
      </c>
      <c r="F231" s="3">
        <v>7.0</v>
      </c>
      <c r="G231" s="3" t="b">
        <f t="shared" si="31"/>
        <v>0</v>
      </c>
      <c r="H231" s="3">
        <v>5.0</v>
      </c>
      <c r="I231" s="3">
        <v>1.0</v>
      </c>
      <c r="J231" s="3">
        <v>0.14</v>
      </c>
      <c r="K231" s="3">
        <v>0.2121</v>
      </c>
      <c r="L231" s="3">
        <v>0.59</v>
      </c>
      <c r="M231" s="3">
        <v>0.0</v>
      </c>
      <c r="N231" s="3">
        <v>0.0</v>
      </c>
      <c r="O231" s="3">
        <v>87.0</v>
      </c>
      <c r="P231" s="3">
        <v>87.0</v>
      </c>
      <c r="Q231" s="10"/>
      <c r="R231" s="10" t="str">
        <f t="shared" si="1"/>
        <v>OK</v>
      </c>
      <c r="S231" s="10">
        <f t="shared" si="2"/>
        <v>5</v>
      </c>
      <c r="T231" s="10" t="str">
        <f t="shared" si="3"/>
        <v>OK</v>
      </c>
      <c r="U231" s="10">
        <f t="shared" si="4"/>
        <v>1</v>
      </c>
      <c r="V231" s="10"/>
      <c r="W231" s="10"/>
      <c r="X231" s="10"/>
      <c r="Y231" s="10"/>
      <c r="Z231" s="10"/>
    </row>
    <row r="232" ht="13.5" customHeight="1">
      <c r="A232" s="10">
        <f>dataset_1!A132</f>
        <v>131</v>
      </c>
      <c r="B232" s="11">
        <f>dataset_1!B132</f>
        <v>40549</v>
      </c>
      <c r="C232" s="10">
        <f>dataset_1!C132</f>
        <v>1</v>
      </c>
      <c r="D232" s="10">
        <f>dataset_1!D132</f>
        <v>0</v>
      </c>
      <c r="E232" s="10">
        <f>dataset_1!E132</f>
        <v>1</v>
      </c>
      <c r="F232" s="10">
        <f>dataset_1!F132</f>
        <v>16</v>
      </c>
      <c r="G232" s="10" t="b">
        <f>dataset_1!G132</f>
        <v>0</v>
      </c>
      <c r="H232" s="10">
        <f>dataset_1!H132</f>
        <v>4</v>
      </c>
      <c r="I232" s="10">
        <f>dataset_1!I132</f>
        <v>1</v>
      </c>
      <c r="J232" s="10">
        <f>dataset_1!J132</f>
        <v>0.26</v>
      </c>
      <c r="K232" s="10">
        <f>VLOOKUP(A232,dataset_2!$A$2:$G$611,2,0)</f>
        <v>0.2576</v>
      </c>
      <c r="L232" s="10">
        <f>VLOOKUP(A232,dataset_2!$A$2:$G$611,3,0)</f>
        <v>0.38</v>
      </c>
      <c r="M232" s="10">
        <f>VLOOKUP(A232,dataset_2!$A$2:$G$611,4,0)</f>
        <v>0.1642</v>
      </c>
      <c r="N232" s="10">
        <f>VLOOKUP(A232,dataset_2!$A$2:$G$611,5,0)</f>
        <v>12</v>
      </c>
      <c r="O232" s="10">
        <f>VLOOKUP(A232,dataset_2!$A$2:$G$611,6,0)</f>
        <v>74</v>
      </c>
      <c r="P232" s="10">
        <f>VLOOKUP(A232,dataset_2!$A$2:$G$611,7,0)</f>
        <v>86</v>
      </c>
      <c r="Q232" s="10"/>
      <c r="R232" s="10" t="str">
        <f t="shared" si="1"/>
        <v>OK</v>
      </c>
      <c r="S232" s="10">
        <f t="shared" si="2"/>
        <v>5</v>
      </c>
      <c r="T232" s="10" t="str">
        <f t="shared" si="3"/>
        <v>OK</v>
      </c>
      <c r="U232" s="10">
        <f t="shared" si="4"/>
        <v>1</v>
      </c>
      <c r="V232" s="10"/>
      <c r="W232" s="10"/>
      <c r="X232" s="10"/>
      <c r="Y232" s="10"/>
      <c r="Z232" s="10"/>
    </row>
    <row r="233" ht="13.5" customHeight="1">
      <c r="A233" s="10">
        <f>dataset_1!A388</f>
        <v>387</v>
      </c>
      <c r="B233" s="11">
        <f>dataset_1!B388</f>
        <v>40560</v>
      </c>
      <c r="C233" s="10">
        <f>dataset_1!C388</f>
        <v>1</v>
      </c>
      <c r="D233" s="10">
        <f>dataset_1!D388</f>
        <v>0</v>
      </c>
      <c r="E233" s="10">
        <f>dataset_1!E388</f>
        <v>1</v>
      </c>
      <c r="F233" s="10">
        <f>dataset_1!F388</f>
        <v>14</v>
      </c>
      <c r="G233" s="10" t="b">
        <f>dataset_1!G388</f>
        <v>1</v>
      </c>
      <c r="H233" s="10">
        <f>dataset_1!H388</f>
        <v>1</v>
      </c>
      <c r="I233" s="10">
        <f>dataset_1!I388</f>
        <v>2</v>
      </c>
      <c r="J233" s="10">
        <f>dataset_1!J388</f>
        <v>0.18</v>
      </c>
      <c r="K233" s="10">
        <f>VLOOKUP(A233,dataset_2!$A$2:$G$611,2,0)</f>
        <v>0.2121</v>
      </c>
      <c r="L233" s="10">
        <f>VLOOKUP(A233,dataset_2!$A$2:$G$611,3,0)</f>
        <v>0.43</v>
      </c>
      <c r="M233" s="10">
        <f>VLOOKUP(A233,dataset_2!$A$2:$G$611,4,0)</f>
        <v>0.1045</v>
      </c>
      <c r="N233" s="10">
        <f>VLOOKUP(A233,dataset_2!$A$2:$G$611,5,0)</f>
        <v>12</v>
      </c>
      <c r="O233" s="10">
        <f>VLOOKUP(A233,dataset_2!$A$2:$G$611,6,0)</f>
        <v>74</v>
      </c>
      <c r="P233" s="10">
        <f>VLOOKUP(A233,dataset_2!$A$2:$G$611,7,0)</f>
        <v>86</v>
      </c>
      <c r="Q233" s="10"/>
      <c r="R233" s="10" t="str">
        <f t="shared" si="1"/>
        <v>OK</v>
      </c>
      <c r="S233" s="10">
        <f t="shared" si="2"/>
        <v>5</v>
      </c>
      <c r="T233" s="10" t="str">
        <f t="shared" si="3"/>
        <v>OK</v>
      </c>
      <c r="U233" s="10">
        <f t="shared" si="4"/>
        <v>1</v>
      </c>
      <c r="V233" s="10"/>
      <c r="W233" s="10"/>
      <c r="X233" s="10"/>
      <c r="Y233" s="10"/>
      <c r="Z233" s="10"/>
    </row>
    <row r="234" ht="13.5" customHeight="1">
      <c r="A234" s="3">
        <v>679.0</v>
      </c>
      <c r="B234" s="12">
        <v>40574.0</v>
      </c>
      <c r="C234" s="3">
        <v>1.0</v>
      </c>
      <c r="D234" s="3">
        <v>0.0</v>
      </c>
      <c r="E234" s="3">
        <v>1.0</v>
      </c>
      <c r="F234" s="3">
        <v>14.0</v>
      </c>
      <c r="G234" s="3" t="b">
        <f t="shared" ref="G234:G236" si="32">FALSE()</f>
        <v>0</v>
      </c>
      <c r="H234" s="3">
        <v>1.0</v>
      </c>
      <c r="I234" s="3">
        <v>2.0</v>
      </c>
      <c r="J234" s="3">
        <v>0.18</v>
      </c>
      <c r="K234" s="3">
        <v>0.197</v>
      </c>
      <c r="L234" s="3">
        <v>0.55</v>
      </c>
      <c r="M234" s="3">
        <v>0.1343</v>
      </c>
      <c r="N234" s="3">
        <v>1.0</v>
      </c>
      <c r="O234" s="3">
        <v>85.0</v>
      </c>
      <c r="P234" s="3">
        <v>86.0</v>
      </c>
      <c r="Q234" s="10"/>
      <c r="R234" s="10" t="str">
        <f t="shared" si="1"/>
        <v>OK</v>
      </c>
      <c r="S234" s="10">
        <f t="shared" si="2"/>
        <v>5</v>
      </c>
      <c r="T234" s="10" t="str">
        <f t="shared" si="3"/>
        <v>OK</v>
      </c>
      <c r="U234" s="10">
        <f t="shared" si="4"/>
        <v>1</v>
      </c>
      <c r="V234" s="10"/>
      <c r="W234" s="10"/>
      <c r="X234" s="10"/>
      <c r="Y234" s="10"/>
      <c r="Z234" s="10"/>
    </row>
    <row r="235" ht="13.5" customHeight="1">
      <c r="A235" s="3">
        <v>681.0</v>
      </c>
      <c r="B235" s="12">
        <v>40574.0</v>
      </c>
      <c r="C235" s="3">
        <v>1.0</v>
      </c>
      <c r="D235" s="3">
        <v>0.0</v>
      </c>
      <c r="E235" s="3">
        <v>1.0</v>
      </c>
      <c r="F235" s="3">
        <v>16.0</v>
      </c>
      <c r="G235" s="3" t="b">
        <f t="shared" si="32"/>
        <v>0</v>
      </c>
      <c r="H235" s="3">
        <v>1.0</v>
      </c>
      <c r="I235" s="3">
        <v>2.0</v>
      </c>
      <c r="J235" s="3">
        <v>0.16</v>
      </c>
      <c r="K235" s="3">
        <v>0.1818</v>
      </c>
      <c r="L235" s="3">
        <v>0.56</v>
      </c>
      <c r="M235" s="3">
        <v>0.194</v>
      </c>
      <c r="N235" s="3">
        <v>3.0</v>
      </c>
      <c r="O235" s="3">
        <v>83.0</v>
      </c>
      <c r="P235" s="3">
        <v>86.0</v>
      </c>
      <c r="Q235" s="10"/>
      <c r="R235" s="10" t="str">
        <f t="shared" si="1"/>
        <v>OK</v>
      </c>
      <c r="S235" s="10">
        <f t="shared" si="2"/>
        <v>5</v>
      </c>
      <c r="T235" s="10" t="str">
        <f t="shared" si="3"/>
        <v>OK</v>
      </c>
      <c r="U235" s="10">
        <f t="shared" si="4"/>
        <v>1</v>
      </c>
      <c r="V235" s="10"/>
      <c r="W235" s="10"/>
      <c r="X235" s="10"/>
      <c r="Y235" s="10"/>
      <c r="Z235" s="10"/>
    </row>
    <row r="236" ht="13.5" customHeight="1">
      <c r="A236" s="3">
        <v>770.0</v>
      </c>
      <c r="B236" s="12">
        <v>40578.0</v>
      </c>
      <c r="C236" s="3">
        <v>1.0</v>
      </c>
      <c r="D236" s="3">
        <v>0.0</v>
      </c>
      <c r="E236" s="3">
        <v>2.0</v>
      </c>
      <c r="F236" s="3">
        <v>12.0</v>
      </c>
      <c r="G236" s="3" t="b">
        <f t="shared" si="32"/>
        <v>0</v>
      </c>
      <c r="H236" s="3">
        <v>5.0</v>
      </c>
      <c r="I236" s="3">
        <v>2.0</v>
      </c>
      <c r="J236" s="3">
        <v>0.24</v>
      </c>
      <c r="K236" s="3">
        <v>0.2424</v>
      </c>
      <c r="L236" s="3">
        <v>0.48</v>
      </c>
      <c r="M236" s="3">
        <v>0.1642</v>
      </c>
      <c r="N236" s="3">
        <v>8.0</v>
      </c>
      <c r="O236" s="3">
        <v>78.0</v>
      </c>
      <c r="P236" s="3">
        <v>86.0</v>
      </c>
      <c r="Q236" s="10"/>
      <c r="R236" s="10" t="str">
        <f t="shared" si="1"/>
        <v>OK</v>
      </c>
      <c r="S236" s="10">
        <f t="shared" si="2"/>
        <v>5</v>
      </c>
      <c r="T236" s="10" t="str">
        <f t="shared" si="3"/>
        <v>OK</v>
      </c>
      <c r="U236" s="10">
        <f t="shared" si="4"/>
        <v>1</v>
      </c>
      <c r="V236" s="10"/>
      <c r="W236" s="10"/>
      <c r="X236" s="10"/>
      <c r="Y236" s="10"/>
      <c r="Z236" s="10"/>
    </row>
    <row r="237" ht="13.5" customHeight="1">
      <c r="A237" s="10">
        <f>dataset_1!A14</f>
        <v>13</v>
      </c>
      <c r="B237" s="11">
        <f>dataset_1!B14</f>
        <v>40544</v>
      </c>
      <c r="C237" s="10">
        <f>dataset_1!C14</f>
        <v>1</v>
      </c>
      <c r="D237" s="10">
        <f>dataset_1!D14</f>
        <v>0</v>
      </c>
      <c r="E237" s="10">
        <f>dataset_1!E14</f>
        <v>1</v>
      </c>
      <c r="F237" s="10">
        <f>dataset_1!F14</f>
        <v>12</v>
      </c>
      <c r="G237" s="10" t="b">
        <f>dataset_1!G14</f>
        <v>0</v>
      </c>
      <c r="H237" s="10">
        <f>dataset_1!H14</f>
        <v>6</v>
      </c>
      <c r="I237" s="10">
        <f>dataset_1!I14</f>
        <v>1</v>
      </c>
      <c r="J237" s="10">
        <f>dataset_1!J14</f>
        <v>0.42</v>
      </c>
      <c r="K237" s="10">
        <f>VLOOKUP(A237,dataset_2!$A$2:$G$611,2,0)</f>
        <v>0.4242</v>
      </c>
      <c r="L237" s="10">
        <f>VLOOKUP(A237,dataset_2!$A$2:$G$611,3,0)</f>
        <v>0.77</v>
      </c>
      <c r="M237" s="10">
        <f>VLOOKUP(A237,dataset_2!$A$2:$G$611,4,0)</f>
        <v>0.2836</v>
      </c>
      <c r="N237" s="10">
        <f>VLOOKUP(A237,dataset_2!$A$2:$G$611,5,0)</f>
        <v>29</v>
      </c>
      <c r="O237" s="10">
        <f>VLOOKUP(A237,dataset_2!$A$2:$G$611,6,0)</f>
        <v>55</v>
      </c>
      <c r="P237" s="10">
        <f>VLOOKUP(A237,dataset_2!$A$2:$G$611,7,0)</f>
        <v>84</v>
      </c>
      <c r="Q237" s="10"/>
      <c r="R237" s="10" t="str">
        <f t="shared" si="1"/>
        <v>OK</v>
      </c>
      <c r="S237" s="10">
        <f t="shared" si="2"/>
        <v>5</v>
      </c>
      <c r="T237" s="10" t="str">
        <f t="shared" si="3"/>
        <v>OK</v>
      </c>
      <c r="U237" s="10">
        <f t="shared" si="4"/>
        <v>1</v>
      </c>
      <c r="V237" s="10"/>
      <c r="W237" s="10"/>
      <c r="X237" s="10"/>
      <c r="Y237" s="10"/>
      <c r="Z237" s="10"/>
    </row>
    <row r="238" ht="13.5" customHeight="1">
      <c r="A238" s="10">
        <f>dataset_1!A128</f>
        <v>127</v>
      </c>
      <c r="B238" s="11">
        <f>dataset_1!B128</f>
        <v>40549</v>
      </c>
      <c r="C238" s="10">
        <f>dataset_1!C128</f>
        <v>1</v>
      </c>
      <c r="D238" s="10">
        <f>dataset_1!D128</f>
        <v>0</v>
      </c>
      <c r="E238" s="10">
        <f>dataset_1!E128</f>
        <v>1</v>
      </c>
      <c r="F238" s="10">
        <f>dataset_1!F128</f>
        <v>12</v>
      </c>
      <c r="G238" s="10" t="b">
        <f>dataset_1!G128</f>
        <v>0</v>
      </c>
      <c r="H238" s="10">
        <f>dataset_1!H128</f>
        <v>4</v>
      </c>
      <c r="I238" s="10">
        <f>dataset_1!I128</f>
        <v>1</v>
      </c>
      <c r="J238" s="10">
        <f>dataset_1!J128</f>
        <v>0.26</v>
      </c>
      <c r="K238" s="10">
        <f>VLOOKUP(A238,dataset_2!$A$2:$G$611,2,0)</f>
        <v>0.2879</v>
      </c>
      <c r="L238" s="10">
        <f>VLOOKUP(A238,dataset_2!$A$2:$G$611,3,0)</f>
        <v>0.35</v>
      </c>
      <c r="M238" s="10">
        <f>VLOOKUP(A238,dataset_2!$A$2:$G$611,4,0)</f>
        <v>0</v>
      </c>
      <c r="N238" s="10">
        <f>VLOOKUP(A238,dataset_2!$A$2:$G$611,5,0)</f>
        <v>6</v>
      </c>
      <c r="O238" s="10">
        <f>VLOOKUP(A238,dataset_2!$A$2:$G$611,6,0)</f>
        <v>78</v>
      </c>
      <c r="P238" s="10">
        <f>VLOOKUP(A238,dataset_2!$A$2:$G$611,7,0)</f>
        <v>84</v>
      </c>
      <c r="Q238" s="10"/>
      <c r="R238" s="10" t="str">
        <f t="shared" si="1"/>
        <v>OK</v>
      </c>
      <c r="S238" s="10">
        <f t="shared" si="2"/>
        <v>5</v>
      </c>
      <c r="T238" s="10" t="str">
        <f t="shared" si="3"/>
        <v>OK</v>
      </c>
      <c r="U238" s="10">
        <f t="shared" si="4"/>
        <v>1</v>
      </c>
      <c r="V238" s="10"/>
      <c r="W238" s="10"/>
      <c r="X238" s="10"/>
      <c r="Y238" s="10"/>
      <c r="Z238" s="10"/>
    </row>
    <row r="239" ht="13.5" customHeight="1">
      <c r="A239" s="10">
        <f>dataset_1!A146</f>
        <v>145</v>
      </c>
      <c r="B239" s="11">
        <f>dataset_1!B146</f>
        <v>40550</v>
      </c>
      <c r="C239" s="10">
        <f>dataset_1!C146</f>
        <v>1</v>
      </c>
      <c r="D239" s="10">
        <f>dataset_1!D146</f>
        <v>0</v>
      </c>
      <c r="E239" s="10">
        <f>dataset_1!E146</f>
        <v>1</v>
      </c>
      <c r="F239" s="10">
        <f>dataset_1!F146</f>
        <v>7</v>
      </c>
      <c r="G239" s="10" t="b">
        <f>dataset_1!G146</f>
        <v>0</v>
      </c>
      <c r="H239" s="10">
        <f>dataset_1!H146</f>
        <v>5</v>
      </c>
      <c r="I239" s="10">
        <f>dataset_1!I146</f>
        <v>1</v>
      </c>
      <c r="J239" s="10">
        <f>dataset_1!J146</f>
        <v>0.2</v>
      </c>
      <c r="K239" s="10">
        <f>VLOOKUP(A239,dataset_2!$A$2:$G$611,2,0)</f>
        <v>0.2121</v>
      </c>
      <c r="L239" s="10">
        <f>VLOOKUP(A239,dataset_2!$A$2:$G$611,3,0)</f>
        <v>0.69</v>
      </c>
      <c r="M239" s="10">
        <f>VLOOKUP(A239,dataset_2!$A$2:$G$611,4,0)</f>
        <v>0.1343</v>
      </c>
      <c r="N239" s="10">
        <f>VLOOKUP(A239,dataset_2!$A$2:$G$611,5,0)</f>
        <v>8</v>
      </c>
      <c r="O239" s="10">
        <f>VLOOKUP(A239,dataset_2!$A$2:$G$611,6,0)</f>
        <v>76</v>
      </c>
      <c r="P239" s="10">
        <f>VLOOKUP(A239,dataset_2!$A$2:$G$611,7,0)</f>
        <v>84</v>
      </c>
      <c r="Q239" s="10"/>
      <c r="R239" s="10" t="str">
        <f t="shared" si="1"/>
        <v>OK</v>
      </c>
      <c r="S239" s="10">
        <f t="shared" si="2"/>
        <v>5</v>
      </c>
      <c r="T239" s="10" t="str">
        <f t="shared" si="3"/>
        <v>OK</v>
      </c>
      <c r="U239" s="10">
        <f t="shared" si="4"/>
        <v>1</v>
      </c>
      <c r="V239" s="10"/>
      <c r="W239" s="10"/>
      <c r="X239" s="10"/>
      <c r="Y239" s="10"/>
      <c r="Z239" s="10"/>
    </row>
    <row r="240" ht="13.5" customHeight="1">
      <c r="A240" s="10">
        <f>dataset_1!A344</f>
        <v>343</v>
      </c>
      <c r="B240" s="11">
        <f>dataset_1!B344</f>
        <v>40558</v>
      </c>
      <c r="C240" s="10">
        <f>dataset_1!C344</f>
        <v>1</v>
      </c>
      <c r="D240" s="10">
        <f>dataset_1!D344</f>
        <v>0</v>
      </c>
      <c r="E240" s="10">
        <f>dataset_1!E344</f>
        <v>1</v>
      </c>
      <c r="F240" s="10">
        <f>dataset_1!F344</f>
        <v>18</v>
      </c>
      <c r="G240" s="10" t="b">
        <f>dataset_1!G344</f>
        <v>0</v>
      </c>
      <c r="H240" s="10">
        <f>dataset_1!H344</f>
        <v>6</v>
      </c>
      <c r="I240" s="10">
        <f>dataset_1!I344</f>
        <v>2</v>
      </c>
      <c r="J240" s="10">
        <f>dataset_1!J344</f>
        <v>0.3</v>
      </c>
      <c r="K240" s="10">
        <f>VLOOKUP(A240,dataset_2!$A$2:$G$611,2,0)</f>
        <v>0.2879</v>
      </c>
      <c r="L240" s="10">
        <f>VLOOKUP(A240,dataset_2!$A$2:$G$611,3,0)</f>
        <v>0.45</v>
      </c>
      <c r="M240" s="10">
        <f>VLOOKUP(A240,dataset_2!$A$2:$G$611,4,0)</f>
        <v>0.2537</v>
      </c>
      <c r="N240" s="10">
        <f>VLOOKUP(A240,dataset_2!$A$2:$G$611,5,0)</f>
        <v>15</v>
      </c>
      <c r="O240" s="10">
        <f>VLOOKUP(A240,dataset_2!$A$2:$G$611,6,0)</f>
        <v>69</v>
      </c>
      <c r="P240" s="10">
        <f>VLOOKUP(A240,dataset_2!$A$2:$G$611,7,0)</f>
        <v>84</v>
      </c>
      <c r="Q240" s="10"/>
      <c r="R240" s="10" t="str">
        <f t="shared" si="1"/>
        <v>OK</v>
      </c>
      <c r="S240" s="10">
        <f t="shared" si="2"/>
        <v>5</v>
      </c>
      <c r="T240" s="10" t="str">
        <f t="shared" si="3"/>
        <v>OK</v>
      </c>
      <c r="U240" s="10">
        <f t="shared" si="4"/>
        <v>1</v>
      </c>
      <c r="V240" s="10"/>
      <c r="W240" s="10"/>
      <c r="X240" s="10"/>
      <c r="Y240" s="10"/>
      <c r="Z240" s="10"/>
    </row>
    <row r="241" ht="13.5" customHeight="1">
      <c r="A241" s="10">
        <f>dataset_1!A445</f>
        <v>444</v>
      </c>
      <c r="B241" s="11">
        <f>dataset_1!B445</f>
        <v>40563</v>
      </c>
      <c r="C241" s="10">
        <f>dataset_1!C445</f>
        <v>1</v>
      </c>
      <c r="D241" s="10">
        <f>dataset_1!D445</f>
        <v>0</v>
      </c>
      <c r="E241" s="10">
        <f>dataset_1!E445</f>
        <v>1</v>
      </c>
      <c r="F241" s="10">
        <f>dataset_1!F445</f>
        <v>12</v>
      </c>
      <c r="G241" s="10" t="b">
        <f>dataset_1!G445</f>
        <v>0</v>
      </c>
      <c r="H241" s="10">
        <f>dataset_1!H445</f>
        <v>4</v>
      </c>
      <c r="I241" s="10">
        <f>dataset_1!I445</f>
        <v>2</v>
      </c>
      <c r="J241" s="10">
        <f>dataset_1!J445</f>
        <v>0.3</v>
      </c>
      <c r="K241" s="10">
        <f>VLOOKUP(A241,dataset_2!$A$2:$G$611,2,0)</f>
        <v>0.3333</v>
      </c>
      <c r="L241" s="10">
        <f>VLOOKUP(A241,dataset_2!$A$2:$G$611,3,0)</f>
        <v>0.42</v>
      </c>
      <c r="M241" s="10">
        <f>VLOOKUP(A241,dataset_2!$A$2:$G$611,4,0)</f>
        <v>0</v>
      </c>
      <c r="N241" s="10">
        <f>VLOOKUP(A241,dataset_2!$A$2:$G$611,5,0)</f>
        <v>7</v>
      </c>
      <c r="O241" s="10">
        <f>VLOOKUP(A241,dataset_2!$A$2:$G$611,6,0)</f>
        <v>77</v>
      </c>
      <c r="P241" s="10">
        <f>VLOOKUP(A241,dataset_2!$A$2:$G$611,7,0)</f>
        <v>84</v>
      </c>
      <c r="Q241" s="10"/>
      <c r="R241" s="10" t="str">
        <f t="shared" si="1"/>
        <v>OK</v>
      </c>
      <c r="S241" s="10">
        <f t="shared" si="2"/>
        <v>5</v>
      </c>
      <c r="T241" s="10" t="str">
        <f t="shared" si="3"/>
        <v>OK</v>
      </c>
      <c r="U241" s="10">
        <f t="shared" si="4"/>
        <v>1</v>
      </c>
      <c r="V241" s="10"/>
      <c r="W241" s="10"/>
      <c r="X241" s="10"/>
      <c r="Y241" s="10"/>
      <c r="Z241" s="10"/>
    </row>
    <row r="242" ht="13.5" customHeight="1">
      <c r="A242" s="10">
        <f>dataset_1!A493</f>
        <v>492</v>
      </c>
      <c r="B242" s="11">
        <f>dataset_1!B493</f>
        <v>40565</v>
      </c>
      <c r="C242" s="10">
        <f>dataset_1!C493</f>
        <v>1</v>
      </c>
      <c r="D242" s="10">
        <f>dataset_1!D493</f>
        <v>0</v>
      </c>
      <c r="E242" s="10">
        <f>dataset_1!E493</f>
        <v>1</v>
      </c>
      <c r="F242" s="10">
        <f>dataset_1!F493</f>
        <v>13</v>
      </c>
      <c r="G242" s="10" t="b">
        <f>dataset_1!G493</f>
        <v>0</v>
      </c>
      <c r="H242" s="10">
        <f>dataset_1!H493</f>
        <v>6</v>
      </c>
      <c r="I242" s="10">
        <f>dataset_1!I493</f>
        <v>1</v>
      </c>
      <c r="J242" s="10">
        <f>dataset_1!J493</f>
        <v>0.08</v>
      </c>
      <c r="K242" s="10">
        <f>VLOOKUP(A242,dataset_2!$A$2:$G$611,2,0)</f>
        <v>0.1667</v>
      </c>
      <c r="L242" s="10">
        <f>VLOOKUP(A242,dataset_2!$A$2:$G$611,3,0)</f>
        <v>0.35</v>
      </c>
      <c r="M242" s="10">
        <f>VLOOKUP(A242,dataset_2!$A$2:$G$611,4,0)</f>
        <v>0</v>
      </c>
      <c r="N242" s="10">
        <f>VLOOKUP(A242,dataset_2!$A$2:$G$611,5,0)</f>
        <v>12</v>
      </c>
      <c r="O242" s="10">
        <f>VLOOKUP(A242,dataset_2!$A$2:$G$611,6,0)</f>
        <v>72</v>
      </c>
      <c r="P242" s="10">
        <f>VLOOKUP(A242,dataset_2!$A$2:$G$611,7,0)</f>
        <v>84</v>
      </c>
      <c r="Q242" s="10"/>
      <c r="R242" s="10" t="str">
        <f t="shared" si="1"/>
        <v>OK</v>
      </c>
      <c r="S242" s="10">
        <f t="shared" si="2"/>
        <v>5</v>
      </c>
      <c r="T242" s="10" t="str">
        <f t="shared" si="3"/>
        <v>OK</v>
      </c>
      <c r="U242" s="10">
        <f t="shared" si="4"/>
        <v>1</v>
      </c>
      <c r="V242" s="10"/>
      <c r="W242" s="10"/>
      <c r="X242" s="10"/>
      <c r="Y242" s="10"/>
      <c r="Z242" s="10"/>
    </row>
    <row r="243" ht="13.5" customHeight="1">
      <c r="A243" s="10">
        <f>dataset_1!A533</f>
        <v>532</v>
      </c>
      <c r="B243" s="11">
        <f>dataset_1!B533</f>
        <v>40567</v>
      </c>
      <c r="C243" s="10">
        <f>dataset_1!C533</f>
        <v>1</v>
      </c>
      <c r="D243" s="10">
        <f>dataset_1!D533</f>
        <v>0</v>
      </c>
      <c r="E243" s="10">
        <f>dataset_1!E533</f>
        <v>1</v>
      </c>
      <c r="F243" s="10">
        <f>dataset_1!F533</f>
        <v>7</v>
      </c>
      <c r="G243" s="10" t="b">
        <f>dataset_1!G533</f>
        <v>0</v>
      </c>
      <c r="H243" s="10">
        <f>dataset_1!H533</f>
        <v>1</v>
      </c>
      <c r="I243" s="10">
        <f>dataset_1!I533</f>
        <v>1</v>
      </c>
      <c r="J243" s="10">
        <f>dataset_1!J533</f>
        <v>0.02</v>
      </c>
      <c r="K243" s="10">
        <f>VLOOKUP(A243,dataset_2!$A$2:$G$611,2,0)</f>
        <v>0.1212</v>
      </c>
      <c r="L243" s="10">
        <f>VLOOKUP(A243,dataset_2!$A$2:$G$611,3,0)</f>
        <v>0.48</v>
      </c>
      <c r="M243" s="10">
        <f>VLOOKUP(A243,dataset_2!$A$2:$G$611,4,0)</f>
        <v>0</v>
      </c>
      <c r="N243" s="10">
        <f>VLOOKUP(A243,dataset_2!$A$2:$G$611,5,0)</f>
        <v>5</v>
      </c>
      <c r="O243" s="10">
        <f>VLOOKUP(A243,dataset_2!$A$2:$G$611,6,0)</f>
        <v>79</v>
      </c>
      <c r="P243" s="10">
        <f>VLOOKUP(A243,dataset_2!$A$2:$G$611,7,0)</f>
        <v>84</v>
      </c>
      <c r="Q243" s="10"/>
      <c r="R243" s="10" t="str">
        <f t="shared" si="1"/>
        <v>OK</v>
      </c>
      <c r="S243" s="10">
        <f t="shared" si="2"/>
        <v>5</v>
      </c>
      <c r="T243" s="10" t="str">
        <f t="shared" si="3"/>
        <v>OK</v>
      </c>
      <c r="U243" s="10">
        <f t="shared" si="4"/>
        <v>1</v>
      </c>
      <c r="V243" s="10"/>
      <c r="W243" s="10"/>
      <c r="X243" s="10"/>
      <c r="Y243" s="10"/>
      <c r="Z243" s="10"/>
    </row>
    <row r="244" ht="13.5" customHeight="1">
      <c r="A244" s="10">
        <f>dataset_1!A564</f>
        <v>563</v>
      </c>
      <c r="B244" s="11">
        <f>dataset_1!B564</f>
        <v>40568</v>
      </c>
      <c r="C244" s="10">
        <f>dataset_1!C564</f>
        <v>1</v>
      </c>
      <c r="D244" s="10">
        <f>dataset_1!D564</f>
        <v>0</v>
      </c>
      <c r="E244" s="10">
        <f>dataset_1!E564</f>
        <v>1</v>
      </c>
      <c r="F244" s="10">
        <f>dataset_1!F564</f>
        <v>15</v>
      </c>
      <c r="G244" s="10" t="b">
        <f>dataset_1!G564</f>
        <v>0</v>
      </c>
      <c r="H244" s="10">
        <f>dataset_1!H564</f>
        <v>2</v>
      </c>
      <c r="I244" s="10">
        <f>dataset_1!I564</f>
        <v>2</v>
      </c>
      <c r="J244" s="10">
        <f>dataset_1!J564</f>
        <v>0.32</v>
      </c>
      <c r="K244" s="10">
        <f>VLOOKUP(A244,dataset_2!$A$2:$G$611,2,0)</f>
        <v>0.3485</v>
      </c>
      <c r="L244" s="10">
        <f>VLOOKUP(A244,dataset_2!$A$2:$G$611,3,0)</f>
        <v>0.42</v>
      </c>
      <c r="M244" s="10">
        <f>VLOOKUP(A244,dataset_2!$A$2:$G$611,4,0)</f>
        <v>0</v>
      </c>
      <c r="N244" s="10">
        <f>VLOOKUP(A244,dataset_2!$A$2:$G$611,5,0)</f>
        <v>21</v>
      </c>
      <c r="O244" s="10">
        <f>VLOOKUP(A244,dataset_2!$A$2:$G$611,6,0)</f>
        <v>63</v>
      </c>
      <c r="P244" s="10">
        <f>VLOOKUP(A244,dataset_2!$A$2:$G$611,7,0)</f>
        <v>84</v>
      </c>
      <c r="Q244" s="10"/>
      <c r="R244" s="10" t="str">
        <f t="shared" si="1"/>
        <v>OK</v>
      </c>
      <c r="S244" s="10">
        <f t="shared" si="2"/>
        <v>5</v>
      </c>
      <c r="T244" s="10" t="str">
        <f t="shared" si="3"/>
        <v>OK</v>
      </c>
      <c r="U244" s="10">
        <f t="shared" si="4"/>
        <v>1</v>
      </c>
      <c r="V244" s="10"/>
      <c r="W244" s="10"/>
      <c r="X244" s="10"/>
      <c r="Y244" s="10"/>
      <c r="Z244" s="10"/>
    </row>
    <row r="245" ht="13.5" customHeight="1">
      <c r="A245" s="10">
        <f>dataset_1!A590</f>
        <v>589</v>
      </c>
      <c r="B245" s="11">
        <f>dataset_1!B590</f>
        <v>40570</v>
      </c>
      <c r="C245" s="10">
        <f>dataset_1!C590</f>
        <v>1</v>
      </c>
      <c r="D245" s="10">
        <f>dataset_1!D590</f>
        <v>0</v>
      </c>
      <c r="E245" s="10">
        <f>dataset_1!E590</f>
        <v>1</v>
      </c>
      <c r="F245" s="10">
        <f>dataset_1!F590</f>
        <v>17</v>
      </c>
      <c r="G245" s="10" t="b">
        <f>dataset_1!G590</f>
        <v>0</v>
      </c>
      <c r="H245" s="10">
        <f>dataset_1!H590</f>
        <v>4</v>
      </c>
      <c r="I245" s="10">
        <f>dataset_1!I590</f>
        <v>1</v>
      </c>
      <c r="J245" s="10">
        <f>dataset_1!J590</f>
        <v>0.22</v>
      </c>
      <c r="K245" s="10">
        <f>VLOOKUP(A245,dataset_2!$A$2:$G$611,2,0)</f>
        <v>0.2424</v>
      </c>
      <c r="L245" s="10">
        <f>VLOOKUP(A245,dataset_2!$A$2:$G$611,3,0)</f>
        <v>0.55</v>
      </c>
      <c r="M245" s="10">
        <f>VLOOKUP(A245,dataset_2!$A$2:$G$611,4,0)</f>
        <v>0.1045</v>
      </c>
      <c r="N245" s="10">
        <f>VLOOKUP(A245,dataset_2!$A$2:$G$611,5,0)</f>
        <v>2</v>
      </c>
      <c r="O245" s="10">
        <f>VLOOKUP(A245,dataset_2!$A$2:$G$611,6,0)</f>
        <v>82</v>
      </c>
      <c r="P245" s="10">
        <f>VLOOKUP(A245,dataset_2!$A$2:$G$611,7,0)</f>
        <v>84</v>
      </c>
      <c r="Q245" s="10"/>
      <c r="R245" s="10" t="str">
        <f t="shared" si="1"/>
        <v>OK</v>
      </c>
      <c r="S245" s="10">
        <f t="shared" si="2"/>
        <v>5</v>
      </c>
      <c r="T245" s="10" t="str">
        <f t="shared" si="3"/>
        <v>OK</v>
      </c>
      <c r="U245" s="10">
        <f t="shared" si="4"/>
        <v>1</v>
      </c>
      <c r="V245" s="10"/>
      <c r="W245" s="10"/>
      <c r="X245" s="10"/>
      <c r="Y245" s="10"/>
      <c r="Z245" s="10"/>
    </row>
    <row r="246" ht="13.5" customHeight="1">
      <c r="A246" s="3">
        <v>654.0</v>
      </c>
      <c r="B246" s="12">
        <v>40573.0</v>
      </c>
      <c r="C246" s="3">
        <v>1.0</v>
      </c>
      <c r="D246" s="3">
        <v>0.0</v>
      </c>
      <c r="E246" s="3">
        <v>1.0</v>
      </c>
      <c r="F246" s="3">
        <v>13.0</v>
      </c>
      <c r="G246" s="3" t="b">
        <f t="shared" ref="G246:G250" si="33">FALSE()</f>
        <v>0</v>
      </c>
      <c r="H246" s="3">
        <v>0.0</v>
      </c>
      <c r="I246" s="3">
        <v>1.0</v>
      </c>
      <c r="J246" s="3">
        <v>0.28</v>
      </c>
      <c r="K246" s="3">
        <v>0.2879</v>
      </c>
      <c r="L246" s="3">
        <v>0.61</v>
      </c>
      <c r="M246" s="3">
        <v>0.1045</v>
      </c>
      <c r="N246" s="3">
        <v>13.0</v>
      </c>
      <c r="O246" s="3">
        <v>71.0</v>
      </c>
      <c r="P246" s="3">
        <v>84.0</v>
      </c>
      <c r="Q246" s="10"/>
      <c r="R246" s="10" t="str">
        <f t="shared" si="1"/>
        <v>OK</v>
      </c>
      <c r="S246" s="10">
        <f t="shared" si="2"/>
        <v>5</v>
      </c>
      <c r="T246" s="10" t="str">
        <f t="shared" si="3"/>
        <v>OK</v>
      </c>
      <c r="U246" s="10">
        <f t="shared" si="4"/>
        <v>1</v>
      </c>
      <c r="V246" s="10"/>
      <c r="W246" s="10"/>
      <c r="X246" s="10"/>
      <c r="Y246" s="10"/>
      <c r="Z246" s="10"/>
    </row>
    <row r="247" ht="13.5" customHeight="1">
      <c r="A247" s="3">
        <v>801.0</v>
      </c>
      <c r="B247" s="12">
        <v>40579.0</v>
      </c>
      <c r="C247" s="3">
        <v>1.0</v>
      </c>
      <c r="D247" s="3">
        <v>0.0</v>
      </c>
      <c r="E247" s="3">
        <v>2.0</v>
      </c>
      <c r="F247" s="3">
        <v>19.0</v>
      </c>
      <c r="G247" s="3" t="b">
        <f t="shared" si="33"/>
        <v>0</v>
      </c>
      <c r="H247" s="3">
        <v>6.0</v>
      </c>
      <c r="I247" s="3">
        <v>2.0</v>
      </c>
      <c r="J247" s="3">
        <v>0.28</v>
      </c>
      <c r="K247" s="3">
        <v>0.2424</v>
      </c>
      <c r="L247" s="3">
        <v>0.93</v>
      </c>
      <c r="M247" s="3">
        <v>0.4478</v>
      </c>
      <c r="N247" s="3">
        <v>6.0</v>
      </c>
      <c r="O247" s="3">
        <v>78.0</v>
      </c>
      <c r="P247" s="3">
        <v>84.0</v>
      </c>
      <c r="Q247" s="10"/>
      <c r="R247" s="10" t="str">
        <f t="shared" si="1"/>
        <v>OK</v>
      </c>
      <c r="S247" s="10">
        <f t="shared" si="2"/>
        <v>5</v>
      </c>
      <c r="T247" s="10" t="str">
        <f t="shared" si="3"/>
        <v>OK</v>
      </c>
      <c r="U247" s="10">
        <f t="shared" si="4"/>
        <v>1</v>
      </c>
      <c r="V247" s="10"/>
      <c r="W247" s="10"/>
      <c r="X247" s="10"/>
      <c r="Y247" s="10"/>
      <c r="Z247" s="10"/>
    </row>
    <row r="248" ht="13.5" customHeight="1">
      <c r="A248" s="3">
        <v>897.0</v>
      </c>
      <c r="B248" s="12">
        <v>40583.0</v>
      </c>
      <c r="C248" s="3">
        <v>1.0</v>
      </c>
      <c r="D248" s="3">
        <v>0.0</v>
      </c>
      <c r="E248" s="3">
        <v>2.0</v>
      </c>
      <c r="F248" s="3">
        <v>20.0</v>
      </c>
      <c r="G248" s="3" t="b">
        <f t="shared" si="33"/>
        <v>0</v>
      </c>
      <c r="H248" s="3">
        <v>3.0</v>
      </c>
      <c r="I248" s="3">
        <v>3.0</v>
      </c>
      <c r="J248" s="3">
        <v>0.14</v>
      </c>
      <c r="K248" s="3">
        <v>0.1515</v>
      </c>
      <c r="L248" s="3">
        <v>0.86</v>
      </c>
      <c r="M248" s="3">
        <v>0.1642</v>
      </c>
      <c r="N248" s="3">
        <v>0.0</v>
      </c>
      <c r="O248" s="3">
        <v>84.0</v>
      </c>
      <c r="P248" s="3">
        <v>84.0</v>
      </c>
      <c r="Q248" s="10"/>
      <c r="R248" s="10" t="str">
        <f t="shared" si="1"/>
        <v>OK</v>
      </c>
      <c r="S248" s="10">
        <f t="shared" si="2"/>
        <v>5</v>
      </c>
      <c r="T248" s="10" t="str">
        <f t="shared" si="3"/>
        <v>OK</v>
      </c>
      <c r="U248" s="10">
        <f t="shared" si="4"/>
        <v>1</v>
      </c>
      <c r="V248" s="10"/>
      <c r="W248" s="10"/>
      <c r="X248" s="10"/>
      <c r="Y248" s="10"/>
      <c r="Z248" s="10"/>
    </row>
    <row r="249" ht="13.5" customHeight="1">
      <c r="A249" s="3">
        <v>936.0</v>
      </c>
      <c r="B249" s="12">
        <v>40585.0</v>
      </c>
      <c r="C249" s="3">
        <v>1.0</v>
      </c>
      <c r="D249" s="3">
        <v>0.0</v>
      </c>
      <c r="E249" s="3">
        <v>2.0</v>
      </c>
      <c r="F249" s="3">
        <v>14.0</v>
      </c>
      <c r="G249" s="3" t="b">
        <f t="shared" si="33"/>
        <v>0</v>
      </c>
      <c r="H249" s="3">
        <v>5.0</v>
      </c>
      <c r="I249" s="3">
        <v>1.0</v>
      </c>
      <c r="J249" s="3">
        <v>0.3</v>
      </c>
      <c r="K249" s="3">
        <v>0.2879</v>
      </c>
      <c r="L249" s="3">
        <v>0.26</v>
      </c>
      <c r="M249" s="3">
        <v>0.2537</v>
      </c>
      <c r="N249" s="3">
        <v>17.0</v>
      </c>
      <c r="O249" s="3">
        <v>67.0</v>
      </c>
      <c r="P249" s="3">
        <v>84.0</v>
      </c>
      <c r="Q249" s="10"/>
      <c r="R249" s="10" t="str">
        <f t="shared" si="1"/>
        <v>OK</v>
      </c>
      <c r="S249" s="10">
        <f t="shared" si="2"/>
        <v>5</v>
      </c>
      <c r="T249" s="10" t="str">
        <f t="shared" si="3"/>
        <v>OK</v>
      </c>
      <c r="U249" s="10">
        <f t="shared" si="4"/>
        <v>1</v>
      </c>
      <c r="V249" s="10"/>
      <c r="W249" s="10"/>
      <c r="X249" s="10"/>
      <c r="Y249" s="10"/>
      <c r="Z249" s="10"/>
    </row>
    <row r="250" ht="13.5" customHeight="1">
      <c r="A250" s="3">
        <v>956.0</v>
      </c>
      <c r="B250" s="12">
        <v>40586.0</v>
      </c>
      <c r="C250" s="3">
        <v>1.0</v>
      </c>
      <c r="D250" s="3">
        <v>0.0</v>
      </c>
      <c r="E250" s="3">
        <v>2.0</v>
      </c>
      <c r="F250" s="3">
        <v>10.0</v>
      </c>
      <c r="G250" s="3" t="b">
        <f t="shared" si="33"/>
        <v>0</v>
      </c>
      <c r="H250" s="3">
        <v>6.0</v>
      </c>
      <c r="I250" s="3">
        <v>1.0</v>
      </c>
      <c r="J250" s="3">
        <v>0.22</v>
      </c>
      <c r="K250" s="3">
        <v>0.2121</v>
      </c>
      <c r="L250" s="3">
        <v>0.41</v>
      </c>
      <c r="M250" s="3">
        <v>0.2537</v>
      </c>
      <c r="N250" s="3">
        <v>13.0</v>
      </c>
      <c r="O250" s="3">
        <v>71.0</v>
      </c>
      <c r="P250" s="3">
        <v>84.0</v>
      </c>
      <c r="Q250" s="10"/>
      <c r="R250" s="10" t="str">
        <f t="shared" si="1"/>
        <v>OK</v>
      </c>
      <c r="S250" s="10">
        <f t="shared" si="2"/>
        <v>5</v>
      </c>
      <c r="T250" s="10" t="str">
        <f t="shared" si="3"/>
        <v>OK</v>
      </c>
      <c r="U250" s="10">
        <f t="shared" si="4"/>
        <v>1</v>
      </c>
      <c r="V250" s="10"/>
      <c r="W250" s="10"/>
      <c r="X250" s="10"/>
      <c r="Y250" s="10"/>
      <c r="Z250" s="10"/>
    </row>
    <row r="251" ht="13.5" customHeight="1">
      <c r="A251" s="10">
        <f>dataset_1!A86</f>
        <v>85</v>
      </c>
      <c r="B251" s="11">
        <f>dataset_1!B86</f>
        <v>40547</v>
      </c>
      <c r="C251" s="10">
        <f>dataset_1!C86</f>
        <v>1</v>
      </c>
      <c r="D251" s="10">
        <f>dataset_1!D86</f>
        <v>0</v>
      </c>
      <c r="E251" s="10">
        <f>dataset_1!E86</f>
        <v>1</v>
      </c>
      <c r="F251" s="10">
        <f>dataset_1!F86</f>
        <v>16</v>
      </c>
      <c r="G251" s="10" t="b">
        <f>dataset_1!G86</f>
        <v>0</v>
      </c>
      <c r="H251" s="10">
        <f>dataset_1!H86</f>
        <v>2</v>
      </c>
      <c r="I251" s="10">
        <f>dataset_1!I86</f>
        <v>1</v>
      </c>
      <c r="J251" s="10">
        <f>dataset_1!J86</f>
        <v>0.3</v>
      </c>
      <c r="K251" s="10">
        <f>VLOOKUP(A251,dataset_2!$A$2:$G$611,2,0)</f>
        <v>0.2879</v>
      </c>
      <c r="L251" s="10">
        <f>VLOOKUP(A251,dataset_2!$A$2:$G$611,3,0)</f>
        <v>0.49</v>
      </c>
      <c r="M251" s="10">
        <f>VLOOKUP(A251,dataset_2!$A$2:$G$611,4,0)</f>
        <v>0.2537</v>
      </c>
      <c r="N251" s="10">
        <f>VLOOKUP(A251,dataset_2!$A$2:$G$611,5,0)</f>
        <v>15</v>
      </c>
      <c r="O251" s="10">
        <f>VLOOKUP(A251,dataset_2!$A$2:$G$611,6,0)</f>
        <v>68</v>
      </c>
      <c r="P251" s="10">
        <f>VLOOKUP(A251,dataset_2!$A$2:$G$611,7,0)</f>
        <v>83</v>
      </c>
      <c r="Q251" s="10"/>
      <c r="R251" s="10" t="str">
        <f t="shared" si="1"/>
        <v>OK</v>
      </c>
      <c r="S251" s="10">
        <f t="shared" si="2"/>
        <v>5</v>
      </c>
      <c r="T251" s="10" t="str">
        <f t="shared" si="3"/>
        <v>OK</v>
      </c>
      <c r="U251" s="10">
        <f t="shared" si="4"/>
        <v>1</v>
      </c>
      <c r="V251" s="10"/>
      <c r="W251" s="10"/>
      <c r="X251" s="10"/>
      <c r="Y251" s="10"/>
      <c r="Z251" s="10"/>
    </row>
    <row r="252" ht="13.5" customHeight="1">
      <c r="A252" s="10">
        <f>dataset_1!A199</f>
        <v>198</v>
      </c>
      <c r="B252" s="11">
        <f>dataset_1!B199</f>
        <v>40552</v>
      </c>
      <c r="C252" s="10">
        <f>dataset_1!C199</f>
        <v>1</v>
      </c>
      <c r="D252" s="10">
        <f>dataset_1!D199</f>
        <v>0</v>
      </c>
      <c r="E252" s="10">
        <f>dataset_1!E199</f>
        <v>1</v>
      </c>
      <c r="F252" s="10">
        <f>dataset_1!F199</f>
        <v>12</v>
      </c>
      <c r="G252" s="10" t="b">
        <f>dataset_1!G199</f>
        <v>0</v>
      </c>
      <c r="H252" s="10">
        <f>dataset_1!H199</f>
        <v>0</v>
      </c>
      <c r="I252" s="10">
        <f>dataset_1!I199</f>
        <v>1</v>
      </c>
      <c r="J252" s="10">
        <f>dataset_1!J199</f>
        <v>0.18</v>
      </c>
      <c r="K252" s="10">
        <f>VLOOKUP(A252,dataset_2!$A$2:$G$611,2,0)</f>
        <v>0.1364</v>
      </c>
      <c r="L252" s="10">
        <f>VLOOKUP(A252,dataset_2!$A$2:$G$611,3,0)</f>
        <v>0.37</v>
      </c>
      <c r="M252" s="10">
        <f>VLOOKUP(A252,dataset_2!$A$2:$G$611,4,0)</f>
        <v>0.4478</v>
      </c>
      <c r="N252" s="10">
        <f>VLOOKUP(A252,dataset_2!$A$2:$G$611,5,0)</f>
        <v>4</v>
      </c>
      <c r="O252" s="10">
        <f>VLOOKUP(A252,dataset_2!$A$2:$G$611,6,0)</f>
        <v>79</v>
      </c>
      <c r="P252" s="10">
        <f>VLOOKUP(A252,dataset_2!$A$2:$G$611,7,0)</f>
        <v>83</v>
      </c>
      <c r="Q252" s="10"/>
      <c r="R252" s="10" t="str">
        <f t="shared" si="1"/>
        <v>OK</v>
      </c>
      <c r="S252" s="10">
        <f t="shared" si="2"/>
        <v>5</v>
      </c>
      <c r="T252" s="10" t="str">
        <f t="shared" si="3"/>
        <v>OK</v>
      </c>
      <c r="U252" s="10">
        <f t="shared" si="4"/>
        <v>1</v>
      </c>
      <c r="V252" s="10"/>
      <c r="W252" s="10"/>
      <c r="X252" s="10"/>
      <c r="Y252" s="10"/>
      <c r="Z252" s="10"/>
    </row>
    <row r="253" ht="13.5" customHeight="1">
      <c r="A253" s="10">
        <f>dataset_1!A274</f>
        <v>273</v>
      </c>
      <c r="B253" s="11">
        <f>dataset_1!B274</f>
        <v>40555</v>
      </c>
      <c r="C253" s="10">
        <f>dataset_1!C274</f>
        <v>1</v>
      </c>
      <c r="D253" s="10">
        <f>dataset_1!D274</f>
        <v>0</v>
      </c>
      <c r="E253" s="10">
        <f>dataset_1!E274</f>
        <v>1</v>
      </c>
      <c r="F253" s="10">
        <f>dataset_1!F274</f>
        <v>19</v>
      </c>
      <c r="G253" s="10" t="b">
        <f>dataset_1!G274</f>
        <v>0</v>
      </c>
      <c r="H253" s="10">
        <f>dataset_1!H274</f>
        <v>3</v>
      </c>
      <c r="I253" s="10">
        <f>dataset_1!I274</f>
        <v>1</v>
      </c>
      <c r="J253" s="10">
        <f>dataset_1!J274</f>
        <v>0.18</v>
      </c>
      <c r="K253" s="10">
        <f>VLOOKUP(A253,dataset_2!$A$2:$G$611,2,0)</f>
        <v>0.1515</v>
      </c>
      <c r="L253" s="10">
        <f>VLOOKUP(A253,dataset_2!$A$2:$G$611,3,0)</f>
        <v>0.47</v>
      </c>
      <c r="M253" s="10">
        <f>VLOOKUP(A253,dataset_2!$A$2:$G$611,4,0)</f>
        <v>0.4179</v>
      </c>
      <c r="N253" s="10">
        <f>VLOOKUP(A253,dataset_2!$A$2:$G$611,5,0)</f>
        <v>1</v>
      </c>
      <c r="O253" s="10">
        <f>VLOOKUP(A253,dataset_2!$A$2:$G$611,6,0)</f>
        <v>82</v>
      </c>
      <c r="P253" s="10">
        <f>VLOOKUP(A253,dataset_2!$A$2:$G$611,7,0)</f>
        <v>83</v>
      </c>
      <c r="Q253" s="10"/>
      <c r="R253" s="10" t="str">
        <f t="shared" si="1"/>
        <v>OK</v>
      </c>
      <c r="S253" s="10">
        <f t="shared" si="2"/>
        <v>5</v>
      </c>
      <c r="T253" s="10" t="str">
        <f t="shared" si="3"/>
        <v>OK</v>
      </c>
      <c r="U253" s="10">
        <f t="shared" si="4"/>
        <v>1</v>
      </c>
      <c r="V253" s="10"/>
      <c r="W253" s="10"/>
      <c r="X253" s="10"/>
      <c r="Y253" s="10"/>
      <c r="Z253" s="10"/>
    </row>
    <row r="254" ht="13.5" customHeight="1">
      <c r="A254" s="10">
        <f>dataset_1!A292</f>
        <v>291</v>
      </c>
      <c r="B254" s="11">
        <f>dataset_1!B292</f>
        <v>40556</v>
      </c>
      <c r="C254" s="10">
        <f>dataset_1!C292</f>
        <v>1</v>
      </c>
      <c r="D254" s="10">
        <f>dataset_1!D292</f>
        <v>0</v>
      </c>
      <c r="E254" s="10">
        <f>dataset_1!E292</f>
        <v>1</v>
      </c>
      <c r="F254" s="10">
        <f>dataset_1!F292</f>
        <v>13</v>
      </c>
      <c r="G254" s="10" t="b">
        <f>dataset_1!G292</f>
        <v>0</v>
      </c>
      <c r="H254" s="10">
        <f>dataset_1!H292</f>
        <v>4</v>
      </c>
      <c r="I254" s="10">
        <f>dataset_1!I292</f>
        <v>1</v>
      </c>
      <c r="J254" s="10">
        <f>dataset_1!J292</f>
        <v>0.22</v>
      </c>
      <c r="K254" s="10">
        <f>VLOOKUP(A254,dataset_2!$A$2:$G$611,2,0)</f>
        <v>0.197</v>
      </c>
      <c r="L254" s="10">
        <f>VLOOKUP(A254,dataset_2!$A$2:$G$611,3,0)</f>
        <v>0.41</v>
      </c>
      <c r="M254" s="10">
        <f>VLOOKUP(A254,dataset_2!$A$2:$G$611,4,0)</f>
        <v>0.4478</v>
      </c>
      <c r="N254" s="10">
        <f>VLOOKUP(A254,dataset_2!$A$2:$G$611,5,0)</f>
        <v>2</v>
      </c>
      <c r="O254" s="10">
        <f>VLOOKUP(A254,dataset_2!$A$2:$G$611,6,0)</f>
        <v>81</v>
      </c>
      <c r="P254" s="10">
        <f>VLOOKUP(A254,dataset_2!$A$2:$G$611,7,0)</f>
        <v>83</v>
      </c>
      <c r="Q254" s="10"/>
      <c r="R254" s="10" t="str">
        <f t="shared" si="1"/>
        <v>OK</v>
      </c>
      <c r="S254" s="10">
        <f t="shared" si="2"/>
        <v>5</v>
      </c>
      <c r="T254" s="10" t="str">
        <f t="shared" si="3"/>
        <v>OK</v>
      </c>
      <c r="U254" s="10">
        <f t="shared" si="4"/>
        <v>1</v>
      </c>
      <c r="V254" s="10"/>
      <c r="W254" s="10"/>
      <c r="X254" s="10"/>
      <c r="Y254" s="10"/>
      <c r="Z254" s="10"/>
    </row>
    <row r="255" ht="13.5" customHeight="1">
      <c r="A255" s="10">
        <f>dataset_1!A343</f>
        <v>342</v>
      </c>
      <c r="B255" s="11">
        <f>dataset_1!B343</f>
        <v>40558</v>
      </c>
      <c r="C255" s="10">
        <f>dataset_1!C343</f>
        <v>1</v>
      </c>
      <c r="D255" s="10">
        <f>dataset_1!D343</f>
        <v>0</v>
      </c>
      <c r="E255" s="10">
        <f>dataset_1!E343</f>
        <v>1</v>
      </c>
      <c r="F255" s="10">
        <f>dataset_1!F343</f>
        <v>17</v>
      </c>
      <c r="G255" s="10" t="b">
        <f>dataset_1!G343</f>
        <v>0</v>
      </c>
      <c r="H255" s="10">
        <f>dataset_1!H343</f>
        <v>6</v>
      </c>
      <c r="I255" s="10">
        <f>dataset_1!I343</f>
        <v>2</v>
      </c>
      <c r="J255" s="10">
        <f>dataset_1!J343</f>
        <v>0.32</v>
      </c>
      <c r="K255" s="10">
        <f>VLOOKUP(A255,dataset_2!$A$2:$G$611,2,0)</f>
        <v>0.303</v>
      </c>
      <c r="L255" s="10">
        <f>VLOOKUP(A255,dataset_2!$A$2:$G$611,3,0)</f>
        <v>0.36</v>
      </c>
      <c r="M255" s="10">
        <f>VLOOKUP(A255,dataset_2!$A$2:$G$611,4,0)</f>
        <v>0.2836</v>
      </c>
      <c r="N255" s="10">
        <f>VLOOKUP(A255,dataset_2!$A$2:$G$611,5,0)</f>
        <v>29</v>
      </c>
      <c r="O255" s="10">
        <f>VLOOKUP(A255,dataset_2!$A$2:$G$611,6,0)</f>
        <v>54</v>
      </c>
      <c r="P255" s="10">
        <f>VLOOKUP(A255,dataset_2!$A$2:$G$611,7,0)</f>
        <v>83</v>
      </c>
      <c r="Q255" s="10"/>
      <c r="R255" s="10" t="str">
        <f t="shared" si="1"/>
        <v>OK</v>
      </c>
      <c r="S255" s="10">
        <f t="shared" si="2"/>
        <v>5</v>
      </c>
      <c r="T255" s="10" t="str">
        <f t="shared" si="3"/>
        <v>OK</v>
      </c>
      <c r="U255" s="10">
        <f t="shared" si="4"/>
        <v>1</v>
      </c>
      <c r="V255" s="10"/>
      <c r="W255" s="10"/>
      <c r="X255" s="10"/>
      <c r="Y255" s="10"/>
      <c r="Z255" s="10"/>
    </row>
    <row r="256" ht="13.5" customHeight="1">
      <c r="A256" s="10">
        <f>dataset_1!A406</f>
        <v>405</v>
      </c>
      <c r="B256" s="11">
        <f>dataset_1!B406</f>
        <v>40561</v>
      </c>
      <c r="C256" s="10">
        <f>dataset_1!C406</f>
        <v>1</v>
      </c>
      <c r="D256" s="10">
        <f>dataset_1!D406</f>
        <v>0</v>
      </c>
      <c r="E256" s="10">
        <f>dataset_1!E406</f>
        <v>1</v>
      </c>
      <c r="F256" s="10">
        <f>dataset_1!F406</f>
        <v>20</v>
      </c>
      <c r="G256" s="10" t="b">
        <f>dataset_1!G406</f>
        <v>0</v>
      </c>
      <c r="H256" s="10">
        <f>dataset_1!H406</f>
        <v>2</v>
      </c>
      <c r="I256" s="10">
        <f>dataset_1!I406</f>
        <v>2</v>
      </c>
      <c r="J256" s="10">
        <f>dataset_1!J406</f>
        <v>0.22</v>
      </c>
      <c r="K256" s="10">
        <f>VLOOKUP(A256,dataset_2!$A$2:$G$611,2,0)</f>
        <v>0.2727</v>
      </c>
      <c r="L256" s="10">
        <f>VLOOKUP(A256,dataset_2!$A$2:$G$611,3,0)</f>
        <v>0.87</v>
      </c>
      <c r="M256" s="10">
        <f>VLOOKUP(A256,dataset_2!$A$2:$G$611,4,0)</f>
        <v>0</v>
      </c>
      <c r="N256" s="10">
        <f>VLOOKUP(A256,dataset_2!$A$2:$G$611,5,0)</f>
        <v>0</v>
      </c>
      <c r="O256" s="10">
        <f>VLOOKUP(A256,dataset_2!$A$2:$G$611,6,0)</f>
        <v>83</v>
      </c>
      <c r="P256" s="10">
        <f>VLOOKUP(A256,dataset_2!$A$2:$G$611,7,0)</f>
        <v>83</v>
      </c>
      <c r="Q256" s="10"/>
      <c r="R256" s="10" t="str">
        <f t="shared" si="1"/>
        <v>OK</v>
      </c>
      <c r="S256" s="10">
        <f t="shared" si="2"/>
        <v>5</v>
      </c>
      <c r="T256" s="10" t="str">
        <f t="shared" si="3"/>
        <v>OK</v>
      </c>
      <c r="U256" s="10">
        <f t="shared" si="4"/>
        <v>1</v>
      </c>
      <c r="V256" s="10"/>
      <c r="W256" s="10"/>
      <c r="X256" s="10"/>
      <c r="Y256" s="10"/>
      <c r="Z256" s="10"/>
    </row>
    <row r="257" ht="13.5" customHeight="1">
      <c r="A257" s="10">
        <f>dataset_1!A496</f>
        <v>495</v>
      </c>
      <c r="B257" s="11">
        <f>dataset_1!B496</f>
        <v>40565</v>
      </c>
      <c r="C257" s="10">
        <f>dataset_1!C496</f>
        <v>1</v>
      </c>
      <c r="D257" s="10">
        <f>dataset_1!D496</f>
        <v>0</v>
      </c>
      <c r="E257" s="10">
        <f>dataset_1!E496</f>
        <v>1</v>
      </c>
      <c r="F257" s="10">
        <f>dataset_1!F496</f>
        <v>16</v>
      </c>
      <c r="G257" s="10" t="b">
        <f>dataset_1!G496</f>
        <v>0</v>
      </c>
      <c r="H257" s="10">
        <f>dataset_1!H496</f>
        <v>6</v>
      </c>
      <c r="I257" s="10">
        <f>dataset_1!I496</f>
        <v>1</v>
      </c>
      <c r="J257" s="10">
        <f>dataset_1!J496</f>
        <v>0.12</v>
      </c>
      <c r="K257" s="10">
        <f>VLOOKUP(A257,dataset_2!$A$2:$G$611,2,0)</f>
        <v>0.1364</v>
      </c>
      <c r="L257" s="10">
        <f>VLOOKUP(A257,dataset_2!$A$2:$G$611,3,0)</f>
        <v>0.28</v>
      </c>
      <c r="M257" s="10">
        <f>VLOOKUP(A257,dataset_2!$A$2:$G$611,4,0)</f>
        <v>0.194</v>
      </c>
      <c r="N257" s="10">
        <f>VLOOKUP(A257,dataset_2!$A$2:$G$611,5,0)</f>
        <v>11</v>
      </c>
      <c r="O257" s="10">
        <f>VLOOKUP(A257,dataset_2!$A$2:$G$611,6,0)</f>
        <v>72</v>
      </c>
      <c r="P257" s="10">
        <f>VLOOKUP(A257,dataset_2!$A$2:$G$611,7,0)</f>
        <v>83</v>
      </c>
      <c r="Q257" s="10"/>
      <c r="R257" s="10" t="str">
        <f t="shared" si="1"/>
        <v>OK</v>
      </c>
      <c r="S257" s="10">
        <f t="shared" si="2"/>
        <v>5</v>
      </c>
      <c r="T257" s="10" t="str">
        <f t="shared" si="3"/>
        <v>OK</v>
      </c>
      <c r="U257" s="10">
        <f t="shared" si="4"/>
        <v>1</v>
      </c>
      <c r="V257" s="10"/>
      <c r="W257" s="10"/>
      <c r="X257" s="10"/>
      <c r="Y257" s="10"/>
      <c r="Z257" s="10"/>
    </row>
    <row r="258" ht="13.5" customHeight="1">
      <c r="A258" s="3">
        <v>800.0</v>
      </c>
      <c r="B258" s="12">
        <v>40579.0</v>
      </c>
      <c r="C258" s="3">
        <v>1.0</v>
      </c>
      <c r="D258" s="3">
        <v>0.0</v>
      </c>
      <c r="E258" s="3">
        <v>2.0</v>
      </c>
      <c r="F258" s="3">
        <v>18.0</v>
      </c>
      <c r="G258" s="3" t="b">
        <f t="shared" ref="G258:G260" si="34">FALSE()</f>
        <v>0</v>
      </c>
      <c r="H258" s="3">
        <v>6.0</v>
      </c>
      <c r="I258" s="3">
        <v>2.0</v>
      </c>
      <c r="J258" s="3">
        <v>0.28</v>
      </c>
      <c r="K258" s="3">
        <v>0.2424</v>
      </c>
      <c r="L258" s="3">
        <v>0.93</v>
      </c>
      <c r="M258" s="3">
        <v>0.4478</v>
      </c>
      <c r="N258" s="3">
        <v>2.0</v>
      </c>
      <c r="O258" s="3">
        <v>81.0</v>
      </c>
      <c r="P258" s="3">
        <v>83.0</v>
      </c>
      <c r="Q258" s="10"/>
      <c r="R258" s="10" t="str">
        <f t="shared" si="1"/>
        <v>OK</v>
      </c>
      <c r="S258" s="10">
        <f t="shared" si="2"/>
        <v>5</v>
      </c>
      <c r="T258" s="10" t="str">
        <f t="shared" si="3"/>
        <v>OK</v>
      </c>
      <c r="U258" s="10">
        <f t="shared" si="4"/>
        <v>1</v>
      </c>
      <c r="V258" s="10"/>
      <c r="W258" s="10"/>
      <c r="X258" s="10"/>
      <c r="Y258" s="10"/>
      <c r="Z258" s="10"/>
    </row>
    <row r="259" ht="13.5" customHeight="1">
      <c r="A259" s="3">
        <v>870.0</v>
      </c>
      <c r="B259" s="12">
        <v>40582.0</v>
      </c>
      <c r="C259" s="3">
        <v>1.0</v>
      </c>
      <c r="D259" s="3">
        <v>0.0</v>
      </c>
      <c r="E259" s="3">
        <v>2.0</v>
      </c>
      <c r="F259" s="3">
        <v>16.0</v>
      </c>
      <c r="G259" s="3" t="b">
        <f t="shared" si="34"/>
        <v>0</v>
      </c>
      <c r="H259" s="3">
        <v>2.0</v>
      </c>
      <c r="I259" s="3">
        <v>1.0</v>
      </c>
      <c r="J259" s="3">
        <v>0.22</v>
      </c>
      <c r="K259" s="3">
        <v>0.1818</v>
      </c>
      <c r="L259" s="3">
        <v>0.35</v>
      </c>
      <c r="M259" s="3">
        <v>0.5224</v>
      </c>
      <c r="N259" s="3">
        <v>4.0</v>
      </c>
      <c r="O259" s="3">
        <v>79.0</v>
      </c>
      <c r="P259" s="3">
        <v>83.0</v>
      </c>
      <c r="Q259" s="10"/>
      <c r="R259" s="10" t="str">
        <f t="shared" si="1"/>
        <v>OK</v>
      </c>
      <c r="S259" s="10">
        <f t="shared" si="2"/>
        <v>5</v>
      </c>
      <c r="T259" s="10" t="str">
        <f t="shared" si="3"/>
        <v>OK</v>
      </c>
      <c r="U259" s="10">
        <f t="shared" si="4"/>
        <v>1</v>
      </c>
      <c r="V259" s="10"/>
      <c r="W259" s="10"/>
      <c r="X259" s="10"/>
      <c r="Y259" s="10"/>
      <c r="Z259" s="10"/>
    </row>
    <row r="260" ht="13.5" customHeight="1">
      <c r="A260" s="3">
        <v>898.0</v>
      </c>
      <c r="B260" s="12">
        <v>40583.0</v>
      </c>
      <c r="C260" s="3">
        <v>1.0</v>
      </c>
      <c r="D260" s="3">
        <v>0.0</v>
      </c>
      <c r="E260" s="3">
        <v>2.0</v>
      </c>
      <c r="F260" s="3">
        <v>21.0</v>
      </c>
      <c r="G260" s="3" t="b">
        <f t="shared" si="34"/>
        <v>0</v>
      </c>
      <c r="H260" s="3">
        <v>3.0</v>
      </c>
      <c r="I260" s="3">
        <v>2.0</v>
      </c>
      <c r="J260" s="3">
        <v>0.14</v>
      </c>
      <c r="K260" s="3">
        <v>0.1515</v>
      </c>
      <c r="L260" s="3">
        <v>0.86</v>
      </c>
      <c r="M260" s="3">
        <v>0.1642</v>
      </c>
      <c r="N260" s="3">
        <v>0.0</v>
      </c>
      <c r="O260" s="3">
        <v>83.0</v>
      </c>
      <c r="P260" s="3">
        <v>83.0</v>
      </c>
      <c r="Q260" s="10"/>
      <c r="R260" s="10" t="str">
        <f t="shared" si="1"/>
        <v>OK</v>
      </c>
      <c r="S260" s="10">
        <f t="shared" si="2"/>
        <v>5</v>
      </c>
      <c r="T260" s="10" t="str">
        <f t="shared" si="3"/>
        <v>OK</v>
      </c>
      <c r="U260" s="10">
        <f t="shared" si="4"/>
        <v>1</v>
      </c>
      <c r="V260" s="10"/>
      <c r="W260" s="10"/>
      <c r="X260" s="10"/>
      <c r="Y260" s="10"/>
      <c r="Z260" s="10"/>
    </row>
    <row r="261" ht="13.5" customHeight="1">
      <c r="A261" s="10">
        <f>dataset_1!A202</f>
        <v>201</v>
      </c>
      <c r="B261" s="11">
        <f>dataset_1!B202</f>
        <v>40552</v>
      </c>
      <c r="C261" s="10">
        <f>dataset_1!C202</f>
        <v>1</v>
      </c>
      <c r="D261" s="10">
        <f>dataset_1!D202</f>
        <v>0</v>
      </c>
      <c r="E261" s="10">
        <f>dataset_1!E202</f>
        <v>1</v>
      </c>
      <c r="F261" s="10">
        <f>dataset_1!F202</f>
        <v>15</v>
      </c>
      <c r="G261" s="10" t="b">
        <f>dataset_1!G202</f>
        <v>0</v>
      </c>
      <c r="H261" s="10">
        <f>dataset_1!H202</f>
        <v>0</v>
      </c>
      <c r="I261" s="10">
        <f>dataset_1!I202</f>
        <v>1</v>
      </c>
      <c r="J261" s="10">
        <f>dataset_1!J202</f>
        <v>0.22</v>
      </c>
      <c r="K261" s="10">
        <f>VLOOKUP(A261,dataset_2!$A$2:$G$611,2,0)</f>
        <v>0.197</v>
      </c>
      <c r="L261" s="10">
        <f>VLOOKUP(A261,dataset_2!$A$2:$G$611,3,0)</f>
        <v>0.35</v>
      </c>
      <c r="M261" s="10">
        <f>VLOOKUP(A261,dataset_2!$A$2:$G$611,4,0)</f>
        <v>0.3582</v>
      </c>
      <c r="N261" s="10">
        <f>VLOOKUP(A261,dataset_2!$A$2:$G$611,5,0)</f>
        <v>5</v>
      </c>
      <c r="O261" s="10">
        <f>VLOOKUP(A261,dataset_2!$A$2:$G$611,6,0)</f>
        <v>77</v>
      </c>
      <c r="P261" s="10">
        <f>VLOOKUP(A261,dataset_2!$A$2:$G$611,7,0)</f>
        <v>82</v>
      </c>
      <c r="Q261" s="10"/>
      <c r="R261" s="10" t="str">
        <f t="shared" si="1"/>
        <v>OK</v>
      </c>
      <c r="S261" s="10">
        <f t="shared" si="2"/>
        <v>5</v>
      </c>
      <c r="T261" s="10" t="str">
        <f t="shared" si="3"/>
        <v>OK</v>
      </c>
      <c r="U261" s="10">
        <f t="shared" si="4"/>
        <v>1</v>
      </c>
      <c r="V261" s="10"/>
      <c r="W261" s="10"/>
      <c r="X261" s="10"/>
      <c r="Y261" s="10"/>
      <c r="Z261" s="10"/>
    </row>
    <row r="262" ht="13.5" customHeight="1">
      <c r="A262" s="10">
        <f>dataset_1!A390</f>
        <v>389</v>
      </c>
      <c r="B262" s="11">
        <f>dataset_1!B390</f>
        <v>40560</v>
      </c>
      <c r="C262" s="10">
        <f>dataset_1!C390</f>
        <v>1</v>
      </c>
      <c r="D262" s="10">
        <f>dataset_1!D390</f>
        <v>0</v>
      </c>
      <c r="E262" s="10">
        <f>dataset_1!E390</f>
        <v>1</v>
      </c>
      <c r="F262" s="10">
        <f>dataset_1!F390</f>
        <v>16</v>
      </c>
      <c r="G262" s="10" t="b">
        <f>dataset_1!G390</f>
        <v>1</v>
      </c>
      <c r="H262" s="10">
        <f>dataset_1!H390</f>
        <v>1</v>
      </c>
      <c r="I262" s="10">
        <f>dataset_1!I390</f>
        <v>2</v>
      </c>
      <c r="J262" s="10">
        <f>dataset_1!J390</f>
        <v>0.2</v>
      </c>
      <c r="K262" s="10">
        <f>VLOOKUP(A262,dataset_2!$A$2:$G$611,2,0)</f>
        <v>0.2121</v>
      </c>
      <c r="L262" s="10">
        <f>VLOOKUP(A262,dataset_2!$A$2:$G$611,3,0)</f>
        <v>0.47</v>
      </c>
      <c r="M262" s="10">
        <f>VLOOKUP(A262,dataset_2!$A$2:$G$611,4,0)</f>
        <v>0.1642</v>
      </c>
      <c r="N262" s="10">
        <f>VLOOKUP(A262,dataset_2!$A$2:$G$611,5,0)</f>
        <v>6</v>
      </c>
      <c r="O262" s="10">
        <f>VLOOKUP(A262,dataset_2!$A$2:$G$611,6,0)</f>
        <v>76</v>
      </c>
      <c r="P262" s="10">
        <f>VLOOKUP(A262,dataset_2!$A$2:$G$611,7,0)</f>
        <v>82</v>
      </c>
      <c r="Q262" s="10"/>
      <c r="R262" s="10" t="str">
        <f t="shared" si="1"/>
        <v>OK</v>
      </c>
      <c r="S262" s="10">
        <f t="shared" si="2"/>
        <v>5</v>
      </c>
      <c r="T262" s="10" t="str">
        <f t="shared" si="3"/>
        <v>OK</v>
      </c>
      <c r="U262" s="10">
        <f t="shared" si="4"/>
        <v>1</v>
      </c>
      <c r="V262" s="10"/>
      <c r="W262" s="10"/>
      <c r="X262" s="10"/>
      <c r="Y262" s="10"/>
      <c r="Z262" s="10"/>
    </row>
    <row r="263" ht="13.5" customHeight="1">
      <c r="A263" s="10">
        <f>dataset_1!A424</f>
        <v>423</v>
      </c>
      <c r="B263" s="11">
        <f>dataset_1!B424</f>
        <v>40562</v>
      </c>
      <c r="C263" s="10">
        <f>dataset_1!C424</f>
        <v>1</v>
      </c>
      <c r="D263" s="10">
        <f>dataset_1!D424</f>
        <v>0</v>
      </c>
      <c r="E263" s="10">
        <f>dataset_1!E424</f>
        <v>1</v>
      </c>
      <c r="F263" s="10">
        <f>dataset_1!F424</f>
        <v>15</v>
      </c>
      <c r="G263" s="10" t="b">
        <f>dataset_1!G424</f>
        <v>0</v>
      </c>
      <c r="H263" s="10">
        <f>dataset_1!H424</f>
        <v>3</v>
      </c>
      <c r="I263" s="10">
        <f>dataset_1!I424</f>
        <v>1</v>
      </c>
      <c r="J263" s="10">
        <f>dataset_1!J424</f>
        <v>0.4</v>
      </c>
      <c r="K263" s="10">
        <f>VLOOKUP(A263,dataset_2!$A$2:$G$611,2,0)</f>
        <v>0.4091</v>
      </c>
      <c r="L263" s="10">
        <f>VLOOKUP(A263,dataset_2!$A$2:$G$611,3,0)</f>
        <v>0.54</v>
      </c>
      <c r="M263" s="10">
        <f>VLOOKUP(A263,dataset_2!$A$2:$G$611,4,0)</f>
        <v>0.2836</v>
      </c>
      <c r="N263" s="10">
        <f>VLOOKUP(A263,dataset_2!$A$2:$G$611,5,0)</f>
        <v>4</v>
      </c>
      <c r="O263" s="10">
        <f>VLOOKUP(A263,dataset_2!$A$2:$G$611,6,0)</f>
        <v>78</v>
      </c>
      <c r="P263" s="10">
        <f>VLOOKUP(A263,dataset_2!$A$2:$G$611,7,0)</f>
        <v>82</v>
      </c>
      <c r="Q263" s="10"/>
      <c r="R263" s="10" t="str">
        <f t="shared" si="1"/>
        <v>OK</v>
      </c>
      <c r="S263" s="10">
        <f t="shared" si="2"/>
        <v>5</v>
      </c>
      <c r="T263" s="10" t="str">
        <f t="shared" si="3"/>
        <v>OK</v>
      </c>
      <c r="U263" s="10">
        <f t="shared" si="4"/>
        <v>1</v>
      </c>
      <c r="V263" s="10"/>
      <c r="W263" s="10"/>
      <c r="X263" s="10"/>
      <c r="Y263" s="10"/>
      <c r="Z263" s="10"/>
    </row>
    <row r="264" ht="13.5" customHeight="1">
      <c r="A264" s="3">
        <v>771.0</v>
      </c>
      <c r="B264" s="12">
        <v>40578.0</v>
      </c>
      <c r="C264" s="3">
        <v>1.0</v>
      </c>
      <c r="D264" s="3">
        <v>0.0</v>
      </c>
      <c r="E264" s="3">
        <v>2.0</v>
      </c>
      <c r="F264" s="3">
        <v>13.0</v>
      </c>
      <c r="G264" s="3" t="b">
        <f>FALSE()</f>
        <v>0</v>
      </c>
      <c r="H264" s="3">
        <v>5.0</v>
      </c>
      <c r="I264" s="3">
        <v>2.0</v>
      </c>
      <c r="J264" s="3">
        <v>0.26</v>
      </c>
      <c r="K264" s="3">
        <v>0.2576</v>
      </c>
      <c r="L264" s="3">
        <v>0.5</v>
      </c>
      <c r="M264" s="3">
        <v>0.2239</v>
      </c>
      <c r="N264" s="3">
        <v>9.0</v>
      </c>
      <c r="O264" s="3">
        <v>73.0</v>
      </c>
      <c r="P264" s="3">
        <v>82.0</v>
      </c>
      <c r="Q264" s="10"/>
      <c r="R264" s="10" t="str">
        <f t="shared" si="1"/>
        <v>OK</v>
      </c>
      <c r="S264" s="10">
        <f t="shared" si="2"/>
        <v>5</v>
      </c>
      <c r="T264" s="10" t="str">
        <f t="shared" si="3"/>
        <v>OK</v>
      </c>
      <c r="U264" s="10">
        <f t="shared" si="4"/>
        <v>1</v>
      </c>
      <c r="V264" s="10"/>
      <c r="W264" s="10"/>
      <c r="X264" s="10"/>
      <c r="Y264" s="10"/>
      <c r="Z264" s="10"/>
    </row>
    <row r="265" ht="13.5" customHeight="1">
      <c r="A265" s="10">
        <f>dataset_1!A264</f>
        <v>263</v>
      </c>
      <c r="B265" s="11">
        <f>dataset_1!B264</f>
        <v>40555</v>
      </c>
      <c r="C265" s="10">
        <f>dataset_1!C264</f>
        <v>1</v>
      </c>
      <c r="D265" s="10">
        <f>dataset_1!D264</f>
        <v>0</v>
      </c>
      <c r="E265" s="10">
        <f>dataset_1!E264</f>
        <v>1</v>
      </c>
      <c r="F265" s="10">
        <f>dataset_1!F264</f>
        <v>9</v>
      </c>
      <c r="G265" s="10" t="b">
        <f>dataset_1!G264</f>
        <v>0</v>
      </c>
      <c r="H265" s="10">
        <f>dataset_1!H264</f>
        <v>3</v>
      </c>
      <c r="I265" s="10">
        <f>dataset_1!I264</f>
        <v>1</v>
      </c>
      <c r="J265" s="10">
        <f>dataset_1!J264</f>
        <v>0.16</v>
      </c>
      <c r="K265" s="10">
        <f>VLOOKUP(A265,dataset_2!$A$2:$G$611,2,0)</f>
        <v>0.1364</v>
      </c>
      <c r="L265" s="10">
        <f>VLOOKUP(A265,dataset_2!$A$2:$G$611,3,0)</f>
        <v>0.59</v>
      </c>
      <c r="M265" s="10">
        <f>VLOOKUP(A265,dataset_2!$A$2:$G$611,4,0)</f>
        <v>0.3284</v>
      </c>
      <c r="N265" s="10">
        <f>VLOOKUP(A265,dataset_2!$A$2:$G$611,5,0)</f>
        <v>3</v>
      </c>
      <c r="O265" s="10">
        <f>VLOOKUP(A265,dataset_2!$A$2:$G$611,6,0)</f>
        <v>78</v>
      </c>
      <c r="P265" s="10">
        <f>VLOOKUP(A265,dataset_2!$A$2:$G$611,7,0)</f>
        <v>81</v>
      </c>
      <c r="Q265" s="10"/>
      <c r="R265" s="10" t="str">
        <f t="shared" si="1"/>
        <v>OK</v>
      </c>
      <c r="S265" s="10">
        <f t="shared" si="2"/>
        <v>5</v>
      </c>
      <c r="T265" s="10" t="str">
        <f t="shared" si="3"/>
        <v>OK</v>
      </c>
      <c r="U265" s="10">
        <f t="shared" si="4"/>
        <v>1</v>
      </c>
      <c r="V265" s="10"/>
      <c r="W265" s="10"/>
      <c r="X265" s="10"/>
      <c r="Y265" s="10"/>
      <c r="Z265" s="10"/>
    </row>
    <row r="266" ht="13.5" customHeight="1">
      <c r="A266" s="10">
        <f>dataset_1!A447</f>
        <v>446</v>
      </c>
      <c r="B266" s="11">
        <f>dataset_1!B447</f>
        <v>40563</v>
      </c>
      <c r="C266" s="10">
        <f>dataset_1!C447</f>
        <v>1</v>
      </c>
      <c r="D266" s="10">
        <f>dataset_1!D447</f>
        <v>0</v>
      </c>
      <c r="E266" s="10">
        <f>dataset_1!E447</f>
        <v>1</v>
      </c>
      <c r="F266" s="10">
        <f>dataset_1!F447</f>
        <v>14</v>
      </c>
      <c r="G266" s="10" t="b">
        <f>dataset_1!G447</f>
        <v>0</v>
      </c>
      <c r="H266" s="10">
        <f>dataset_1!H447</f>
        <v>4</v>
      </c>
      <c r="I266" s="10">
        <f>dataset_1!I447</f>
        <v>2</v>
      </c>
      <c r="J266" s="10">
        <f>dataset_1!J447</f>
        <v>0.3</v>
      </c>
      <c r="K266" s="10">
        <f>VLOOKUP(A266,dataset_2!$A$2:$G$611,2,0)</f>
        <v>0.303</v>
      </c>
      <c r="L266" s="10">
        <f>VLOOKUP(A266,dataset_2!$A$2:$G$611,3,0)</f>
        <v>0.45</v>
      </c>
      <c r="M266" s="10">
        <f>VLOOKUP(A266,dataset_2!$A$2:$G$611,4,0)</f>
        <v>0.1343</v>
      </c>
      <c r="N266" s="10">
        <f>VLOOKUP(A266,dataset_2!$A$2:$G$611,5,0)</f>
        <v>6</v>
      </c>
      <c r="O266" s="10">
        <f>VLOOKUP(A266,dataset_2!$A$2:$G$611,6,0)</f>
        <v>75</v>
      </c>
      <c r="P266" s="10">
        <f>VLOOKUP(A266,dataset_2!$A$2:$G$611,7,0)</f>
        <v>81</v>
      </c>
      <c r="Q266" s="10"/>
      <c r="R266" s="10" t="str">
        <f t="shared" si="1"/>
        <v>OK</v>
      </c>
      <c r="S266" s="10">
        <f t="shared" si="2"/>
        <v>5</v>
      </c>
      <c r="T266" s="10" t="str">
        <f t="shared" si="3"/>
        <v>OK</v>
      </c>
      <c r="U266" s="10">
        <f t="shared" si="4"/>
        <v>1</v>
      </c>
      <c r="V266" s="10"/>
      <c r="W266" s="10"/>
      <c r="X266" s="10"/>
      <c r="Y266" s="10"/>
      <c r="Z266" s="10"/>
    </row>
    <row r="267" ht="13.5" customHeight="1">
      <c r="A267" s="10">
        <f>dataset_1!A546</f>
        <v>545</v>
      </c>
      <c r="B267" s="11">
        <f>dataset_1!B546</f>
        <v>40567</v>
      </c>
      <c r="C267" s="10">
        <f>dataset_1!C546</f>
        <v>1</v>
      </c>
      <c r="D267" s="10">
        <f>dataset_1!D546</f>
        <v>0</v>
      </c>
      <c r="E267" s="10">
        <f>dataset_1!E546</f>
        <v>1</v>
      </c>
      <c r="F267" s="10">
        <f>dataset_1!F546</f>
        <v>20</v>
      </c>
      <c r="G267" s="10" t="b">
        <f>dataset_1!G546</f>
        <v>0</v>
      </c>
      <c r="H267" s="10">
        <f>dataset_1!H546</f>
        <v>1</v>
      </c>
      <c r="I267" s="10">
        <f>dataset_1!I546</f>
        <v>1</v>
      </c>
      <c r="J267" s="10">
        <f>dataset_1!J546</f>
        <v>0.14</v>
      </c>
      <c r="K267" s="10">
        <f>VLOOKUP(A267,dataset_2!$A$2:$G$611,2,0)</f>
        <v>0.1364</v>
      </c>
      <c r="L267" s="10">
        <f>VLOOKUP(A267,dataset_2!$A$2:$G$611,3,0)</f>
        <v>0.59</v>
      </c>
      <c r="M267" s="10">
        <f>VLOOKUP(A267,dataset_2!$A$2:$G$611,4,0)</f>
        <v>0.194</v>
      </c>
      <c r="N267" s="10">
        <f>VLOOKUP(A267,dataset_2!$A$2:$G$611,5,0)</f>
        <v>1</v>
      </c>
      <c r="O267" s="10">
        <f>VLOOKUP(A267,dataset_2!$A$2:$G$611,6,0)</f>
        <v>80</v>
      </c>
      <c r="P267" s="10">
        <f>VLOOKUP(A267,dataset_2!$A$2:$G$611,7,0)</f>
        <v>81</v>
      </c>
      <c r="Q267" s="10"/>
      <c r="R267" s="10" t="str">
        <f t="shared" si="1"/>
        <v>OK</v>
      </c>
      <c r="S267" s="10">
        <f t="shared" si="2"/>
        <v>5</v>
      </c>
      <c r="T267" s="10" t="str">
        <f t="shared" si="3"/>
        <v>OK</v>
      </c>
      <c r="U267" s="10">
        <f t="shared" si="4"/>
        <v>1</v>
      </c>
      <c r="V267" s="10"/>
      <c r="W267" s="10"/>
      <c r="X267" s="10"/>
      <c r="Y267" s="10"/>
      <c r="Z267" s="10"/>
    </row>
    <row r="268" ht="13.5" customHeight="1">
      <c r="A268" s="10">
        <f>dataset_1!A386</f>
        <v>385</v>
      </c>
      <c r="B268" s="11">
        <f>dataset_1!B386</f>
        <v>40560</v>
      </c>
      <c r="C268" s="10">
        <f>dataset_1!C386</f>
        <v>1</v>
      </c>
      <c r="D268" s="10">
        <f>dataset_1!D386</f>
        <v>0</v>
      </c>
      <c r="E268" s="10">
        <f>dataset_1!E386</f>
        <v>1</v>
      </c>
      <c r="F268" s="10">
        <f>dataset_1!F386</f>
        <v>12</v>
      </c>
      <c r="G268" s="10" t="b">
        <f>dataset_1!G386</f>
        <v>1</v>
      </c>
      <c r="H268" s="10">
        <f>dataset_1!H386</f>
        <v>1</v>
      </c>
      <c r="I268" s="10">
        <f>dataset_1!I386</f>
        <v>2</v>
      </c>
      <c r="J268" s="10">
        <f>dataset_1!J386</f>
        <v>0.18</v>
      </c>
      <c r="K268" s="10">
        <f>VLOOKUP(A268,dataset_2!$A$2:$G$611,2,0)</f>
        <v>0.197</v>
      </c>
      <c r="L268" s="10">
        <f>VLOOKUP(A268,dataset_2!$A$2:$G$611,3,0)</f>
        <v>0.47</v>
      </c>
      <c r="M268" s="10">
        <f>VLOOKUP(A268,dataset_2!$A$2:$G$611,4,0)</f>
        <v>0.1343</v>
      </c>
      <c r="N268" s="10">
        <f>VLOOKUP(A268,dataset_2!$A$2:$G$611,5,0)</f>
        <v>10</v>
      </c>
      <c r="O268" s="10">
        <f>VLOOKUP(A268,dataset_2!$A$2:$G$611,6,0)</f>
        <v>70</v>
      </c>
      <c r="P268" s="10">
        <f>VLOOKUP(A268,dataset_2!$A$2:$G$611,7,0)</f>
        <v>80</v>
      </c>
      <c r="Q268" s="10"/>
      <c r="R268" s="10" t="str">
        <f t="shared" si="1"/>
        <v>OK</v>
      </c>
      <c r="S268" s="10">
        <f t="shared" si="2"/>
        <v>5</v>
      </c>
      <c r="T268" s="10" t="str">
        <f t="shared" si="3"/>
        <v>OK</v>
      </c>
      <c r="U268" s="10">
        <f t="shared" si="4"/>
        <v>1</v>
      </c>
      <c r="V268" s="10"/>
      <c r="W268" s="10"/>
      <c r="X268" s="10"/>
      <c r="Y268" s="10"/>
      <c r="Z268" s="10"/>
    </row>
    <row r="269" ht="13.5" customHeight="1">
      <c r="A269" s="3">
        <v>611.0</v>
      </c>
      <c r="B269" s="12">
        <v>40571.0</v>
      </c>
      <c r="C269" s="3">
        <v>1.0</v>
      </c>
      <c r="D269" s="3">
        <v>0.0</v>
      </c>
      <c r="E269" s="3">
        <v>1.0</v>
      </c>
      <c r="F269" s="3">
        <v>16.0</v>
      </c>
      <c r="G269" s="3" t="b">
        <f t="shared" ref="G269:G270" si="35">FALSE()</f>
        <v>0</v>
      </c>
      <c r="H269" s="3">
        <v>5.0</v>
      </c>
      <c r="I269" s="3">
        <v>1.0</v>
      </c>
      <c r="J269" s="3">
        <v>0.22</v>
      </c>
      <c r="K269" s="3">
        <v>0.2727</v>
      </c>
      <c r="L269" s="3">
        <v>0.8</v>
      </c>
      <c r="M269" s="3">
        <v>0.0</v>
      </c>
      <c r="N269" s="3">
        <v>10.0</v>
      </c>
      <c r="O269" s="3">
        <v>70.0</v>
      </c>
      <c r="P269" s="3">
        <v>80.0</v>
      </c>
      <c r="Q269" s="10"/>
      <c r="R269" s="10" t="str">
        <f t="shared" si="1"/>
        <v>OK</v>
      </c>
      <c r="S269" s="10">
        <f t="shared" si="2"/>
        <v>5</v>
      </c>
      <c r="T269" s="10" t="str">
        <f t="shared" si="3"/>
        <v>OK</v>
      </c>
      <c r="U269" s="10">
        <f t="shared" si="4"/>
        <v>1</v>
      </c>
      <c r="V269" s="10"/>
      <c r="W269" s="10"/>
      <c r="X269" s="10"/>
      <c r="Y269" s="10"/>
      <c r="Z269" s="10"/>
    </row>
    <row r="270" ht="13.5" customHeight="1">
      <c r="A270" s="3">
        <v>916.0</v>
      </c>
      <c r="B270" s="12">
        <v>40584.0</v>
      </c>
      <c r="C270" s="3">
        <v>1.0</v>
      </c>
      <c r="D270" s="3">
        <v>0.0</v>
      </c>
      <c r="E270" s="3">
        <v>2.0</v>
      </c>
      <c r="F270" s="3">
        <v>16.0</v>
      </c>
      <c r="G270" s="3" t="b">
        <f t="shared" si="35"/>
        <v>0</v>
      </c>
      <c r="H270" s="3">
        <v>4.0</v>
      </c>
      <c r="I270" s="3">
        <v>1.0</v>
      </c>
      <c r="J270" s="3">
        <v>0.2</v>
      </c>
      <c r="K270" s="3">
        <v>0.1818</v>
      </c>
      <c r="L270" s="3">
        <v>0.27</v>
      </c>
      <c r="M270" s="3">
        <v>0.2985</v>
      </c>
      <c r="N270" s="3">
        <v>4.0</v>
      </c>
      <c r="O270" s="3">
        <v>76.0</v>
      </c>
      <c r="P270" s="3">
        <v>80.0</v>
      </c>
      <c r="Q270" s="10"/>
      <c r="R270" s="10" t="str">
        <f t="shared" si="1"/>
        <v>OK</v>
      </c>
      <c r="S270" s="10">
        <f t="shared" si="2"/>
        <v>5</v>
      </c>
      <c r="T270" s="10" t="str">
        <f t="shared" si="3"/>
        <v>OK</v>
      </c>
      <c r="U270" s="10">
        <f t="shared" si="4"/>
        <v>1</v>
      </c>
      <c r="V270" s="10"/>
      <c r="W270" s="10"/>
      <c r="X270" s="10"/>
      <c r="Y270" s="10"/>
      <c r="Z270" s="10"/>
    </row>
    <row r="271" ht="13.5" customHeight="1">
      <c r="A271" s="10">
        <f>dataset_1!A105</f>
        <v>104</v>
      </c>
      <c r="B271" s="11">
        <f>dataset_1!B105</f>
        <v>40548</v>
      </c>
      <c r="C271" s="10">
        <f>dataset_1!C105</f>
        <v>1</v>
      </c>
      <c r="D271" s="10">
        <f>dataset_1!D105</f>
        <v>0</v>
      </c>
      <c r="E271" s="10">
        <f>dataset_1!E105</f>
        <v>1</v>
      </c>
      <c r="F271" s="10">
        <f>dataset_1!F105</f>
        <v>12</v>
      </c>
      <c r="G271" s="10" t="b">
        <f>dataset_1!G105</f>
        <v>0</v>
      </c>
      <c r="H271" s="10">
        <f>dataset_1!H105</f>
        <v>3</v>
      </c>
      <c r="I271" s="10">
        <f>dataset_1!I105</f>
        <v>1</v>
      </c>
      <c r="J271" s="10">
        <f>dataset_1!J105</f>
        <v>0.26</v>
      </c>
      <c r="K271" s="10">
        <f>VLOOKUP(A271,dataset_2!$A$2:$G$611,2,0)</f>
        <v>0.2273</v>
      </c>
      <c r="L271" s="10">
        <f>VLOOKUP(A271,dataset_2!$A$2:$G$611,3,0)</f>
        <v>0.33</v>
      </c>
      <c r="M271" s="10">
        <f>VLOOKUP(A271,dataset_2!$A$2:$G$611,4,0)</f>
        <v>0.3284</v>
      </c>
      <c r="N271" s="10">
        <f>VLOOKUP(A271,dataset_2!$A$2:$G$611,5,0)</f>
        <v>5</v>
      </c>
      <c r="O271" s="10">
        <f>VLOOKUP(A271,dataset_2!$A$2:$G$611,6,0)</f>
        <v>74</v>
      </c>
      <c r="P271" s="10">
        <f>VLOOKUP(A271,dataset_2!$A$2:$G$611,7,0)</f>
        <v>79</v>
      </c>
      <c r="Q271" s="10"/>
      <c r="R271" s="10" t="str">
        <f t="shared" si="1"/>
        <v>OK</v>
      </c>
      <c r="S271" s="10">
        <f t="shared" si="2"/>
        <v>5</v>
      </c>
      <c r="T271" s="10" t="str">
        <f t="shared" si="3"/>
        <v>OK</v>
      </c>
      <c r="U271" s="10">
        <f t="shared" si="4"/>
        <v>1</v>
      </c>
      <c r="V271" s="10"/>
      <c r="W271" s="10"/>
      <c r="X271" s="10"/>
      <c r="Y271" s="10"/>
      <c r="Z271" s="10"/>
    </row>
    <row r="272" ht="13.5" customHeight="1">
      <c r="A272" s="10">
        <f>dataset_1!A360</f>
        <v>359</v>
      </c>
      <c r="B272" s="11">
        <f>dataset_1!B360</f>
        <v>40559</v>
      </c>
      <c r="C272" s="10">
        <f>dataset_1!C360</f>
        <v>1</v>
      </c>
      <c r="D272" s="10">
        <f>dataset_1!D360</f>
        <v>0</v>
      </c>
      <c r="E272" s="10">
        <f>dataset_1!E360</f>
        <v>1</v>
      </c>
      <c r="F272" s="10">
        <f>dataset_1!F360</f>
        <v>10</v>
      </c>
      <c r="G272" s="10" t="b">
        <f>dataset_1!G360</f>
        <v>0</v>
      </c>
      <c r="H272" s="10">
        <f>dataset_1!H360</f>
        <v>0</v>
      </c>
      <c r="I272" s="10">
        <f>dataset_1!I360</f>
        <v>1</v>
      </c>
      <c r="J272" s="10">
        <f>dataset_1!J360</f>
        <v>0.22</v>
      </c>
      <c r="K272" s="10">
        <f>VLOOKUP(A272,dataset_2!$A$2:$G$611,2,0)</f>
        <v>0.2121</v>
      </c>
      <c r="L272" s="10">
        <f>VLOOKUP(A272,dataset_2!$A$2:$G$611,3,0)</f>
        <v>0.51</v>
      </c>
      <c r="M272" s="10">
        <f>VLOOKUP(A272,dataset_2!$A$2:$G$611,4,0)</f>
        <v>0.2836</v>
      </c>
      <c r="N272" s="10">
        <f>VLOOKUP(A272,dataset_2!$A$2:$G$611,5,0)</f>
        <v>8</v>
      </c>
      <c r="O272" s="10">
        <f>VLOOKUP(A272,dataset_2!$A$2:$G$611,6,0)</f>
        <v>71</v>
      </c>
      <c r="P272" s="10">
        <f>VLOOKUP(A272,dataset_2!$A$2:$G$611,7,0)</f>
        <v>79</v>
      </c>
      <c r="Q272" s="10"/>
      <c r="R272" s="10" t="str">
        <f t="shared" si="1"/>
        <v>OK</v>
      </c>
      <c r="S272" s="10">
        <f t="shared" si="2"/>
        <v>5</v>
      </c>
      <c r="T272" s="10" t="str">
        <f t="shared" si="3"/>
        <v>OK</v>
      </c>
      <c r="U272" s="10">
        <f t="shared" si="4"/>
        <v>1</v>
      </c>
      <c r="V272" s="10"/>
      <c r="W272" s="10"/>
      <c r="X272" s="10"/>
      <c r="Y272" s="10"/>
      <c r="Z272" s="10"/>
    </row>
    <row r="273" ht="13.5" customHeight="1">
      <c r="A273" s="10">
        <f>dataset_1!A592</f>
        <v>591</v>
      </c>
      <c r="B273" s="11">
        <f>dataset_1!B592</f>
        <v>40570</v>
      </c>
      <c r="C273" s="10">
        <f>dataset_1!C592</f>
        <v>1</v>
      </c>
      <c r="D273" s="10">
        <f>dataset_1!D592</f>
        <v>0</v>
      </c>
      <c r="E273" s="10">
        <f>dataset_1!E592</f>
        <v>1</v>
      </c>
      <c r="F273" s="10">
        <f>dataset_1!F592</f>
        <v>19</v>
      </c>
      <c r="G273" s="10" t="b">
        <f>dataset_1!G592</f>
        <v>0</v>
      </c>
      <c r="H273" s="10">
        <f>dataset_1!H592</f>
        <v>4</v>
      </c>
      <c r="I273" s="10">
        <f>dataset_1!I592</f>
        <v>1</v>
      </c>
      <c r="J273" s="10">
        <f>dataset_1!J592</f>
        <v>0.2</v>
      </c>
      <c r="K273" s="10">
        <f>VLOOKUP(A273,dataset_2!$A$2:$G$611,2,0)</f>
        <v>0.2273</v>
      </c>
      <c r="L273" s="10">
        <f>VLOOKUP(A273,dataset_2!$A$2:$G$611,3,0)</f>
        <v>0.69</v>
      </c>
      <c r="M273" s="10">
        <f>VLOOKUP(A273,dataset_2!$A$2:$G$611,4,0)</f>
        <v>0.0896</v>
      </c>
      <c r="N273" s="10">
        <f>VLOOKUP(A273,dataset_2!$A$2:$G$611,5,0)</f>
        <v>3</v>
      </c>
      <c r="O273" s="10">
        <f>VLOOKUP(A273,dataset_2!$A$2:$G$611,6,0)</f>
        <v>76</v>
      </c>
      <c r="P273" s="10">
        <f>VLOOKUP(A273,dataset_2!$A$2:$G$611,7,0)</f>
        <v>79</v>
      </c>
      <c r="Q273" s="10"/>
      <c r="R273" s="10" t="str">
        <f t="shared" si="1"/>
        <v>OK</v>
      </c>
      <c r="S273" s="10">
        <f t="shared" si="2"/>
        <v>5</v>
      </c>
      <c r="T273" s="10" t="str">
        <f t="shared" si="3"/>
        <v>OK</v>
      </c>
      <c r="U273" s="10">
        <f t="shared" si="4"/>
        <v>1</v>
      </c>
      <c r="V273" s="10"/>
      <c r="W273" s="10"/>
      <c r="X273" s="10"/>
      <c r="Y273" s="10"/>
      <c r="Z273" s="10"/>
    </row>
    <row r="274" ht="13.5" customHeight="1">
      <c r="A274" s="3">
        <v>893.0</v>
      </c>
      <c r="B274" s="12">
        <v>40583.0</v>
      </c>
      <c r="C274" s="3">
        <v>1.0</v>
      </c>
      <c r="D274" s="3">
        <v>0.0</v>
      </c>
      <c r="E274" s="3">
        <v>2.0</v>
      </c>
      <c r="F274" s="3">
        <v>16.0</v>
      </c>
      <c r="G274" s="3" t="b">
        <f>FALSE()</f>
        <v>0</v>
      </c>
      <c r="H274" s="3">
        <v>3.0</v>
      </c>
      <c r="I274" s="3">
        <v>2.0</v>
      </c>
      <c r="J274" s="3">
        <v>0.2</v>
      </c>
      <c r="K274" s="3">
        <v>0.197</v>
      </c>
      <c r="L274" s="3">
        <v>0.37</v>
      </c>
      <c r="M274" s="3">
        <v>0.2537</v>
      </c>
      <c r="N274" s="3">
        <v>7.0</v>
      </c>
      <c r="O274" s="3">
        <v>72.0</v>
      </c>
      <c r="P274" s="3">
        <v>79.0</v>
      </c>
      <c r="Q274" s="10"/>
      <c r="R274" s="10" t="str">
        <f t="shared" si="1"/>
        <v>OK</v>
      </c>
      <c r="S274" s="10">
        <f t="shared" si="2"/>
        <v>5</v>
      </c>
      <c r="T274" s="10" t="str">
        <f t="shared" si="3"/>
        <v>OK</v>
      </c>
      <c r="U274" s="10">
        <f t="shared" si="4"/>
        <v>1</v>
      </c>
      <c r="V274" s="10"/>
      <c r="W274" s="10"/>
      <c r="X274" s="10"/>
      <c r="Y274" s="10"/>
      <c r="Z274" s="10"/>
    </row>
    <row r="275" ht="13.5" customHeight="1">
      <c r="A275" s="10">
        <f>dataset_1!A82</f>
        <v>81</v>
      </c>
      <c r="B275" s="11">
        <f>dataset_1!B82</f>
        <v>40547</v>
      </c>
      <c r="C275" s="10">
        <f>dataset_1!C82</f>
        <v>1</v>
      </c>
      <c r="D275" s="10">
        <f>dataset_1!D82</f>
        <v>0</v>
      </c>
      <c r="E275" s="10">
        <f>dataset_1!E82</f>
        <v>1</v>
      </c>
      <c r="F275" s="10">
        <f>dataset_1!F82</f>
        <v>12</v>
      </c>
      <c r="G275" s="10" t="b">
        <f>dataset_1!G82</f>
        <v>0</v>
      </c>
      <c r="H275" s="10">
        <f>dataset_1!H82</f>
        <v>2</v>
      </c>
      <c r="I275" s="10">
        <f>dataset_1!I82</f>
        <v>1</v>
      </c>
      <c r="J275" s="10">
        <f>dataset_1!J82</f>
        <v>0.22</v>
      </c>
      <c r="K275" s="10">
        <f>VLOOKUP(A275,dataset_2!$A$2:$G$611,2,0)</f>
        <v>0.2273</v>
      </c>
      <c r="L275" s="10">
        <f>VLOOKUP(A275,dataset_2!$A$2:$G$611,3,0)</f>
        <v>0.51</v>
      </c>
      <c r="M275" s="10">
        <f>VLOOKUP(A275,dataset_2!$A$2:$G$611,4,0)</f>
        <v>0.1642</v>
      </c>
      <c r="N275" s="10">
        <f>VLOOKUP(A275,dataset_2!$A$2:$G$611,5,0)</f>
        <v>12</v>
      </c>
      <c r="O275" s="10">
        <f>VLOOKUP(A275,dataset_2!$A$2:$G$611,6,0)</f>
        <v>66</v>
      </c>
      <c r="P275" s="10">
        <f>VLOOKUP(A275,dataset_2!$A$2:$G$611,7,0)</f>
        <v>78</v>
      </c>
      <c r="Q275" s="10"/>
      <c r="R275" s="10" t="str">
        <f t="shared" si="1"/>
        <v>OK</v>
      </c>
      <c r="S275" s="10">
        <f t="shared" si="2"/>
        <v>5</v>
      </c>
      <c r="T275" s="10" t="str">
        <f t="shared" si="3"/>
        <v>OK</v>
      </c>
      <c r="U275" s="10">
        <f t="shared" si="4"/>
        <v>1</v>
      </c>
      <c r="V275" s="10"/>
      <c r="W275" s="10"/>
      <c r="X275" s="10"/>
      <c r="Y275" s="10"/>
      <c r="Z275" s="10"/>
    </row>
    <row r="276" ht="13.5" customHeight="1">
      <c r="A276" s="10">
        <f>dataset_1!A295</f>
        <v>294</v>
      </c>
      <c r="B276" s="11">
        <f>dataset_1!B295</f>
        <v>40556</v>
      </c>
      <c r="C276" s="10">
        <f>dataset_1!C295</f>
        <v>1</v>
      </c>
      <c r="D276" s="10">
        <f>dataset_1!D295</f>
        <v>0</v>
      </c>
      <c r="E276" s="10">
        <f>dataset_1!E295</f>
        <v>1</v>
      </c>
      <c r="F276" s="10">
        <f>dataset_1!F295</f>
        <v>16</v>
      </c>
      <c r="G276" s="10" t="b">
        <f>dataset_1!G295</f>
        <v>0</v>
      </c>
      <c r="H276" s="10">
        <f>dataset_1!H295</f>
        <v>4</v>
      </c>
      <c r="I276" s="10">
        <f>dataset_1!I295</f>
        <v>1</v>
      </c>
      <c r="J276" s="10">
        <f>dataset_1!J295</f>
        <v>0.24</v>
      </c>
      <c r="K276" s="10">
        <f>VLOOKUP(A276,dataset_2!$A$2:$G$611,2,0)</f>
        <v>0.2121</v>
      </c>
      <c r="L276" s="10">
        <f>VLOOKUP(A276,dataset_2!$A$2:$G$611,3,0)</f>
        <v>0.38</v>
      </c>
      <c r="M276" s="10">
        <f>VLOOKUP(A276,dataset_2!$A$2:$G$611,4,0)</f>
        <v>0.3582</v>
      </c>
      <c r="N276" s="10">
        <f>VLOOKUP(A276,dataset_2!$A$2:$G$611,5,0)</f>
        <v>2</v>
      </c>
      <c r="O276" s="10">
        <f>VLOOKUP(A276,dataset_2!$A$2:$G$611,6,0)</f>
        <v>76</v>
      </c>
      <c r="P276" s="10">
        <f>VLOOKUP(A276,dataset_2!$A$2:$G$611,7,0)</f>
        <v>78</v>
      </c>
      <c r="Q276" s="10"/>
      <c r="R276" s="10" t="str">
        <f t="shared" si="1"/>
        <v>OK</v>
      </c>
      <c r="S276" s="10">
        <f t="shared" si="2"/>
        <v>5</v>
      </c>
      <c r="T276" s="10" t="str">
        <f t="shared" si="3"/>
        <v>OK</v>
      </c>
      <c r="U276" s="10">
        <f t="shared" si="4"/>
        <v>1</v>
      </c>
      <c r="V276" s="10"/>
      <c r="W276" s="10"/>
      <c r="X276" s="10"/>
      <c r="Y276" s="10"/>
      <c r="Z276" s="10"/>
    </row>
    <row r="277" ht="13.5" customHeight="1">
      <c r="A277" s="10">
        <f>dataset_1!A422</f>
        <v>421</v>
      </c>
      <c r="B277" s="11">
        <f>dataset_1!B422</f>
        <v>40562</v>
      </c>
      <c r="C277" s="10">
        <f>dataset_1!C422</f>
        <v>1</v>
      </c>
      <c r="D277" s="10">
        <f>dataset_1!D422</f>
        <v>0</v>
      </c>
      <c r="E277" s="10">
        <f>dataset_1!E422</f>
        <v>1</v>
      </c>
      <c r="F277" s="10">
        <f>dataset_1!F422</f>
        <v>13</v>
      </c>
      <c r="G277" s="10" t="b">
        <f>dataset_1!G422</f>
        <v>0</v>
      </c>
      <c r="H277" s="10">
        <f>dataset_1!H422</f>
        <v>3</v>
      </c>
      <c r="I277" s="10">
        <f>dataset_1!I422</f>
        <v>1</v>
      </c>
      <c r="J277" s="10">
        <f>dataset_1!J422</f>
        <v>0.4</v>
      </c>
      <c r="K277" s="10">
        <f>VLOOKUP(A277,dataset_2!$A$2:$G$611,2,0)</f>
        <v>0.4091</v>
      </c>
      <c r="L277" s="10">
        <f>VLOOKUP(A277,dataset_2!$A$2:$G$611,3,0)</f>
        <v>0.62</v>
      </c>
      <c r="M277" s="10">
        <f>VLOOKUP(A277,dataset_2!$A$2:$G$611,4,0)</f>
        <v>0.2836</v>
      </c>
      <c r="N277" s="10">
        <f>VLOOKUP(A277,dataset_2!$A$2:$G$611,5,0)</f>
        <v>11</v>
      </c>
      <c r="O277" s="10">
        <f>VLOOKUP(A277,dataset_2!$A$2:$G$611,6,0)</f>
        <v>67</v>
      </c>
      <c r="P277" s="10">
        <f>VLOOKUP(A277,dataset_2!$A$2:$G$611,7,0)</f>
        <v>78</v>
      </c>
      <c r="Q277" s="10"/>
      <c r="R277" s="10" t="str">
        <f t="shared" si="1"/>
        <v>OK</v>
      </c>
      <c r="S277" s="10">
        <f t="shared" si="2"/>
        <v>5</v>
      </c>
      <c r="T277" s="10" t="str">
        <f t="shared" si="3"/>
        <v>OK</v>
      </c>
      <c r="U277" s="10">
        <f t="shared" si="4"/>
        <v>1</v>
      </c>
      <c r="V277" s="10"/>
      <c r="W277" s="10"/>
      <c r="X277" s="10"/>
      <c r="Y277" s="10"/>
      <c r="Z277" s="10"/>
    </row>
    <row r="278" ht="13.5" customHeight="1">
      <c r="A278" s="10">
        <f>dataset_1!A469</f>
        <v>468</v>
      </c>
      <c r="B278" s="11">
        <f>dataset_1!B469</f>
        <v>40564</v>
      </c>
      <c r="C278" s="10">
        <f>dataset_1!C469</f>
        <v>1</v>
      </c>
      <c r="D278" s="10">
        <f>dataset_1!D469</f>
        <v>0</v>
      </c>
      <c r="E278" s="10">
        <f>dataset_1!E469</f>
        <v>1</v>
      </c>
      <c r="F278" s="10">
        <f>dataset_1!F469</f>
        <v>12</v>
      </c>
      <c r="G278" s="10" t="b">
        <f>dataset_1!G469</f>
        <v>0</v>
      </c>
      <c r="H278" s="10">
        <f>dataset_1!H469</f>
        <v>5</v>
      </c>
      <c r="I278" s="10">
        <f>dataset_1!I469</f>
        <v>1</v>
      </c>
      <c r="J278" s="10">
        <f>dataset_1!J469</f>
        <v>0.22</v>
      </c>
      <c r="K278" s="10">
        <f>VLOOKUP(A278,dataset_2!$A$2:$G$611,2,0)</f>
        <v>0.1818</v>
      </c>
      <c r="L278" s="10">
        <f>VLOOKUP(A278,dataset_2!$A$2:$G$611,3,0)</f>
        <v>0.27</v>
      </c>
      <c r="M278" s="10">
        <f>VLOOKUP(A278,dataset_2!$A$2:$G$611,4,0)</f>
        <v>0.5821</v>
      </c>
      <c r="N278" s="10">
        <f>VLOOKUP(A278,dataset_2!$A$2:$G$611,5,0)</f>
        <v>11</v>
      </c>
      <c r="O278" s="10">
        <f>VLOOKUP(A278,dataset_2!$A$2:$G$611,6,0)</f>
        <v>67</v>
      </c>
      <c r="P278" s="10">
        <f>VLOOKUP(A278,dataset_2!$A$2:$G$611,7,0)</f>
        <v>78</v>
      </c>
      <c r="Q278" s="10"/>
      <c r="R278" s="10" t="str">
        <f t="shared" si="1"/>
        <v>OK</v>
      </c>
      <c r="S278" s="10">
        <f t="shared" si="2"/>
        <v>5</v>
      </c>
      <c r="T278" s="10" t="str">
        <f t="shared" si="3"/>
        <v>OK</v>
      </c>
      <c r="U278" s="10">
        <f t="shared" si="4"/>
        <v>1</v>
      </c>
      <c r="V278" s="10"/>
      <c r="W278" s="10"/>
      <c r="X278" s="10"/>
      <c r="Y278" s="10"/>
      <c r="Z278" s="10"/>
    </row>
    <row r="279" ht="13.5" customHeight="1">
      <c r="A279" s="3">
        <v>630.0</v>
      </c>
      <c r="B279" s="12">
        <v>40572.0</v>
      </c>
      <c r="C279" s="3">
        <v>1.0</v>
      </c>
      <c r="D279" s="3">
        <v>0.0</v>
      </c>
      <c r="E279" s="3">
        <v>1.0</v>
      </c>
      <c r="F279" s="3">
        <v>12.0</v>
      </c>
      <c r="G279" s="3" t="b">
        <f t="shared" ref="G279:G284" si="36">FALSE()</f>
        <v>0</v>
      </c>
      <c r="H279" s="3">
        <v>6.0</v>
      </c>
      <c r="I279" s="3">
        <v>2.0</v>
      </c>
      <c r="J279" s="3">
        <v>0.2</v>
      </c>
      <c r="K279" s="3">
        <v>0.197</v>
      </c>
      <c r="L279" s="3">
        <v>0.59</v>
      </c>
      <c r="M279" s="3">
        <v>0.194</v>
      </c>
      <c r="N279" s="3">
        <v>12.0</v>
      </c>
      <c r="O279" s="3">
        <v>66.0</v>
      </c>
      <c r="P279" s="3">
        <v>78.0</v>
      </c>
      <c r="Q279" s="10"/>
      <c r="R279" s="10" t="str">
        <f t="shared" si="1"/>
        <v>OK</v>
      </c>
      <c r="S279" s="10">
        <f t="shared" si="2"/>
        <v>5</v>
      </c>
      <c r="T279" s="10" t="str">
        <f t="shared" si="3"/>
        <v>OK</v>
      </c>
      <c r="U279" s="10">
        <f t="shared" si="4"/>
        <v>1</v>
      </c>
      <c r="V279" s="10"/>
      <c r="W279" s="10"/>
      <c r="X279" s="10"/>
      <c r="Y279" s="10"/>
      <c r="Z279" s="10"/>
    </row>
    <row r="280" ht="13.5" customHeight="1">
      <c r="A280" s="3">
        <v>685.0</v>
      </c>
      <c r="B280" s="12">
        <v>40574.0</v>
      </c>
      <c r="C280" s="3">
        <v>1.0</v>
      </c>
      <c r="D280" s="3">
        <v>0.0</v>
      </c>
      <c r="E280" s="3">
        <v>1.0</v>
      </c>
      <c r="F280" s="3">
        <v>20.0</v>
      </c>
      <c r="G280" s="3" t="b">
        <f t="shared" si="36"/>
        <v>0</v>
      </c>
      <c r="H280" s="3">
        <v>1.0</v>
      </c>
      <c r="I280" s="3">
        <v>3.0</v>
      </c>
      <c r="J280" s="3">
        <v>0.16</v>
      </c>
      <c r="K280" s="3">
        <v>0.1667</v>
      </c>
      <c r="L280" s="3">
        <v>0.59</v>
      </c>
      <c r="M280" s="3">
        <v>0.1642</v>
      </c>
      <c r="N280" s="3">
        <v>0.0</v>
      </c>
      <c r="O280" s="3">
        <v>78.0</v>
      </c>
      <c r="P280" s="3">
        <v>78.0</v>
      </c>
      <c r="Q280" s="10"/>
      <c r="R280" s="10" t="str">
        <f t="shared" si="1"/>
        <v>OK</v>
      </c>
      <c r="S280" s="10">
        <f t="shared" si="2"/>
        <v>5</v>
      </c>
      <c r="T280" s="10" t="str">
        <f t="shared" si="3"/>
        <v>OK</v>
      </c>
      <c r="U280" s="10">
        <f t="shared" si="4"/>
        <v>1</v>
      </c>
      <c r="V280" s="10"/>
      <c r="W280" s="10"/>
      <c r="X280" s="10"/>
      <c r="Y280" s="10"/>
      <c r="Z280" s="10"/>
    </row>
    <row r="281" ht="13.5" customHeight="1">
      <c r="A281" s="3">
        <v>751.0</v>
      </c>
      <c r="B281" s="12">
        <v>40577.0</v>
      </c>
      <c r="C281" s="3">
        <v>1.0</v>
      </c>
      <c r="D281" s="3">
        <v>0.0</v>
      </c>
      <c r="E281" s="3">
        <v>2.0</v>
      </c>
      <c r="F281" s="3">
        <v>16.0</v>
      </c>
      <c r="G281" s="3" t="b">
        <f t="shared" si="36"/>
        <v>0</v>
      </c>
      <c r="H281" s="3">
        <v>4.0</v>
      </c>
      <c r="I281" s="3">
        <v>1.0</v>
      </c>
      <c r="J281" s="3">
        <v>0.22</v>
      </c>
      <c r="K281" s="3">
        <v>0.2121</v>
      </c>
      <c r="L281" s="3">
        <v>0.37</v>
      </c>
      <c r="M281" s="3">
        <v>0.2537</v>
      </c>
      <c r="N281" s="3">
        <v>5.0</v>
      </c>
      <c r="O281" s="3">
        <v>73.0</v>
      </c>
      <c r="P281" s="3">
        <v>78.0</v>
      </c>
      <c r="Q281" s="10"/>
      <c r="R281" s="10" t="str">
        <f t="shared" si="1"/>
        <v>OK</v>
      </c>
      <c r="S281" s="10">
        <f t="shared" si="2"/>
        <v>5</v>
      </c>
      <c r="T281" s="10" t="str">
        <f t="shared" si="3"/>
        <v>OK</v>
      </c>
      <c r="U281" s="10">
        <f t="shared" si="4"/>
        <v>1</v>
      </c>
      <c r="V281" s="10"/>
      <c r="W281" s="10"/>
      <c r="X281" s="10"/>
      <c r="Y281" s="10"/>
      <c r="Z281" s="10"/>
    </row>
    <row r="282" ht="13.5" customHeight="1">
      <c r="A282" s="3">
        <v>799.0</v>
      </c>
      <c r="B282" s="12">
        <v>40579.0</v>
      </c>
      <c r="C282" s="3">
        <v>1.0</v>
      </c>
      <c r="D282" s="3">
        <v>0.0</v>
      </c>
      <c r="E282" s="3">
        <v>2.0</v>
      </c>
      <c r="F282" s="3">
        <v>17.0</v>
      </c>
      <c r="G282" s="3" t="b">
        <f t="shared" si="36"/>
        <v>0</v>
      </c>
      <c r="H282" s="3">
        <v>6.0</v>
      </c>
      <c r="I282" s="3">
        <v>2.0</v>
      </c>
      <c r="J282" s="3">
        <v>0.24</v>
      </c>
      <c r="K282" s="3">
        <v>0.2121</v>
      </c>
      <c r="L282" s="3">
        <v>1.0</v>
      </c>
      <c r="M282" s="3">
        <v>0.2836</v>
      </c>
      <c r="N282" s="3">
        <v>14.0</v>
      </c>
      <c r="O282" s="3">
        <v>64.0</v>
      </c>
      <c r="P282" s="3">
        <v>78.0</v>
      </c>
      <c r="Q282" s="10"/>
      <c r="R282" s="10" t="str">
        <f t="shared" si="1"/>
        <v>OK</v>
      </c>
      <c r="S282" s="10">
        <f t="shared" si="2"/>
        <v>5</v>
      </c>
      <c r="T282" s="10" t="str">
        <f t="shared" si="3"/>
        <v>OK</v>
      </c>
      <c r="U282" s="10">
        <f t="shared" si="4"/>
        <v>1</v>
      </c>
      <c r="V282" s="10"/>
      <c r="W282" s="10"/>
      <c r="X282" s="10"/>
      <c r="Y282" s="10"/>
      <c r="Z282" s="10"/>
    </row>
    <row r="283" ht="13.5" customHeight="1">
      <c r="A283" s="3">
        <v>824.0</v>
      </c>
      <c r="B283" s="12">
        <v>40580.0</v>
      </c>
      <c r="C283" s="3">
        <v>1.0</v>
      </c>
      <c r="D283" s="3">
        <v>0.0</v>
      </c>
      <c r="E283" s="3">
        <v>2.0</v>
      </c>
      <c r="F283" s="3">
        <v>18.0</v>
      </c>
      <c r="G283" s="3" t="b">
        <f t="shared" si="36"/>
        <v>0</v>
      </c>
      <c r="H283" s="3">
        <v>0.0</v>
      </c>
      <c r="I283" s="3">
        <v>1.0</v>
      </c>
      <c r="J283" s="3">
        <v>0.3</v>
      </c>
      <c r="K283" s="3">
        <v>0.303</v>
      </c>
      <c r="L283" s="3">
        <v>0.56</v>
      </c>
      <c r="M283" s="3">
        <v>0.1642</v>
      </c>
      <c r="N283" s="3">
        <v>13.0</v>
      </c>
      <c r="O283" s="3">
        <v>65.0</v>
      </c>
      <c r="P283" s="3">
        <v>78.0</v>
      </c>
      <c r="Q283" s="10"/>
      <c r="R283" s="10" t="str">
        <f t="shared" si="1"/>
        <v>OK</v>
      </c>
      <c r="S283" s="10">
        <f t="shared" si="2"/>
        <v>5</v>
      </c>
      <c r="T283" s="10" t="str">
        <f t="shared" si="3"/>
        <v>OK</v>
      </c>
      <c r="U283" s="10">
        <f t="shared" si="4"/>
        <v>1</v>
      </c>
      <c r="V283" s="10"/>
      <c r="W283" s="10"/>
      <c r="X283" s="10"/>
      <c r="Y283" s="10"/>
      <c r="Z283" s="10"/>
    </row>
    <row r="284" ht="13.5" customHeight="1">
      <c r="A284" s="3">
        <v>851.0</v>
      </c>
      <c r="B284" s="12">
        <v>40581.0</v>
      </c>
      <c r="C284" s="3">
        <v>1.0</v>
      </c>
      <c r="D284" s="3">
        <v>0.0</v>
      </c>
      <c r="E284" s="3">
        <v>2.0</v>
      </c>
      <c r="F284" s="3">
        <v>21.0</v>
      </c>
      <c r="G284" s="3" t="b">
        <f t="shared" si="36"/>
        <v>0</v>
      </c>
      <c r="H284" s="3">
        <v>1.0</v>
      </c>
      <c r="I284" s="3">
        <v>1.0</v>
      </c>
      <c r="J284" s="3">
        <v>0.32</v>
      </c>
      <c r="K284" s="3">
        <v>0.3485</v>
      </c>
      <c r="L284" s="3">
        <v>0.7</v>
      </c>
      <c r="M284" s="3">
        <v>0.0</v>
      </c>
      <c r="N284" s="3">
        <v>3.0</v>
      </c>
      <c r="O284" s="3">
        <v>75.0</v>
      </c>
      <c r="P284" s="3">
        <v>78.0</v>
      </c>
      <c r="Q284" s="10"/>
      <c r="R284" s="10" t="str">
        <f t="shared" si="1"/>
        <v>OK</v>
      </c>
      <c r="S284" s="10">
        <f t="shared" si="2"/>
        <v>5</v>
      </c>
      <c r="T284" s="10" t="str">
        <f t="shared" si="3"/>
        <v>OK</v>
      </c>
      <c r="U284" s="10">
        <f t="shared" si="4"/>
        <v>1</v>
      </c>
      <c r="V284" s="10"/>
      <c r="W284" s="10"/>
      <c r="X284" s="10"/>
      <c r="Y284" s="10"/>
      <c r="Z284" s="10"/>
    </row>
    <row r="285" ht="13.5" customHeight="1">
      <c r="A285" s="10">
        <f>dataset_1!A61</f>
        <v>60</v>
      </c>
      <c r="B285" s="11">
        <f>dataset_1!B61</f>
        <v>40546</v>
      </c>
      <c r="C285" s="10">
        <f>dataset_1!C61</f>
        <v>1</v>
      </c>
      <c r="D285" s="10">
        <f>dataset_1!D61</f>
        <v>0</v>
      </c>
      <c r="E285" s="10">
        <f>dataset_1!E61</f>
        <v>1</v>
      </c>
      <c r="F285" s="10">
        <f>dataset_1!F61</f>
        <v>14</v>
      </c>
      <c r="G285" s="10" t="b">
        <f>dataset_1!G61</f>
        <v>0</v>
      </c>
      <c r="H285" s="10">
        <f>dataset_1!H61</f>
        <v>1</v>
      </c>
      <c r="I285" s="10">
        <f>dataset_1!I61</f>
        <v>1</v>
      </c>
      <c r="J285" s="10">
        <f>dataset_1!J61</f>
        <v>0.26</v>
      </c>
      <c r="K285" s="10">
        <f>VLOOKUP(A285,dataset_2!$A$2:$G$611,2,0)</f>
        <v>0.2424</v>
      </c>
      <c r="L285" s="10">
        <f>VLOOKUP(A285,dataset_2!$A$2:$G$611,3,0)</f>
        <v>0.3</v>
      </c>
      <c r="M285" s="10">
        <f>VLOOKUP(A285,dataset_2!$A$2:$G$611,4,0)</f>
        <v>0.2836</v>
      </c>
      <c r="N285" s="10">
        <f>VLOOKUP(A285,dataset_2!$A$2:$G$611,5,0)</f>
        <v>11</v>
      </c>
      <c r="O285" s="10">
        <f>VLOOKUP(A285,dataset_2!$A$2:$G$611,6,0)</f>
        <v>66</v>
      </c>
      <c r="P285" s="10">
        <f>VLOOKUP(A285,dataset_2!$A$2:$G$611,7,0)</f>
        <v>77</v>
      </c>
      <c r="Q285" s="10"/>
      <c r="R285" s="10" t="str">
        <f t="shared" si="1"/>
        <v>OK</v>
      </c>
      <c r="S285" s="10">
        <f t="shared" si="2"/>
        <v>5</v>
      </c>
      <c r="T285" s="10" t="str">
        <f t="shared" si="3"/>
        <v>OK</v>
      </c>
      <c r="U285" s="10">
        <f t="shared" si="4"/>
        <v>1</v>
      </c>
      <c r="V285" s="10"/>
      <c r="W285" s="10"/>
      <c r="X285" s="10"/>
      <c r="Y285" s="10"/>
      <c r="Z285" s="10"/>
    </row>
    <row r="286" ht="13.5" customHeight="1">
      <c r="A286" s="10">
        <f>dataset_1!A218</f>
        <v>217</v>
      </c>
      <c r="B286" s="11">
        <f>dataset_1!B218</f>
        <v>40553</v>
      </c>
      <c r="C286" s="10">
        <f>dataset_1!C218</f>
        <v>1</v>
      </c>
      <c r="D286" s="10">
        <f>dataset_1!D218</f>
        <v>0</v>
      </c>
      <c r="E286" s="10">
        <f>dataset_1!E218</f>
        <v>1</v>
      </c>
      <c r="F286" s="10">
        <f>dataset_1!F218</f>
        <v>7</v>
      </c>
      <c r="G286" s="10" t="b">
        <f>dataset_1!G218</f>
        <v>0</v>
      </c>
      <c r="H286" s="10">
        <f>dataset_1!H218</f>
        <v>1</v>
      </c>
      <c r="I286" s="10">
        <f>dataset_1!I218</f>
        <v>1</v>
      </c>
      <c r="J286" s="10">
        <f>dataset_1!J218</f>
        <v>0.12</v>
      </c>
      <c r="K286" s="10">
        <f>VLOOKUP(A286,dataset_2!$A$2:$G$611,2,0)</f>
        <v>0.1212</v>
      </c>
      <c r="L286" s="10">
        <f>VLOOKUP(A286,dataset_2!$A$2:$G$611,3,0)</f>
        <v>0.5</v>
      </c>
      <c r="M286" s="10">
        <f>VLOOKUP(A286,dataset_2!$A$2:$G$611,4,0)</f>
        <v>0.2239</v>
      </c>
      <c r="N286" s="10">
        <f>VLOOKUP(A286,dataset_2!$A$2:$G$611,5,0)</f>
        <v>2</v>
      </c>
      <c r="O286" s="10">
        <f>VLOOKUP(A286,dataset_2!$A$2:$G$611,6,0)</f>
        <v>75</v>
      </c>
      <c r="P286" s="10">
        <f>VLOOKUP(A286,dataset_2!$A$2:$G$611,7,0)</f>
        <v>77</v>
      </c>
      <c r="Q286" s="10"/>
      <c r="R286" s="10" t="str">
        <f t="shared" si="1"/>
        <v>OK</v>
      </c>
      <c r="S286" s="10">
        <f t="shared" si="2"/>
        <v>5</v>
      </c>
      <c r="T286" s="10" t="str">
        <f t="shared" si="3"/>
        <v>OK</v>
      </c>
      <c r="U286" s="10">
        <f t="shared" si="4"/>
        <v>1</v>
      </c>
      <c r="V286" s="10"/>
      <c r="W286" s="10"/>
      <c r="X286" s="10"/>
      <c r="Y286" s="10"/>
      <c r="Z286" s="10"/>
    </row>
    <row r="287" ht="13.5" customHeight="1">
      <c r="A287" s="10">
        <f>dataset_1!A315</f>
        <v>314</v>
      </c>
      <c r="B287" s="11">
        <f>dataset_1!B315</f>
        <v>40557</v>
      </c>
      <c r="C287" s="10">
        <f>dataset_1!C315</f>
        <v>1</v>
      </c>
      <c r="D287" s="10">
        <f>dataset_1!D315</f>
        <v>0</v>
      </c>
      <c r="E287" s="10">
        <f>dataset_1!E315</f>
        <v>1</v>
      </c>
      <c r="F287" s="10">
        <f>dataset_1!F315</f>
        <v>13</v>
      </c>
      <c r="G287" s="10" t="b">
        <f>dataset_1!G315</f>
        <v>0</v>
      </c>
      <c r="H287" s="10">
        <f>dataset_1!H315</f>
        <v>5</v>
      </c>
      <c r="I287" s="10">
        <f>dataset_1!I315</f>
        <v>1</v>
      </c>
      <c r="J287" s="10">
        <f>dataset_1!J315</f>
        <v>0.22</v>
      </c>
      <c r="K287" s="10">
        <f>VLOOKUP(A287,dataset_2!$A$2:$G$611,2,0)</f>
        <v>0.197</v>
      </c>
      <c r="L287" s="10">
        <f>VLOOKUP(A287,dataset_2!$A$2:$G$611,3,0)</f>
        <v>0.37</v>
      </c>
      <c r="M287" s="10">
        <f>VLOOKUP(A287,dataset_2!$A$2:$G$611,4,0)</f>
        <v>0.3881</v>
      </c>
      <c r="N287" s="10">
        <f>VLOOKUP(A287,dataset_2!$A$2:$G$611,5,0)</f>
        <v>4</v>
      </c>
      <c r="O287" s="10">
        <f>VLOOKUP(A287,dataset_2!$A$2:$G$611,6,0)</f>
        <v>73</v>
      </c>
      <c r="P287" s="10">
        <f>VLOOKUP(A287,dataset_2!$A$2:$G$611,7,0)</f>
        <v>77</v>
      </c>
      <c r="Q287" s="10"/>
      <c r="R287" s="10" t="str">
        <f t="shared" si="1"/>
        <v>OK</v>
      </c>
      <c r="S287" s="10">
        <f t="shared" si="2"/>
        <v>5</v>
      </c>
      <c r="T287" s="10" t="str">
        <f t="shared" si="3"/>
        <v>OK</v>
      </c>
      <c r="U287" s="10">
        <f t="shared" si="4"/>
        <v>1</v>
      </c>
      <c r="V287" s="10"/>
      <c r="W287" s="10"/>
      <c r="X287" s="10"/>
      <c r="Y287" s="10"/>
      <c r="Z287" s="10"/>
    </row>
    <row r="288" ht="13.5" customHeight="1">
      <c r="A288" s="10">
        <f>dataset_1!A518</f>
        <v>517</v>
      </c>
      <c r="B288" s="11">
        <f>dataset_1!B518</f>
        <v>40566</v>
      </c>
      <c r="C288" s="10">
        <f>dataset_1!C518</f>
        <v>1</v>
      </c>
      <c r="D288" s="10">
        <f>dataset_1!D518</f>
        <v>0</v>
      </c>
      <c r="E288" s="10">
        <f>dataset_1!E518</f>
        <v>1</v>
      </c>
      <c r="F288" s="10">
        <f>dataset_1!F518</f>
        <v>15</v>
      </c>
      <c r="G288" s="10" t="b">
        <f>dataset_1!G518</f>
        <v>0</v>
      </c>
      <c r="H288" s="10">
        <f>dataset_1!H518</f>
        <v>0</v>
      </c>
      <c r="I288" s="10">
        <f>dataset_1!I518</f>
        <v>1</v>
      </c>
      <c r="J288" s="10">
        <f>dataset_1!J518</f>
        <v>0.16</v>
      </c>
      <c r="K288" s="10">
        <f>VLOOKUP(A288,dataset_2!$A$2:$G$611,2,0)</f>
        <v>0.1364</v>
      </c>
      <c r="L288" s="10">
        <f>VLOOKUP(A288,dataset_2!$A$2:$G$611,3,0)</f>
        <v>0.28</v>
      </c>
      <c r="M288" s="10">
        <f>VLOOKUP(A288,dataset_2!$A$2:$G$611,4,0)</f>
        <v>0.3582</v>
      </c>
      <c r="N288" s="10">
        <f>VLOOKUP(A288,dataset_2!$A$2:$G$611,5,0)</f>
        <v>13</v>
      </c>
      <c r="O288" s="10">
        <f>VLOOKUP(A288,dataset_2!$A$2:$G$611,6,0)</f>
        <v>64</v>
      </c>
      <c r="P288" s="10">
        <f>VLOOKUP(A288,dataset_2!$A$2:$G$611,7,0)</f>
        <v>77</v>
      </c>
      <c r="Q288" s="10"/>
      <c r="R288" s="10" t="str">
        <f t="shared" si="1"/>
        <v>OK</v>
      </c>
      <c r="S288" s="10">
        <f t="shared" si="2"/>
        <v>5</v>
      </c>
      <c r="T288" s="10" t="str">
        <f t="shared" si="3"/>
        <v>OK</v>
      </c>
      <c r="U288" s="10">
        <f t="shared" si="4"/>
        <v>1</v>
      </c>
      <c r="V288" s="10"/>
      <c r="W288" s="10"/>
      <c r="X288" s="10"/>
      <c r="Y288" s="10"/>
      <c r="Z288" s="10"/>
    </row>
    <row r="289" ht="13.5" customHeight="1">
      <c r="A289" s="3">
        <v>658.0</v>
      </c>
      <c r="B289" s="12">
        <v>40573.0</v>
      </c>
      <c r="C289" s="3">
        <v>1.0</v>
      </c>
      <c r="D289" s="3">
        <v>0.0</v>
      </c>
      <c r="E289" s="3">
        <v>1.0</v>
      </c>
      <c r="F289" s="3">
        <v>17.0</v>
      </c>
      <c r="G289" s="3" t="b">
        <f>FALSE()</f>
        <v>0</v>
      </c>
      <c r="H289" s="3">
        <v>0.0</v>
      </c>
      <c r="I289" s="3">
        <v>1.0</v>
      </c>
      <c r="J289" s="3">
        <v>0.3</v>
      </c>
      <c r="K289" s="3">
        <v>0.2879</v>
      </c>
      <c r="L289" s="3">
        <v>0.56</v>
      </c>
      <c r="M289" s="3">
        <v>0.194</v>
      </c>
      <c r="N289" s="3">
        <v>6.0</v>
      </c>
      <c r="O289" s="3">
        <v>71.0</v>
      </c>
      <c r="P289" s="3">
        <v>77.0</v>
      </c>
      <c r="Q289" s="10"/>
      <c r="R289" s="10" t="str">
        <f t="shared" si="1"/>
        <v>OK</v>
      </c>
      <c r="S289" s="10">
        <f t="shared" si="2"/>
        <v>5</v>
      </c>
      <c r="T289" s="10" t="str">
        <f t="shared" si="3"/>
        <v>OK</v>
      </c>
      <c r="U289" s="10">
        <f t="shared" si="4"/>
        <v>1</v>
      </c>
      <c r="V289" s="10"/>
      <c r="W289" s="10"/>
      <c r="X289" s="10"/>
      <c r="Y289" s="10"/>
      <c r="Z289" s="10"/>
    </row>
    <row r="290" ht="13.5" customHeight="1">
      <c r="A290" s="10">
        <f>dataset_1!A41</f>
        <v>40</v>
      </c>
      <c r="B290" s="11">
        <f>dataset_1!B41</f>
        <v>40545</v>
      </c>
      <c r="C290" s="10">
        <f>dataset_1!C41</f>
        <v>1</v>
      </c>
      <c r="D290" s="10">
        <f>dataset_1!D41</f>
        <v>0</v>
      </c>
      <c r="E290" s="10">
        <f>dataset_1!E41</f>
        <v>1</v>
      </c>
      <c r="F290" s="10">
        <f>dataset_1!F41</f>
        <v>16</v>
      </c>
      <c r="G290" s="10" t="b">
        <f>dataset_1!G41</f>
        <v>0</v>
      </c>
      <c r="H290" s="10">
        <f>dataset_1!H41</f>
        <v>0</v>
      </c>
      <c r="I290" s="10">
        <f>dataset_1!I41</f>
        <v>3</v>
      </c>
      <c r="J290" s="10">
        <f>dataset_1!J41</f>
        <v>0.34</v>
      </c>
      <c r="K290" s="10">
        <f>VLOOKUP(A290,dataset_2!$A$2:$G$611,2,0)</f>
        <v>0.3333</v>
      </c>
      <c r="L290" s="10">
        <f>VLOOKUP(A290,dataset_2!$A$2:$G$611,3,0)</f>
        <v>0.71</v>
      </c>
      <c r="M290" s="10">
        <f>VLOOKUP(A290,dataset_2!$A$2:$G$611,4,0)</f>
        <v>0.1642</v>
      </c>
      <c r="N290" s="10">
        <f>VLOOKUP(A290,dataset_2!$A$2:$G$611,5,0)</f>
        <v>9</v>
      </c>
      <c r="O290" s="10">
        <f>VLOOKUP(A290,dataset_2!$A$2:$G$611,6,0)</f>
        <v>67</v>
      </c>
      <c r="P290" s="10">
        <f>VLOOKUP(A290,dataset_2!$A$2:$G$611,7,0)</f>
        <v>76</v>
      </c>
      <c r="Q290" s="10"/>
      <c r="R290" s="10" t="str">
        <f t="shared" si="1"/>
        <v>OK</v>
      </c>
      <c r="S290" s="10">
        <f t="shared" si="2"/>
        <v>5</v>
      </c>
      <c r="T290" s="10" t="str">
        <f t="shared" si="3"/>
        <v>OK</v>
      </c>
      <c r="U290" s="10">
        <f t="shared" si="4"/>
        <v>1</v>
      </c>
      <c r="V290" s="10"/>
      <c r="W290" s="10"/>
      <c r="X290" s="10"/>
      <c r="Y290" s="10"/>
      <c r="Z290" s="10"/>
    </row>
    <row r="291" ht="13.5" customHeight="1">
      <c r="A291" s="10">
        <f>dataset_1!A63</f>
        <v>62</v>
      </c>
      <c r="B291" s="11">
        <f>dataset_1!B63</f>
        <v>40546</v>
      </c>
      <c r="C291" s="10">
        <f>dataset_1!C63</f>
        <v>1</v>
      </c>
      <c r="D291" s="10">
        <f>dataset_1!D63</f>
        <v>0</v>
      </c>
      <c r="E291" s="10">
        <f>dataset_1!E63</f>
        <v>1</v>
      </c>
      <c r="F291" s="10">
        <f>dataset_1!F63</f>
        <v>16</v>
      </c>
      <c r="G291" s="10" t="b">
        <f>dataset_1!G63</f>
        <v>0</v>
      </c>
      <c r="H291" s="10">
        <f>dataset_1!H63</f>
        <v>1</v>
      </c>
      <c r="I291" s="10">
        <f>dataset_1!I63</f>
        <v>1</v>
      </c>
      <c r="J291" s="10">
        <f>dataset_1!J63</f>
        <v>0.26</v>
      </c>
      <c r="K291" s="10">
        <f>VLOOKUP(A291,dataset_2!$A$2:$G$611,2,0)</f>
        <v>0.2424</v>
      </c>
      <c r="L291" s="10">
        <f>VLOOKUP(A291,dataset_2!$A$2:$G$611,3,0)</f>
        <v>0.3</v>
      </c>
      <c r="M291" s="10">
        <f>VLOOKUP(A291,dataset_2!$A$2:$G$611,4,0)</f>
        <v>0.2537</v>
      </c>
      <c r="N291" s="10">
        <f>VLOOKUP(A291,dataset_2!$A$2:$G$611,5,0)</f>
        <v>9</v>
      </c>
      <c r="O291" s="10">
        <f>VLOOKUP(A291,dataset_2!$A$2:$G$611,6,0)</f>
        <v>67</v>
      </c>
      <c r="P291" s="10">
        <f>VLOOKUP(A291,dataset_2!$A$2:$G$611,7,0)</f>
        <v>76</v>
      </c>
      <c r="Q291" s="10"/>
      <c r="R291" s="10" t="str">
        <f t="shared" si="1"/>
        <v>OK</v>
      </c>
      <c r="S291" s="10">
        <f t="shared" si="2"/>
        <v>5</v>
      </c>
      <c r="T291" s="10" t="str">
        <f t="shared" si="3"/>
        <v>OK</v>
      </c>
      <c r="U291" s="10">
        <f t="shared" si="4"/>
        <v>1</v>
      </c>
      <c r="V291" s="10"/>
      <c r="W291" s="10"/>
      <c r="X291" s="10"/>
      <c r="Y291" s="10"/>
      <c r="Z291" s="10"/>
    </row>
    <row r="292" ht="13.5" customHeight="1">
      <c r="A292" s="10">
        <f>dataset_1!A179</f>
        <v>178</v>
      </c>
      <c r="B292" s="11">
        <f>dataset_1!B179</f>
        <v>40551</v>
      </c>
      <c r="C292" s="10">
        <f>dataset_1!C179</f>
        <v>1</v>
      </c>
      <c r="D292" s="10">
        <f>dataset_1!D179</f>
        <v>0</v>
      </c>
      <c r="E292" s="10">
        <f>dataset_1!E179</f>
        <v>1</v>
      </c>
      <c r="F292" s="10">
        <f>dataset_1!F179</f>
        <v>16</v>
      </c>
      <c r="G292" s="10" t="b">
        <f>dataset_1!G179</f>
        <v>0</v>
      </c>
      <c r="H292" s="10">
        <f>dataset_1!H179</f>
        <v>6</v>
      </c>
      <c r="I292" s="10">
        <f>dataset_1!I179</f>
        <v>1</v>
      </c>
      <c r="J292" s="10">
        <f>dataset_1!J179</f>
        <v>0.18</v>
      </c>
      <c r="K292" s="10">
        <f>VLOOKUP(A292,dataset_2!$A$2:$G$611,2,0)</f>
        <v>0.1364</v>
      </c>
      <c r="L292" s="10">
        <f>VLOOKUP(A292,dataset_2!$A$2:$G$611,3,0)</f>
        <v>0.29</v>
      </c>
      <c r="M292" s="10">
        <f>VLOOKUP(A292,dataset_2!$A$2:$G$611,4,0)</f>
        <v>0.4478</v>
      </c>
      <c r="N292" s="10">
        <f>VLOOKUP(A292,dataset_2!$A$2:$G$611,5,0)</f>
        <v>8</v>
      </c>
      <c r="O292" s="10">
        <f>VLOOKUP(A292,dataset_2!$A$2:$G$611,6,0)</f>
        <v>68</v>
      </c>
      <c r="P292" s="10">
        <f>VLOOKUP(A292,dataset_2!$A$2:$G$611,7,0)</f>
        <v>76</v>
      </c>
      <c r="Q292" s="10"/>
      <c r="R292" s="10" t="str">
        <f t="shared" si="1"/>
        <v>OK</v>
      </c>
      <c r="S292" s="10">
        <f t="shared" si="2"/>
        <v>5</v>
      </c>
      <c r="T292" s="10" t="str">
        <f t="shared" si="3"/>
        <v>OK</v>
      </c>
      <c r="U292" s="10">
        <f t="shared" si="4"/>
        <v>1</v>
      </c>
      <c r="V292" s="10"/>
      <c r="W292" s="10"/>
      <c r="X292" s="10"/>
      <c r="Y292" s="10"/>
      <c r="Z292" s="10"/>
    </row>
    <row r="293" ht="13.5" customHeight="1">
      <c r="A293" s="10">
        <f>dataset_1!A249</f>
        <v>248</v>
      </c>
      <c r="B293" s="11">
        <f>dataset_1!B249</f>
        <v>40554</v>
      </c>
      <c r="C293" s="10">
        <f>dataset_1!C249</f>
        <v>1</v>
      </c>
      <c r="D293" s="10">
        <f>dataset_1!D249</f>
        <v>0</v>
      </c>
      <c r="E293" s="10">
        <f>dataset_1!E249</f>
        <v>1</v>
      </c>
      <c r="F293" s="10">
        <f>dataset_1!F249</f>
        <v>16</v>
      </c>
      <c r="G293" s="10" t="b">
        <f>dataset_1!G249</f>
        <v>0</v>
      </c>
      <c r="H293" s="10">
        <f>dataset_1!H249</f>
        <v>2</v>
      </c>
      <c r="I293" s="10">
        <f>dataset_1!I249</f>
        <v>2</v>
      </c>
      <c r="J293" s="10">
        <f>dataset_1!J249</f>
        <v>0.16</v>
      </c>
      <c r="K293" s="10">
        <f>VLOOKUP(A293,dataset_2!$A$2:$G$611,2,0)</f>
        <v>0.1515</v>
      </c>
      <c r="L293" s="10">
        <f>VLOOKUP(A293,dataset_2!$A$2:$G$611,3,0)</f>
        <v>0.86</v>
      </c>
      <c r="M293" s="10">
        <f>VLOOKUP(A293,dataset_2!$A$2:$G$611,4,0)</f>
        <v>0.2239</v>
      </c>
      <c r="N293" s="10">
        <f>VLOOKUP(A293,dataset_2!$A$2:$G$611,5,0)</f>
        <v>4</v>
      </c>
      <c r="O293" s="10">
        <f>VLOOKUP(A293,dataset_2!$A$2:$G$611,6,0)</f>
        <v>72</v>
      </c>
      <c r="P293" s="10">
        <f>VLOOKUP(A293,dataset_2!$A$2:$G$611,7,0)</f>
        <v>76</v>
      </c>
      <c r="Q293" s="10"/>
      <c r="R293" s="10" t="str">
        <f t="shared" si="1"/>
        <v>OK</v>
      </c>
      <c r="S293" s="10">
        <f t="shared" si="2"/>
        <v>5</v>
      </c>
      <c r="T293" s="10" t="str">
        <f t="shared" si="3"/>
        <v>OK</v>
      </c>
      <c r="U293" s="10">
        <f t="shared" si="4"/>
        <v>1</v>
      </c>
      <c r="V293" s="10"/>
      <c r="W293" s="10"/>
      <c r="X293" s="10"/>
      <c r="Y293" s="10"/>
      <c r="Z293" s="10"/>
    </row>
    <row r="294" ht="13.5" customHeight="1">
      <c r="A294" s="10">
        <f>dataset_1!A429</f>
        <v>428</v>
      </c>
      <c r="B294" s="11">
        <f>dataset_1!B429</f>
        <v>40562</v>
      </c>
      <c r="C294" s="10">
        <f>dataset_1!C429</f>
        <v>1</v>
      </c>
      <c r="D294" s="10">
        <f>dataset_1!D429</f>
        <v>0</v>
      </c>
      <c r="E294" s="10">
        <f>dataset_1!E429</f>
        <v>1</v>
      </c>
      <c r="F294" s="10">
        <f>dataset_1!F429</f>
        <v>20</v>
      </c>
      <c r="G294" s="10" t="b">
        <f>dataset_1!G429</f>
        <v>0</v>
      </c>
      <c r="H294" s="10">
        <f>dataset_1!H429</f>
        <v>3</v>
      </c>
      <c r="I294" s="10">
        <f>dataset_1!I429</f>
        <v>1</v>
      </c>
      <c r="J294" s="10">
        <f>dataset_1!J429</f>
        <v>0.32</v>
      </c>
      <c r="K294" s="10">
        <f>VLOOKUP(A294,dataset_2!$A$2:$G$611,2,0)</f>
        <v>0.303</v>
      </c>
      <c r="L294" s="10">
        <f>VLOOKUP(A294,dataset_2!$A$2:$G$611,3,0)</f>
        <v>0.49</v>
      </c>
      <c r="M294" s="10">
        <f>VLOOKUP(A294,dataset_2!$A$2:$G$611,4,0)</f>
        <v>0.2985</v>
      </c>
      <c r="N294" s="10">
        <f>VLOOKUP(A294,dataset_2!$A$2:$G$611,5,0)</f>
        <v>2</v>
      </c>
      <c r="O294" s="10">
        <f>VLOOKUP(A294,dataset_2!$A$2:$G$611,6,0)</f>
        <v>74</v>
      </c>
      <c r="P294" s="10">
        <f>VLOOKUP(A294,dataset_2!$A$2:$G$611,7,0)</f>
        <v>76</v>
      </c>
      <c r="Q294" s="10"/>
      <c r="R294" s="10" t="str">
        <f t="shared" si="1"/>
        <v>OK</v>
      </c>
      <c r="S294" s="10">
        <f t="shared" si="2"/>
        <v>5</v>
      </c>
      <c r="T294" s="10" t="str">
        <f t="shared" si="3"/>
        <v>OK</v>
      </c>
      <c r="U294" s="10">
        <f t="shared" si="4"/>
        <v>1</v>
      </c>
      <c r="V294" s="10"/>
      <c r="W294" s="10"/>
      <c r="X294" s="10"/>
      <c r="Y294" s="10"/>
      <c r="Z294" s="10"/>
    </row>
    <row r="295" ht="13.5" customHeight="1">
      <c r="A295" s="3">
        <v>727.0</v>
      </c>
      <c r="B295" s="12">
        <v>40576.0</v>
      </c>
      <c r="C295" s="3">
        <v>1.0</v>
      </c>
      <c r="D295" s="3">
        <v>0.0</v>
      </c>
      <c r="E295" s="3">
        <v>2.0</v>
      </c>
      <c r="F295" s="3">
        <v>15.0</v>
      </c>
      <c r="G295" s="3" t="b">
        <f>FALSE()</f>
        <v>0</v>
      </c>
      <c r="H295" s="3">
        <v>3.0</v>
      </c>
      <c r="I295" s="3">
        <v>1.0</v>
      </c>
      <c r="J295" s="3">
        <v>0.38</v>
      </c>
      <c r="K295" s="3">
        <v>0.3939</v>
      </c>
      <c r="L295" s="3">
        <v>0.76</v>
      </c>
      <c r="M295" s="3">
        <v>0.3284</v>
      </c>
      <c r="N295" s="3">
        <v>10.0</v>
      </c>
      <c r="O295" s="3">
        <v>66.0</v>
      </c>
      <c r="P295" s="3">
        <v>76.0</v>
      </c>
      <c r="Q295" s="10"/>
      <c r="R295" s="10" t="str">
        <f t="shared" si="1"/>
        <v>OK</v>
      </c>
      <c r="S295" s="10">
        <f t="shared" si="2"/>
        <v>5</v>
      </c>
      <c r="T295" s="10" t="str">
        <f t="shared" si="3"/>
        <v>OK</v>
      </c>
      <c r="U295" s="10">
        <f t="shared" si="4"/>
        <v>1</v>
      </c>
      <c r="V295" s="10"/>
      <c r="W295" s="10"/>
      <c r="X295" s="10"/>
      <c r="Y295" s="10"/>
      <c r="Z295" s="10"/>
    </row>
    <row r="296" ht="13.5" customHeight="1">
      <c r="A296" s="10">
        <f>dataset_1!A38</f>
        <v>37</v>
      </c>
      <c r="B296" s="11">
        <f>dataset_1!B38</f>
        <v>40545</v>
      </c>
      <c r="C296" s="10">
        <f>dataset_1!C38</f>
        <v>1</v>
      </c>
      <c r="D296" s="10">
        <f>dataset_1!D38</f>
        <v>0</v>
      </c>
      <c r="E296" s="10">
        <f>dataset_1!E38</f>
        <v>1</v>
      </c>
      <c r="F296" s="10">
        <f>dataset_1!F38</f>
        <v>13</v>
      </c>
      <c r="G296" s="10" t="b">
        <f>dataset_1!G38</f>
        <v>0</v>
      </c>
      <c r="H296" s="10">
        <f>dataset_1!H38</f>
        <v>0</v>
      </c>
      <c r="I296" s="10">
        <f>dataset_1!I38</f>
        <v>2</v>
      </c>
      <c r="J296" s="10">
        <f>dataset_1!J38</f>
        <v>0.36</v>
      </c>
      <c r="K296" s="10">
        <f>VLOOKUP(A296,dataset_2!$A$2:$G$611,2,0)</f>
        <v>0.3485</v>
      </c>
      <c r="L296" s="10">
        <f>VLOOKUP(A296,dataset_2!$A$2:$G$611,3,0)</f>
        <v>0.66</v>
      </c>
      <c r="M296" s="10">
        <f>VLOOKUP(A296,dataset_2!$A$2:$G$611,4,0)</f>
        <v>0.1343</v>
      </c>
      <c r="N296" s="10">
        <f>VLOOKUP(A296,dataset_2!$A$2:$G$611,5,0)</f>
        <v>11</v>
      </c>
      <c r="O296" s="10">
        <f>VLOOKUP(A296,dataset_2!$A$2:$G$611,6,0)</f>
        <v>64</v>
      </c>
      <c r="P296" s="10">
        <f>VLOOKUP(A296,dataset_2!$A$2:$G$611,7,0)</f>
        <v>75</v>
      </c>
      <c r="Q296" s="10"/>
      <c r="R296" s="10" t="str">
        <f t="shared" si="1"/>
        <v>OK</v>
      </c>
      <c r="S296" s="10">
        <f t="shared" si="2"/>
        <v>5</v>
      </c>
      <c r="T296" s="10" t="str">
        <f t="shared" si="3"/>
        <v>OK</v>
      </c>
      <c r="U296" s="10">
        <f t="shared" si="4"/>
        <v>1</v>
      </c>
      <c r="V296" s="10"/>
      <c r="W296" s="10"/>
      <c r="X296" s="10"/>
      <c r="Y296" s="10"/>
      <c r="Z296" s="10"/>
    </row>
    <row r="297" ht="13.5" customHeight="1">
      <c r="A297" s="10">
        <f>dataset_1!A200</f>
        <v>199</v>
      </c>
      <c r="B297" s="11">
        <f>dataset_1!B200</f>
        <v>40552</v>
      </c>
      <c r="C297" s="10">
        <f>dataset_1!C200</f>
        <v>1</v>
      </c>
      <c r="D297" s="10">
        <f>dataset_1!D200</f>
        <v>0</v>
      </c>
      <c r="E297" s="10">
        <f>dataset_1!E200</f>
        <v>1</v>
      </c>
      <c r="F297" s="10">
        <f>dataset_1!F200</f>
        <v>13</v>
      </c>
      <c r="G297" s="10" t="b">
        <f>dataset_1!G200</f>
        <v>0</v>
      </c>
      <c r="H297" s="10">
        <f>dataset_1!H200</f>
        <v>0</v>
      </c>
      <c r="I297" s="10">
        <f>dataset_1!I200</f>
        <v>1</v>
      </c>
      <c r="J297" s="10">
        <f>dataset_1!J200</f>
        <v>0.2</v>
      </c>
      <c r="K297" s="10">
        <f>VLOOKUP(A297,dataset_2!$A$2:$G$611,2,0)</f>
        <v>0.1667</v>
      </c>
      <c r="L297" s="10">
        <f>VLOOKUP(A297,dataset_2!$A$2:$G$611,3,0)</f>
        <v>0.34</v>
      </c>
      <c r="M297" s="10">
        <f>VLOOKUP(A297,dataset_2!$A$2:$G$611,4,0)</f>
        <v>0.4478</v>
      </c>
      <c r="N297" s="10">
        <f>VLOOKUP(A297,dataset_2!$A$2:$G$611,5,0)</f>
        <v>6</v>
      </c>
      <c r="O297" s="10">
        <f>VLOOKUP(A297,dataset_2!$A$2:$G$611,6,0)</f>
        <v>69</v>
      </c>
      <c r="P297" s="10">
        <f>VLOOKUP(A297,dataset_2!$A$2:$G$611,7,0)</f>
        <v>75</v>
      </c>
      <c r="Q297" s="10"/>
      <c r="R297" s="10" t="str">
        <f t="shared" si="1"/>
        <v>OK</v>
      </c>
      <c r="S297" s="10">
        <f t="shared" si="2"/>
        <v>5</v>
      </c>
      <c r="T297" s="10" t="str">
        <f t="shared" si="3"/>
        <v>OK</v>
      </c>
      <c r="U297" s="10">
        <f t="shared" si="4"/>
        <v>1</v>
      </c>
      <c r="V297" s="10"/>
      <c r="W297" s="10"/>
      <c r="X297" s="10"/>
      <c r="Y297" s="10"/>
      <c r="Z297" s="10"/>
    </row>
    <row r="298" ht="13.5" customHeight="1">
      <c r="A298" s="10">
        <f>dataset_1!A423</f>
        <v>422</v>
      </c>
      <c r="B298" s="11">
        <f>dataset_1!B423</f>
        <v>40562</v>
      </c>
      <c r="C298" s="10">
        <f>dataset_1!C423</f>
        <v>1</v>
      </c>
      <c r="D298" s="10">
        <f>dataset_1!D423</f>
        <v>0</v>
      </c>
      <c r="E298" s="10">
        <f>dataset_1!E423</f>
        <v>1</v>
      </c>
      <c r="F298" s="10">
        <f>dataset_1!F423</f>
        <v>14</v>
      </c>
      <c r="G298" s="10" t="b">
        <f>dataset_1!G423</f>
        <v>0</v>
      </c>
      <c r="H298" s="10">
        <f>dataset_1!H423</f>
        <v>3</v>
      </c>
      <c r="I298" s="10">
        <f>dataset_1!I423</f>
        <v>1</v>
      </c>
      <c r="J298" s="10">
        <f>dataset_1!J423</f>
        <v>0.4</v>
      </c>
      <c r="K298" s="10">
        <f>VLOOKUP(A298,dataset_2!$A$2:$G$611,2,0)</f>
        <v>0.4091</v>
      </c>
      <c r="L298" s="10">
        <f>VLOOKUP(A298,dataset_2!$A$2:$G$611,3,0)</f>
        <v>0.58</v>
      </c>
      <c r="M298" s="10">
        <f>VLOOKUP(A298,dataset_2!$A$2:$G$611,4,0)</f>
        <v>0.2537</v>
      </c>
      <c r="N298" s="10">
        <f>VLOOKUP(A298,dataset_2!$A$2:$G$611,5,0)</f>
        <v>7</v>
      </c>
      <c r="O298" s="10">
        <f>VLOOKUP(A298,dataset_2!$A$2:$G$611,6,0)</f>
        <v>68</v>
      </c>
      <c r="P298" s="10">
        <f>VLOOKUP(A298,dataset_2!$A$2:$G$611,7,0)</f>
        <v>75</v>
      </c>
      <c r="Q298" s="10"/>
      <c r="R298" s="10" t="str">
        <f t="shared" si="1"/>
        <v>OK</v>
      </c>
      <c r="S298" s="10">
        <f t="shared" si="2"/>
        <v>5</v>
      </c>
      <c r="T298" s="10" t="str">
        <f t="shared" si="3"/>
        <v>OK</v>
      </c>
      <c r="U298" s="10">
        <f t="shared" si="4"/>
        <v>1</v>
      </c>
      <c r="V298" s="10"/>
      <c r="W298" s="10"/>
      <c r="X298" s="10"/>
      <c r="Y298" s="10"/>
      <c r="Z298" s="10"/>
    </row>
    <row r="299" ht="13.5" customHeight="1">
      <c r="A299" s="10">
        <f>dataset_1!A494</f>
        <v>493</v>
      </c>
      <c r="B299" s="11">
        <f>dataset_1!B494</f>
        <v>40565</v>
      </c>
      <c r="C299" s="10">
        <f>dataset_1!C494</f>
        <v>1</v>
      </c>
      <c r="D299" s="10">
        <f>dataset_1!D494</f>
        <v>0</v>
      </c>
      <c r="E299" s="10">
        <f>dataset_1!E494</f>
        <v>1</v>
      </c>
      <c r="F299" s="10">
        <f>dataset_1!F494</f>
        <v>14</v>
      </c>
      <c r="G299" s="10" t="b">
        <f>dataset_1!G494</f>
        <v>0</v>
      </c>
      <c r="H299" s="10">
        <f>dataset_1!H494</f>
        <v>6</v>
      </c>
      <c r="I299" s="10">
        <f>dataset_1!I494</f>
        <v>1</v>
      </c>
      <c r="J299" s="10">
        <f>dataset_1!J494</f>
        <v>0.1</v>
      </c>
      <c r="K299" s="10">
        <f>VLOOKUP(A299,dataset_2!$A$2:$G$611,2,0)</f>
        <v>0.1364</v>
      </c>
      <c r="L299" s="10">
        <f>VLOOKUP(A299,dataset_2!$A$2:$G$611,3,0)</f>
        <v>0.33</v>
      </c>
      <c r="M299" s="10">
        <f>VLOOKUP(A299,dataset_2!$A$2:$G$611,4,0)</f>
        <v>0.1045</v>
      </c>
      <c r="N299" s="10">
        <f>VLOOKUP(A299,dataset_2!$A$2:$G$611,5,0)</f>
        <v>11</v>
      </c>
      <c r="O299" s="10">
        <f>VLOOKUP(A299,dataset_2!$A$2:$G$611,6,0)</f>
        <v>64</v>
      </c>
      <c r="P299" s="10">
        <f>VLOOKUP(A299,dataset_2!$A$2:$G$611,7,0)</f>
        <v>75</v>
      </c>
      <c r="Q299" s="10"/>
      <c r="R299" s="10" t="str">
        <f t="shared" si="1"/>
        <v>OK</v>
      </c>
      <c r="S299" s="10">
        <f t="shared" si="2"/>
        <v>5</v>
      </c>
      <c r="T299" s="10" t="str">
        <f t="shared" si="3"/>
        <v>OK</v>
      </c>
      <c r="U299" s="10">
        <f t="shared" si="4"/>
        <v>1</v>
      </c>
      <c r="V299" s="10"/>
      <c r="W299" s="10"/>
      <c r="X299" s="10"/>
      <c r="Y299" s="10"/>
      <c r="Z299" s="10"/>
    </row>
    <row r="300" ht="13.5" customHeight="1">
      <c r="A300" s="3">
        <v>725.0</v>
      </c>
      <c r="B300" s="12">
        <v>40576.0</v>
      </c>
      <c r="C300" s="3">
        <v>1.0</v>
      </c>
      <c r="D300" s="3">
        <v>0.0</v>
      </c>
      <c r="E300" s="3">
        <v>2.0</v>
      </c>
      <c r="F300" s="3">
        <v>13.0</v>
      </c>
      <c r="G300" s="3" t="b">
        <f t="shared" ref="G300:G301" si="37">FALSE()</f>
        <v>0</v>
      </c>
      <c r="H300" s="3">
        <v>3.0</v>
      </c>
      <c r="I300" s="3">
        <v>1.0</v>
      </c>
      <c r="J300" s="3">
        <v>0.34</v>
      </c>
      <c r="K300" s="3">
        <v>0.3333</v>
      </c>
      <c r="L300" s="3">
        <v>0.93</v>
      </c>
      <c r="M300" s="3">
        <v>0.1642</v>
      </c>
      <c r="N300" s="3">
        <v>1.0</v>
      </c>
      <c r="O300" s="3">
        <v>74.0</v>
      </c>
      <c r="P300" s="3">
        <v>75.0</v>
      </c>
      <c r="Q300" s="10"/>
      <c r="R300" s="10" t="str">
        <f t="shared" si="1"/>
        <v>OK</v>
      </c>
      <c r="S300" s="10">
        <f t="shared" si="2"/>
        <v>5</v>
      </c>
      <c r="T300" s="10" t="str">
        <f t="shared" si="3"/>
        <v>OK</v>
      </c>
      <c r="U300" s="10">
        <f t="shared" si="4"/>
        <v>1</v>
      </c>
      <c r="V300" s="10"/>
      <c r="W300" s="10"/>
      <c r="X300" s="10"/>
      <c r="Y300" s="10"/>
      <c r="Z300" s="10"/>
    </row>
    <row r="301" ht="13.5" customHeight="1">
      <c r="A301" s="3">
        <v>732.0</v>
      </c>
      <c r="B301" s="12">
        <v>40576.0</v>
      </c>
      <c r="C301" s="3">
        <v>1.0</v>
      </c>
      <c r="D301" s="3">
        <v>0.0</v>
      </c>
      <c r="E301" s="3">
        <v>2.0</v>
      </c>
      <c r="F301" s="3">
        <v>20.0</v>
      </c>
      <c r="G301" s="3" t="b">
        <f t="shared" si="37"/>
        <v>0</v>
      </c>
      <c r="H301" s="3">
        <v>3.0</v>
      </c>
      <c r="I301" s="3">
        <v>1.0</v>
      </c>
      <c r="J301" s="3">
        <v>0.24</v>
      </c>
      <c r="K301" s="3">
        <v>0.197</v>
      </c>
      <c r="L301" s="3">
        <v>0.48</v>
      </c>
      <c r="M301" s="3">
        <v>0.5522</v>
      </c>
      <c r="N301" s="3">
        <v>4.0</v>
      </c>
      <c r="O301" s="3">
        <v>71.0</v>
      </c>
      <c r="P301" s="3">
        <v>75.0</v>
      </c>
      <c r="Q301" s="10"/>
      <c r="R301" s="10" t="str">
        <f t="shared" si="1"/>
        <v>OK</v>
      </c>
      <c r="S301" s="10">
        <f t="shared" si="2"/>
        <v>5</v>
      </c>
      <c r="T301" s="10" t="str">
        <f t="shared" si="3"/>
        <v>OK</v>
      </c>
      <c r="U301" s="10">
        <f t="shared" si="4"/>
        <v>1</v>
      </c>
      <c r="V301" s="10"/>
      <c r="W301" s="10"/>
      <c r="X301" s="10"/>
      <c r="Y301" s="10"/>
      <c r="Z301" s="10"/>
    </row>
    <row r="302" ht="13.5" customHeight="1">
      <c r="A302" s="10">
        <f>dataset_1!A40</f>
        <v>39</v>
      </c>
      <c r="B302" s="11">
        <f>dataset_1!B40</f>
        <v>40545</v>
      </c>
      <c r="C302" s="10">
        <f>dataset_1!C40</f>
        <v>1</v>
      </c>
      <c r="D302" s="10">
        <f>dataset_1!D40</f>
        <v>0</v>
      </c>
      <c r="E302" s="10">
        <f>dataset_1!E40</f>
        <v>1</v>
      </c>
      <c r="F302" s="10">
        <f>dataset_1!F40</f>
        <v>15</v>
      </c>
      <c r="G302" s="10" t="b">
        <f>dataset_1!G40</f>
        <v>0</v>
      </c>
      <c r="H302" s="10">
        <f>dataset_1!H40</f>
        <v>0</v>
      </c>
      <c r="I302" s="10">
        <f>dataset_1!I40</f>
        <v>3</v>
      </c>
      <c r="J302" s="10">
        <f>dataset_1!J40</f>
        <v>0.34</v>
      </c>
      <c r="K302" s="10">
        <f>VLOOKUP(A302,dataset_2!$A$2:$G$611,2,0)</f>
        <v>0.3333</v>
      </c>
      <c r="L302" s="10">
        <f>VLOOKUP(A302,dataset_2!$A$2:$G$611,3,0)</f>
        <v>0.81</v>
      </c>
      <c r="M302" s="10">
        <f>VLOOKUP(A302,dataset_2!$A$2:$G$611,4,0)</f>
        <v>0.1642</v>
      </c>
      <c r="N302" s="10">
        <f>VLOOKUP(A302,dataset_2!$A$2:$G$611,5,0)</f>
        <v>19</v>
      </c>
      <c r="O302" s="10">
        <f>VLOOKUP(A302,dataset_2!$A$2:$G$611,6,0)</f>
        <v>55</v>
      </c>
      <c r="P302" s="10">
        <f>VLOOKUP(A302,dataset_2!$A$2:$G$611,7,0)</f>
        <v>74</v>
      </c>
      <c r="Q302" s="10"/>
      <c r="R302" s="10" t="str">
        <f t="shared" si="1"/>
        <v>OK</v>
      </c>
      <c r="S302" s="10">
        <f t="shared" si="2"/>
        <v>5</v>
      </c>
      <c r="T302" s="10" t="str">
        <f t="shared" si="3"/>
        <v>OK</v>
      </c>
      <c r="U302" s="10">
        <f t="shared" si="4"/>
        <v>1</v>
      </c>
      <c r="V302" s="10"/>
      <c r="W302" s="10"/>
      <c r="X302" s="10"/>
      <c r="Y302" s="10"/>
      <c r="Z302" s="10"/>
    </row>
    <row r="303" ht="13.5" customHeight="1">
      <c r="A303" s="10">
        <f>dataset_1!A178</f>
        <v>177</v>
      </c>
      <c r="B303" s="11">
        <f>dataset_1!B178</f>
        <v>40551</v>
      </c>
      <c r="C303" s="10">
        <f>dataset_1!C178</f>
        <v>1</v>
      </c>
      <c r="D303" s="10">
        <f>dataset_1!D178</f>
        <v>0</v>
      </c>
      <c r="E303" s="10">
        <f>dataset_1!E178</f>
        <v>1</v>
      </c>
      <c r="F303" s="10">
        <f>dataset_1!F178</f>
        <v>15</v>
      </c>
      <c r="G303" s="10" t="b">
        <f>dataset_1!G178</f>
        <v>0</v>
      </c>
      <c r="H303" s="10">
        <f>dataset_1!H178</f>
        <v>6</v>
      </c>
      <c r="I303" s="10">
        <f>dataset_1!I178</f>
        <v>1</v>
      </c>
      <c r="J303" s="10">
        <f>dataset_1!J178</f>
        <v>0.2</v>
      </c>
      <c r="K303" s="10">
        <f>VLOOKUP(A303,dataset_2!$A$2:$G$611,2,0)</f>
        <v>0.1667</v>
      </c>
      <c r="L303" s="10">
        <f>VLOOKUP(A303,dataset_2!$A$2:$G$611,3,0)</f>
        <v>0.32</v>
      </c>
      <c r="M303" s="10">
        <f>VLOOKUP(A303,dataset_2!$A$2:$G$611,4,0)</f>
        <v>0.4478</v>
      </c>
      <c r="N303" s="10">
        <f>VLOOKUP(A303,dataset_2!$A$2:$G$611,5,0)</f>
        <v>5</v>
      </c>
      <c r="O303" s="10">
        <f>VLOOKUP(A303,dataset_2!$A$2:$G$611,6,0)</f>
        <v>69</v>
      </c>
      <c r="P303" s="10">
        <f>VLOOKUP(A303,dataset_2!$A$2:$G$611,7,0)</f>
        <v>74</v>
      </c>
      <c r="Q303" s="10"/>
      <c r="R303" s="10" t="str">
        <f t="shared" si="1"/>
        <v>OK</v>
      </c>
      <c r="S303" s="10">
        <f t="shared" si="2"/>
        <v>5</v>
      </c>
      <c r="T303" s="10" t="str">
        <f t="shared" si="3"/>
        <v>OK</v>
      </c>
      <c r="U303" s="10">
        <f t="shared" si="4"/>
        <v>1</v>
      </c>
      <c r="V303" s="10"/>
      <c r="W303" s="10"/>
      <c r="X303" s="10"/>
      <c r="Y303" s="10"/>
      <c r="Z303" s="10"/>
    </row>
    <row r="304" ht="13.5" customHeight="1">
      <c r="A304" s="10">
        <f>dataset_1!A227</f>
        <v>226</v>
      </c>
      <c r="B304" s="11">
        <f>dataset_1!B227</f>
        <v>40553</v>
      </c>
      <c r="C304" s="10">
        <f>dataset_1!C227</f>
        <v>1</v>
      </c>
      <c r="D304" s="10">
        <f>dataset_1!D227</f>
        <v>0</v>
      </c>
      <c r="E304" s="10">
        <f>dataset_1!E227</f>
        <v>1</v>
      </c>
      <c r="F304" s="10">
        <f>dataset_1!F227</f>
        <v>16</v>
      </c>
      <c r="G304" s="10" t="b">
        <f>dataset_1!G227</f>
        <v>0</v>
      </c>
      <c r="H304" s="10">
        <f>dataset_1!H227</f>
        <v>1</v>
      </c>
      <c r="I304" s="10">
        <f>dataset_1!I227</f>
        <v>1</v>
      </c>
      <c r="J304" s="10">
        <f>dataset_1!J227</f>
        <v>0.2</v>
      </c>
      <c r="K304" s="10">
        <f>VLOOKUP(A304,dataset_2!$A$2:$G$611,2,0)</f>
        <v>0.2121</v>
      </c>
      <c r="L304" s="10">
        <f>VLOOKUP(A304,dataset_2!$A$2:$G$611,3,0)</f>
        <v>0.4</v>
      </c>
      <c r="M304" s="10">
        <f>VLOOKUP(A304,dataset_2!$A$2:$G$611,4,0)</f>
        <v>0.1343</v>
      </c>
      <c r="N304" s="10">
        <f>VLOOKUP(A304,dataset_2!$A$2:$G$611,5,0)</f>
        <v>4</v>
      </c>
      <c r="O304" s="10">
        <f>VLOOKUP(A304,dataset_2!$A$2:$G$611,6,0)</f>
        <v>70</v>
      </c>
      <c r="P304" s="10">
        <f>VLOOKUP(A304,dataset_2!$A$2:$G$611,7,0)</f>
        <v>74</v>
      </c>
      <c r="Q304" s="10"/>
      <c r="R304" s="10" t="str">
        <f t="shared" si="1"/>
        <v>OK</v>
      </c>
      <c r="S304" s="10">
        <f t="shared" si="2"/>
        <v>5</v>
      </c>
      <c r="T304" s="10" t="str">
        <f t="shared" si="3"/>
        <v>OK</v>
      </c>
      <c r="U304" s="10">
        <f t="shared" si="4"/>
        <v>1</v>
      </c>
      <c r="V304" s="10"/>
      <c r="W304" s="10"/>
      <c r="X304" s="10"/>
      <c r="Y304" s="10"/>
      <c r="Z304" s="10"/>
    </row>
    <row r="305" ht="13.5" customHeight="1">
      <c r="A305" s="10">
        <f>dataset_1!A231</f>
        <v>230</v>
      </c>
      <c r="B305" s="11">
        <f>dataset_1!B231</f>
        <v>40553</v>
      </c>
      <c r="C305" s="10">
        <f>dataset_1!C231</f>
        <v>1</v>
      </c>
      <c r="D305" s="10">
        <f>dataset_1!D231</f>
        <v>0</v>
      </c>
      <c r="E305" s="10">
        <f>dataset_1!E231</f>
        <v>1</v>
      </c>
      <c r="F305" s="10">
        <f>dataset_1!F231</f>
        <v>20</v>
      </c>
      <c r="G305" s="10" t="b">
        <f>dataset_1!G231</f>
        <v>0</v>
      </c>
      <c r="H305" s="10">
        <f>dataset_1!H231</f>
        <v>1</v>
      </c>
      <c r="I305" s="10">
        <f>dataset_1!I231</f>
        <v>1</v>
      </c>
      <c r="J305" s="10">
        <f>dataset_1!J231</f>
        <v>0.16</v>
      </c>
      <c r="K305" s="10">
        <f>VLOOKUP(A305,dataset_2!$A$2:$G$611,2,0)</f>
        <v>0.1667</v>
      </c>
      <c r="L305" s="10">
        <f>VLOOKUP(A305,dataset_2!$A$2:$G$611,3,0)</f>
        <v>0.5</v>
      </c>
      <c r="M305" s="10">
        <f>VLOOKUP(A305,dataset_2!$A$2:$G$611,4,0)</f>
        <v>0.1642</v>
      </c>
      <c r="N305" s="10">
        <f>VLOOKUP(A305,dataset_2!$A$2:$G$611,5,0)</f>
        <v>1</v>
      </c>
      <c r="O305" s="10">
        <f>VLOOKUP(A305,dataset_2!$A$2:$G$611,6,0)</f>
        <v>73</v>
      </c>
      <c r="P305" s="10">
        <f>VLOOKUP(A305,dataset_2!$A$2:$G$611,7,0)</f>
        <v>74</v>
      </c>
      <c r="Q305" s="10"/>
      <c r="R305" s="10" t="str">
        <f t="shared" si="1"/>
        <v>OK</v>
      </c>
      <c r="S305" s="10">
        <f t="shared" si="2"/>
        <v>5</v>
      </c>
      <c r="T305" s="10" t="str">
        <f t="shared" si="3"/>
        <v>OK</v>
      </c>
      <c r="U305" s="10">
        <f t="shared" si="4"/>
        <v>1</v>
      </c>
      <c r="V305" s="10"/>
      <c r="W305" s="10"/>
      <c r="X305" s="10"/>
      <c r="Y305" s="10"/>
      <c r="Z305" s="10"/>
    </row>
    <row r="306" ht="13.5" customHeight="1">
      <c r="A306" s="10">
        <f>dataset_1!A345</f>
        <v>344</v>
      </c>
      <c r="B306" s="11">
        <f>dataset_1!B345</f>
        <v>40558</v>
      </c>
      <c r="C306" s="10">
        <f>dataset_1!C345</f>
        <v>1</v>
      </c>
      <c r="D306" s="10">
        <f>dataset_1!D345</f>
        <v>0</v>
      </c>
      <c r="E306" s="10">
        <f>dataset_1!E345</f>
        <v>1</v>
      </c>
      <c r="F306" s="10">
        <f>dataset_1!F345</f>
        <v>19</v>
      </c>
      <c r="G306" s="10" t="b">
        <f>dataset_1!G345</f>
        <v>0</v>
      </c>
      <c r="H306" s="10">
        <f>dataset_1!H345</f>
        <v>6</v>
      </c>
      <c r="I306" s="10">
        <f>dataset_1!I345</f>
        <v>2</v>
      </c>
      <c r="J306" s="10">
        <f>dataset_1!J345</f>
        <v>0.32</v>
      </c>
      <c r="K306" s="10">
        <f>VLOOKUP(A306,dataset_2!$A$2:$G$611,2,0)</f>
        <v>0.303</v>
      </c>
      <c r="L306" s="10">
        <f>VLOOKUP(A306,dataset_2!$A$2:$G$611,3,0)</f>
        <v>0.39</v>
      </c>
      <c r="M306" s="10">
        <f>VLOOKUP(A306,dataset_2!$A$2:$G$611,4,0)</f>
        <v>0.2537</v>
      </c>
      <c r="N306" s="10">
        <f>VLOOKUP(A306,dataset_2!$A$2:$G$611,5,0)</f>
        <v>14</v>
      </c>
      <c r="O306" s="10">
        <f>VLOOKUP(A306,dataset_2!$A$2:$G$611,6,0)</f>
        <v>60</v>
      </c>
      <c r="P306" s="10">
        <f>VLOOKUP(A306,dataset_2!$A$2:$G$611,7,0)</f>
        <v>74</v>
      </c>
      <c r="Q306" s="10"/>
      <c r="R306" s="10" t="str">
        <f t="shared" si="1"/>
        <v>OK</v>
      </c>
      <c r="S306" s="10">
        <f t="shared" si="2"/>
        <v>5</v>
      </c>
      <c r="T306" s="10" t="str">
        <f t="shared" si="3"/>
        <v>OK</v>
      </c>
      <c r="U306" s="10">
        <f t="shared" si="4"/>
        <v>1</v>
      </c>
      <c r="V306" s="10"/>
      <c r="W306" s="10"/>
      <c r="X306" s="10"/>
      <c r="Y306" s="10"/>
      <c r="Z306" s="10"/>
    </row>
    <row r="307" ht="13.5" customHeight="1">
      <c r="A307" s="3">
        <v>708.0</v>
      </c>
      <c r="B307" s="12">
        <v>40575.0</v>
      </c>
      <c r="C307" s="3">
        <v>1.0</v>
      </c>
      <c r="D307" s="3">
        <v>0.0</v>
      </c>
      <c r="E307" s="3">
        <v>2.0</v>
      </c>
      <c r="F307" s="3">
        <v>20.0</v>
      </c>
      <c r="G307" s="3" t="b">
        <f t="shared" ref="G307:G309" si="38">FALSE()</f>
        <v>0</v>
      </c>
      <c r="H307" s="3">
        <v>2.0</v>
      </c>
      <c r="I307" s="3">
        <v>2.0</v>
      </c>
      <c r="J307" s="3">
        <v>0.22</v>
      </c>
      <c r="K307" s="3">
        <v>0.2273</v>
      </c>
      <c r="L307" s="3">
        <v>0.87</v>
      </c>
      <c r="M307" s="3">
        <v>0.1343</v>
      </c>
      <c r="N307" s="3">
        <v>5.0</v>
      </c>
      <c r="O307" s="3">
        <v>69.0</v>
      </c>
      <c r="P307" s="3">
        <v>74.0</v>
      </c>
      <c r="Q307" s="10"/>
      <c r="R307" s="10" t="str">
        <f t="shared" si="1"/>
        <v>OK</v>
      </c>
      <c r="S307" s="10">
        <f t="shared" si="2"/>
        <v>5</v>
      </c>
      <c r="T307" s="10" t="str">
        <f t="shared" si="3"/>
        <v>OK</v>
      </c>
      <c r="U307" s="10">
        <f t="shared" si="4"/>
        <v>1</v>
      </c>
      <c r="V307" s="10"/>
      <c r="W307" s="10"/>
      <c r="X307" s="10"/>
      <c r="Y307" s="10"/>
      <c r="Z307" s="10"/>
    </row>
    <row r="308" ht="13.5" customHeight="1">
      <c r="A308" s="3">
        <v>929.0</v>
      </c>
      <c r="B308" s="12">
        <v>40585.0</v>
      </c>
      <c r="C308" s="3">
        <v>1.0</v>
      </c>
      <c r="D308" s="3">
        <v>0.0</v>
      </c>
      <c r="E308" s="3">
        <v>2.0</v>
      </c>
      <c r="F308" s="3">
        <v>7.0</v>
      </c>
      <c r="G308" s="3" t="b">
        <f t="shared" si="38"/>
        <v>0</v>
      </c>
      <c r="H308" s="3">
        <v>5.0</v>
      </c>
      <c r="I308" s="3">
        <v>1.0</v>
      </c>
      <c r="J308" s="3">
        <v>0.08</v>
      </c>
      <c r="K308" s="3">
        <v>0.1667</v>
      </c>
      <c r="L308" s="3">
        <v>0.73</v>
      </c>
      <c r="M308" s="3">
        <v>0.0</v>
      </c>
      <c r="N308" s="3">
        <v>1.0</v>
      </c>
      <c r="O308" s="3">
        <v>73.0</v>
      </c>
      <c r="P308" s="3">
        <v>74.0</v>
      </c>
      <c r="Q308" s="10"/>
      <c r="R308" s="10" t="str">
        <f t="shared" si="1"/>
        <v>OK</v>
      </c>
      <c r="S308" s="10">
        <f t="shared" si="2"/>
        <v>5</v>
      </c>
      <c r="T308" s="10" t="str">
        <f t="shared" si="3"/>
        <v>OK</v>
      </c>
      <c r="U308" s="10">
        <f t="shared" si="4"/>
        <v>1</v>
      </c>
      <c r="V308" s="10"/>
      <c r="W308" s="10"/>
      <c r="X308" s="10"/>
      <c r="Y308" s="10"/>
      <c r="Z308" s="10"/>
    </row>
    <row r="309" ht="13.5" customHeight="1">
      <c r="A309" s="3">
        <v>937.0</v>
      </c>
      <c r="B309" s="12">
        <v>40585.0</v>
      </c>
      <c r="C309" s="3">
        <v>1.0</v>
      </c>
      <c r="D309" s="3">
        <v>0.0</v>
      </c>
      <c r="E309" s="3">
        <v>2.0</v>
      </c>
      <c r="F309" s="3">
        <v>15.0</v>
      </c>
      <c r="G309" s="3" t="b">
        <f t="shared" si="38"/>
        <v>0</v>
      </c>
      <c r="H309" s="3">
        <v>5.0</v>
      </c>
      <c r="I309" s="3">
        <v>1.0</v>
      </c>
      <c r="J309" s="3">
        <v>0.32</v>
      </c>
      <c r="K309" s="3">
        <v>0.3182</v>
      </c>
      <c r="L309" s="3">
        <v>0.21</v>
      </c>
      <c r="M309" s="3">
        <v>0.1642</v>
      </c>
      <c r="N309" s="3">
        <v>12.0</v>
      </c>
      <c r="O309" s="3">
        <v>62.0</v>
      </c>
      <c r="P309" s="3">
        <v>74.0</v>
      </c>
      <c r="Q309" s="10"/>
      <c r="R309" s="10" t="str">
        <f t="shared" si="1"/>
        <v>OK</v>
      </c>
      <c r="S309" s="10">
        <f t="shared" si="2"/>
        <v>5</v>
      </c>
      <c r="T309" s="10" t="str">
        <f t="shared" si="3"/>
        <v>OK</v>
      </c>
      <c r="U309" s="10">
        <f t="shared" si="4"/>
        <v>1</v>
      </c>
      <c r="V309" s="10"/>
      <c r="W309" s="10"/>
      <c r="X309" s="10"/>
      <c r="Y309" s="10"/>
      <c r="Z309" s="10"/>
    </row>
    <row r="310" ht="13.5" customHeight="1">
      <c r="A310" s="10">
        <f>dataset_1!A152</f>
        <v>151</v>
      </c>
      <c r="B310" s="11">
        <f>dataset_1!B152</f>
        <v>40550</v>
      </c>
      <c r="C310" s="10">
        <f>dataset_1!C152</f>
        <v>1</v>
      </c>
      <c r="D310" s="10">
        <f>dataset_1!D152</f>
        <v>0</v>
      </c>
      <c r="E310" s="10">
        <f>dataset_1!E152</f>
        <v>1</v>
      </c>
      <c r="F310" s="10">
        <f>dataset_1!F152</f>
        <v>13</v>
      </c>
      <c r="G310" s="10" t="b">
        <f>dataset_1!G152</f>
        <v>0</v>
      </c>
      <c r="H310" s="10">
        <f>dataset_1!H152</f>
        <v>5</v>
      </c>
      <c r="I310" s="10">
        <f>dataset_1!I152</f>
        <v>2</v>
      </c>
      <c r="J310" s="10">
        <f>dataset_1!J152</f>
        <v>0.2</v>
      </c>
      <c r="K310" s="10">
        <f>VLOOKUP(A310,dataset_2!$A$2:$G$611,2,0)</f>
        <v>0.1818</v>
      </c>
      <c r="L310" s="10">
        <f>VLOOKUP(A310,dataset_2!$A$2:$G$611,3,0)</f>
        <v>0.37</v>
      </c>
      <c r="M310" s="10">
        <f>VLOOKUP(A310,dataset_2!$A$2:$G$611,4,0)</f>
        <v>0.2836</v>
      </c>
      <c r="N310" s="10">
        <f>VLOOKUP(A310,dataset_2!$A$2:$G$611,5,0)</f>
        <v>9</v>
      </c>
      <c r="O310" s="10">
        <f>VLOOKUP(A310,dataset_2!$A$2:$G$611,6,0)</f>
        <v>64</v>
      </c>
      <c r="P310" s="10">
        <f>VLOOKUP(A310,dataset_2!$A$2:$G$611,7,0)</f>
        <v>73</v>
      </c>
      <c r="Q310" s="10"/>
      <c r="R310" s="10" t="str">
        <f t="shared" si="1"/>
        <v>OK</v>
      </c>
      <c r="S310" s="10">
        <f t="shared" si="2"/>
        <v>5</v>
      </c>
      <c r="T310" s="10" t="str">
        <f t="shared" si="3"/>
        <v>OK</v>
      </c>
      <c r="U310" s="10">
        <f t="shared" si="4"/>
        <v>1</v>
      </c>
      <c r="V310" s="10"/>
      <c r="W310" s="10"/>
      <c r="X310" s="10"/>
      <c r="Y310" s="10"/>
      <c r="Z310" s="10"/>
    </row>
    <row r="311" ht="13.5" customHeight="1">
      <c r="A311" s="10">
        <f>dataset_1!A470</f>
        <v>469</v>
      </c>
      <c r="B311" s="11">
        <f>dataset_1!B470</f>
        <v>40564</v>
      </c>
      <c r="C311" s="10">
        <f>dataset_1!C470</f>
        <v>1</v>
      </c>
      <c r="D311" s="10">
        <f>dataset_1!D470</f>
        <v>0</v>
      </c>
      <c r="E311" s="10">
        <f>dataset_1!E470</f>
        <v>1</v>
      </c>
      <c r="F311" s="10">
        <f>dataset_1!F470</f>
        <v>13</v>
      </c>
      <c r="G311" s="10" t="b">
        <f>dataset_1!G470</f>
        <v>0</v>
      </c>
      <c r="H311" s="10">
        <f>dataset_1!H470</f>
        <v>5</v>
      </c>
      <c r="I311" s="10">
        <f>dataset_1!I470</f>
        <v>1</v>
      </c>
      <c r="J311" s="10">
        <f>dataset_1!J470</f>
        <v>0.2</v>
      </c>
      <c r="K311" s="10">
        <f>VLOOKUP(A311,dataset_2!$A$2:$G$611,2,0)</f>
        <v>0.1515</v>
      </c>
      <c r="L311" s="10">
        <f>VLOOKUP(A311,dataset_2!$A$2:$G$611,3,0)</f>
        <v>0.21</v>
      </c>
      <c r="M311" s="10">
        <f>VLOOKUP(A311,dataset_2!$A$2:$G$611,4,0)</f>
        <v>0.5821</v>
      </c>
      <c r="N311" s="10">
        <f>VLOOKUP(A311,dataset_2!$A$2:$G$611,5,0)</f>
        <v>8</v>
      </c>
      <c r="O311" s="10">
        <f>VLOOKUP(A311,dataset_2!$A$2:$G$611,6,0)</f>
        <v>65</v>
      </c>
      <c r="P311" s="10">
        <f>VLOOKUP(A311,dataset_2!$A$2:$G$611,7,0)</f>
        <v>73</v>
      </c>
      <c r="Q311" s="10"/>
      <c r="R311" s="10" t="str">
        <f t="shared" si="1"/>
        <v>OK</v>
      </c>
      <c r="S311" s="10">
        <f t="shared" si="2"/>
        <v>5</v>
      </c>
      <c r="T311" s="10" t="str">
        <f t="shared" si="3"/>
        <v>OK</v>
      </c>
      <c r="U311" s="10">
        <f t="shared" si="4"/>
        <v>1</v>
      </c>
      <c r="V311" s="10"/>
      <c r="W311" s="10"/>
      <c r="X311" s="10"/>
      <c r="Y311" s="10"/>
      <c r="Z311" s="10"/>
    </row>
    <row r="312" ht="13.5" customHeight="1">
      <c r="A312" s="10">
        <f>dataset_1!A62</f>
        <v>61</v>
      </c>
      <c r="B312" s="11">
        <f>dataset_1!B62</f>
        <v>40546</v>
      </c>
      <c r="C312" s="10">
        <f>dataset_1!C62</f>
        <v>1</v>
      </c>
      <c r="D312" s="10">
        <f>dataset_1!D62</f>
        <v>0</v>
      </c>
      <c r="E312" s="10">
        <f>dataset_1!E62</f>
        <v>1</v>
      </c>
      <c r="F312" s="10">
        <f>dataset_1!F62</f>
        <v>15</v>
      </c>
      <c r="G312" s="10" t="b">
        <f>dataset_1!G62</f>
        <v>0</v>
      </c>
      <c r="H312" s="10">
        <f>dataset_1!H62</f>
        <v>1</v>
      </c>
      <c r="I312" s="10">
        <f>dataset_1!I62</f>
        <v>1</v>
      </c>
      <c r="J312" s="10">
        <f>dataset_1!J62</f>
        <v>0.26</v>
      </c>
      <c r="K312" s="10">
        <f>VLOOKUP(A312,dataset_2!$A$2:$G$611,2,0)</f>
        <v>0.2424</v>
      </c>
      <c r="L312" s="10">
        <f>VLOOKUP(A312,dataset_2!$A$2:$G$611,3,0)</f>
        <v>0.3</v>
      </c>
      <c r="M312" s="10">
        <f>VLOOKUP(A312,dataset_2!$A$2:$G$611,4,0)</f>
        <v>0.2537</v>
      </c>
      <c r="N312" s="10">
        <f>VLOOKUP(A312,dataset_2!$A$2:$G$611,5,0)</f>
        <v>14</v>
      </c>
      <c r="O312" s="10">
        <f>VLOOKUP(A312,dataset_2!$A$2:$G$611,6,0)</f>
        <v>58</v>
      </c>
      <c r="P312" s="10">
        <f>VLOOKUP(A312,dataset_2!$A$2:$G$611,7,0)</f>
        <v>72</v>
      </c>
      <c r="Q312" s="10"/>
      <c r="R312" s="10" t="str">
        <f t="shared" si="1"/>
        <v>OK</v>
      </c>
      <c r="S312" s="10">
        <f t="shared" si="2"/>
        <v>5</v>
      </c>
      <c r="T312" s="10" t="str">
        <f t="shared" si="3"/>
        <v>OK</v>
      </c>
      <c r="U312" s="10">
        <f t="shared" si="4"/>
        <v>1</v>
      </c>
      <c r="V312" s="10"/>
      <c r="W312" s="10"/>
      <c r="X312" s="10"/>
      <c r="Y312" s="10"/>
      <c r="Z312" s="10"/>
    </row>
    <row r="313" ht="13.5" customHeight="1">
      <c r="A313" s="10">
        <f>dataset_1!A154</f>
        <v>153</v>
      </c>
      <c r="B313" s="11">
        <f>dataset_1!B154</f>
        <v>40550</v>
      </c>
      <c r="C313" s="10">
        <f>dataset_1!C154</f>
        <v>1</v>
      </c>
      <c r="D313" s="10">
        <f>dataset_1!D154</f>
        <v>0</v>
      </c>
      <c r="E313" s="10">
        <f>dataset_1!E154</f>
        <v>1</v>
      </c>
      <c r="F313" s="10">
        <f>dataset_1!F154</f>
        <v>15</v>
      </c>
      <c r="G313" s="10" t="b">
        <f>dataset_1!G154</f>
        <v>0</v>
      </c>
      <c r="H313" s="10">
        <f>dataset_1!H154</f>
        <v>5</v>
      </c>
      <c r="I313" s="10">
        <f>dataset_1!I154</f>
        <v>2</v>
      </c>
      <c r="J313" s="10">
        <f>dataset_1!J154</f>
        <v>0.2</v>
      </c>
      <c r="K313" s="10">
        <f>VLOOKUP(A313,dataset_2!$A$2:$G$611,2,0)</f>
        <v>0.2121</v>
      </c>
      <c r="L313" s="10">
        <f>VLOOKUP(A313,dataset_2!$A$2:$G$611,3,0)</f>
        <v>0.37</v>
      </c>
      <c r="M313" s="10">
        <f>VLOOKUP(A313,dataset_2!$A$2:$G$611,4,0)</f>
        <v>0.1642</v>
      </c>
      <c r="N313" s="10">
        <f>VLOOKUP(A313,dataset_2!$A$2:$G$611,5,0)</f>
        <v>9</v>
      </c>
      <c r="O313" s="10">
        <f>VLOOKUP(A313,dataset_2!$A$2:$G$611,6,0)</f>
        <v>63</v>
      </c>
      <c r="P313" s="10">
        <f>VLOOKUP(A313,dataset_2!$A$2:$G$611,7,0)</f>
        <v>72</v>
      </c>
      <c r="Q313" s="10"/>
      <c r="R313" s="10" t="str">
        <f t="shared" si="1"/>
        <v>OK</v>
      </c>
      <c r="S313" s="10">
        <f t="shared" si="2"/>
        <v>5</v>
      </c>
      <c r="T313" s="10" t="str">
        <f t="shared" si="3"/>
        <v>OK</v>
      </c>
      <c r="U313" s="10">
        <f t="shared" si="4"/>
        <v>1</v>
      </c>
      <c r="V313" s="10"/>
      <c r="W313" s="10"/>
      <c r="X313" s="10"/>
      <c r="Y313" s="10"/>
      <c r="Z313" s="10"/>
    </row>
    <row r="314" ht="13.5" customHeight="1">
      <c r="A314" s="10">
        <f>dataset_1!A201</f>
        <v>200</v>
      </c>
      <c r="B314" s="11">
        <f>dataset_1!B201</f>
        <v>40552</v>
      </c>
      <c r="C314" s="10">
        <f>dataset_1!C201</f>
        <v>1</v>
      </c>
      <c r="D314" s="10">
        <f>dataset_1!D201</f>
        <v>0</v>
      </c>
      <c r="E314" s="10">
        <f>dataset_1!E201</f>
        <v>1</v>
      </c>
      <c r="F314" s="10">
        <f>dataset_1!F201</f>
        <v>14</v>
      </c>
      <c r="G314" s="10" t="b">
        <f>dataset_1!G201</f>
        <v>0</v>
      </c>
      <c r="H314" s="10">
        <f>dataset_1!H201</f>
        <v>0</v>
      </c>
      <c r="I314" s="10">
        <f>dataset_1!I201</f>
        <v>1</v>
      </c>
      <c r="J314" s="10">
        <f>dataset_1!J201</f>
        <v>0.22</v>
      </c>
      <c r="K314" s="10">
        <f>VLOOKUP(A314,dataset_2!$A$2:$G$611,2,0)</f>
        <v>0.1818</v>
      </c>
      <c r="L314" s="10">
        <f>VLOOKUP(A314,dataset_2!$A$2:$G$611,3,0)</f>
        <v>0.32</v>
      </c>
      <c r="M314" s="10">
        <f>VLOOKUP(A314,dataset_2!$A$2:$G$611,4,0)</f>
        <v>0.4627</v>
      </c>
      <c r="N314" s="10">
        <f>VLOOKUP(A314,dataset_2!$A$2:$G$611,5,0)</f>
        <v>8</v>
      </c>
      <c r="O314" s="10">
        <f>VLOOKUP(A314,dataset_2!$A$2:$G$611,6,0)</f>
        <v>64</v>
      </c>
      <c r="P314" s="10">
        <f>VLOOKUP(A314,dataset_2!$A$2:$G$611,7,0)</f>
        <v>72</v>
      </c>
      <c r="Q314" s="10"/>
      <c r="R314" s="10" t="str">
        <f t="shared" si="1"/>
        <v>OK</v>
      </c>
      <c r="S314" s="10">
        <f t="shared" si="2"/>
        <v>5</v>
      </c>
      <c r="T314" s="10" t="str">
        <f t="shared" si="3"/>
        <v>OK</v>
      </c>
      <c r="U314" s="10">
        <f t="shared" si="4"/>
        <v>1</v>
      </c>
      <c r="V314" s="10"/>
      <c r="W314" s="10"/>
      <c r="X314" s="10"/>
      <c r="Y314" s="10"/>
      <c r="Z314" s="10"/>
    </row>
    <row r="315" ht="13.5" customHeight="1">
      <c r="A315" s="10">
        <f>dataset_1!A286</f>
        <v>285</v>
      </c>
      <c r="B315" s="11">
        <f>dataset_1!B286</f>
        <v>40556</v>
      </c>
      <c r="C315" s="10">
        <f>dataset_1!C286</f>
        <v>1</v>
      </c>
      <c r="D315" s="10">
        <f>dataset_1!D286</f>
        <v>0</v>
      </c>
      <c r="E315" s="10">
        <f>dataset_1!E286</f>
        <v>1</v>
      </c>
      <c r="F315" s="10">
        <f>dataset_1!F286</f>
        <v>7</v>
      </c>
      <c r="G315" s="10" t="b">
        <f>dataset_1!G286</f>
        <v>0</v>
      </c>
      <c r="H315" s="10">
        <f>dataset_1!H286</f>
        <v>4</v>
      </c>
      <c r="I315" s="10">
        <f>dataset_1!I286</f>
        <v>1</v>
      </c>
      <c r="J315" s="10">
        <f>dataset_1!J286</f>
        <v>0.12</v>
      </c>
      <c r="K315" s="10">
        <f>VLOOKUP(A315,dataset_2!$A$2:$G$611,2,0)</f>
        <v>0.1515</v>
      </c>
      <c r="L315" s="10">
        <f>VLOOKUP(A315,dataset_2!$A$2:$G$611,3,0)</f>
        <v>0.54</v>
      </c>
      <c r="M315" s="10">
        <f>VLOOKUP(A315,dataset_2!$A$2:$G$611,4,0)</f>
        <v>0.1343</v>
      </c>
      <c r="N315" s="10">
        <f>VLOOKUP(A315,dataset_2!$A$2:$G$611,5,0)</f>
        <v>0</v>
      </c>
      <c r="O315" s="10">
        <f>VLOOKUP(A315,dataset_2!$A$2:$G$611,6,0)</f>
        <v>72</v>
      </c>
      <c r="P315" s="10">
        <f>VLOOKUP(A315,dataset_2!$A$2:$G$611,7,0)</f>
        <v>72</v>
      </c>
      <c r="Q315" s="10"/>
      <c r="R315" s="10" t="str">
        <f t="shared" si="1"/>
        <v>OK</v>
      </c>
      <c r="S315" s="10">
        <f t="shared" si="2"/>
        <v>5</v>
      </c>
      <c r="T315" s="10" t="str">
        <f t="shared" si="3"/>
        <v>OK</v>
      </c>
      <c r="U315" s="10">
        <f t="shared" si="4"/>
        <v>1</v>
      </c>
      <c r="V315" s="10"/>
      <c r="W315" s="10"/>
      <c r="X315" s="10"/>
      <c r="Y315" s="10"/>
      <c r="Z315" s="10"/>
    </row>
    <row r="316" ht="13.5" customHeight="1">
      <c r="A316" s="10">
        <f>dataset_1!A337</f>
        <v>336</v>
      </c>
      <c r="B316" s="11">
        <f>dataset_1!B337</f>
        <v>40558</v>
      </c>
      <c r="C316" s="10">
        <f>dataset_1!C337</f>
        <v>1</v>
      </c>
      <c r="D316" s="10">
        <f>dataset_1!D337</f>
        <v>0</v>
      </c>
      <c r="E316" s="10">
        <f>dataset_1!E337</f>
        <v>1</v>
      </c>
      <c r="F316" s="10">
        <f>dataset_1!F337</f>
        <v>11</v>
      </c>
      <c r="G316" s="10" t="b">
        <f>dataset_1!G337</f>
        <v>0</v>
      </c>
      <c r="H316" s="10">
        <f>dataset_1!H337</f>
        <v>6</v>
      </c>
      <c r="I316" s="10">
        <f>dataset_1!I337</f>
        <v>1</v>
      </c>
      <c r="J316" s="10">
        <f>dataset_1!J337</f>
        <v>0.2</v>
      </c>
      <c r="K316" s="10">
        <f>VLOOKUP(A316,dataset_2!$A$2:$G$611,2,0)</f>
        <v>0.197</v>
      </c>
      <c r="L316" s="10">
        <f>VLOOKUP(A316,dataset_2!$A$2:$G$611,3,0)</f>
        <v>0.55</v>
      </c>
      <c r="M316" s="10">
        <f>VLOOKUP(A316,dataset_2!$A$2:$G$611,4,0)</f>
        <v>0.2239</v>
      </c>
      <c r="N316" s="10">
        <f>VLOOKUP(A316,dataset_2!$A$2:$G$611,5,0)</f>
        <v>18</v>
      </c>
      <c r="O316" s="10">
        <f>VLOOKUP(A316,dataset_2!$A$2:$G$611,6,0)</f>
        <v>54</v>
      </c>
      <c r="P316" s="10">
        <f>VLOOKUP(A316,dataset_2!$A$2:$G$611,7,0)</f>
        <v>72</v>
      </c>
      <c r="Q316" s="10"/>
      <c r="R316" s="10" t="str">
        <f t="shared" si="1"/>
        <v>OK</v>
      </c>
      <c r="S316" s="10">
        <f t="shared" si="2"/>
        <v>5</v>
      </c>
      <c r="T316" s="10" t="str">
        <f t="shared" si="3"/>
        <v>OK</v>
      </c>
      <c r="U316" s="10">
        <f t="shared" si="4"/>
        <v>1</v>
      </c>
      <c r="V316" s="10"/>
      <c r="W316" s="10"/>
      <c r="X316" s="10"/>
      <c r="Y316" s="10"/>
      <c r="Z316" s="10"/>
    </row>
    <row r="317" ht="13.5" customHeight="1">
      <c r="A317" s="10">
        <f>dataset_1!A579</f>
        <v>578</v>
      </c>
      <c r="B317" s="11">
        <f>dataset_1!B579</f>
        <v>40569</v>
      </c>
      <c r="C317" s="10">
        <f>dataset_1!C579</f>
        <v>1</v>
      </c>
      <c r="D317" s="10">
        <f>dataset_1!D579</f>
        <v>0</v>
      </c>
      <c r="E317" s="10">
        <f>dataset_1!E579</f>
        <v>1</v>
      </c>
      <c r="F317" s="10">
        <f>dataset_1!F579</f>
        <v>8</v>
      </c>
      <c r="G317" s="10" t="b">
        <f>dataset_1!G579</f>
        <v>0</v>
      </c>
      <c r="H317" s="10">
        <f>dataset_1!H579</f>
        <v>3</v>
      </c>
      <c r="I317" s="10">
        <f>dataset_1!I579</f>
        <v>3</v>
      </c>
      <c r="J317" s="10">
        <f>dataset_1!J579</f>
        <v>0.22</v>
      </c>
      <c r="K317" s="10">
        <f>VLOOKUP(A317,dataset_2!$A$2:$G$611,2,0)</f>
        <v>0.2121</v>
      </c>
      <c r="L317" s="10">
        <f>VLOOKUP(A317,dataset_2!$A$2:$G$611,3,0)</f>
        <v>0.87</v>
      </c>
      <c r="M317" s="10">
        <f>VLOOKUP(A317,dataset_2!$A$2:$G$611,4,0)</f>
        <v>0.2985</v>
      </c>
      <c r="N317" s="10">
        <f>VLOOKUP(A317,dataset_2!$A$2:$G$611,5,0)</f>
        <v>3</v>
      </c>
      <c r="O317" s="10">
        <f>VLOOKUP(A317,dataset_2!$A$2:$G$611,6,0)</f>
        <v>69</v>
      </c>
      <c r="P317" s="10">
        <f>VLOOKUP(A317,dataset_2!$A$2:$G$611,7,0)</f>
        <v>72</v>
      </c>
      <c r="Q317" s="10"/>
      <c r="R317" s="10" t="str">
        <f t="shared" si="1"/>
        <v>OK</v>
      </c>
      <c r="S317" s="10">
        <f t="shared" si="2"/>
        <v>5</v>
      </c>
      <c r="T317" s="10" t="str">
        <f t="shared" si="3"/>
        <v>OK</v>
      </c>
      <c r="U317" s="10">
        <f t="shared" si="4"/>
        <v>1</v>
      </c>
      <c r="V317" s="10"/>
      <c r="W317" s="10"/>
      <c r="X317" s="10"/>
      <c r="Y317" s="10"/>
      <c r="Z317" s="10"/>
    </row>
    <row r="318" ht="13.5" customHeight="1">
      <c r="A318" s="3">
        <v>672.0</v>
      </c>
      <c r="B318" s="12">
        <v>40574.0</v>
      </c>
      <c r="C318" s="3">
        <v>1.0</v>
      </c>
      <c r="D318" s="3">
        <v>0.0</v>
      </c>
      <c r="E318" s="3">
        <v>1.0</v>
      </c>
      <c r="F318" s="3">
        <v>7.0</v>
      </c>
      <c r="G318" s="3" t="b">
        <f t="shared" ref="G318:G320" si="39">FALSE()</f>
        <v>0</v>
      </c>
      <c r="H318" s="3">
        <v>1.0</v>
      </c>
      <c r="I318" s="3">
        <v>2.0</v>
      </c>
      <c r="J318" s="3">
        <v>0.16</v>
      </c>
      <c r="K318" s="3">
        <v>0.1364</v>
      </c>
      <c r="L318" s="3">
        <v>0.64</v>
      </c>
      <c r="M318" s="3">
        <v>0.2836</v>
      </c>
      <c r="N318" s="3">
        <v>1.0</v>
      </c>
      <c r="O318" s="3">
        <v>71.0</v>
      </c>
      <c r="P318" s="3">
        <v>72.0</v>
      </c>
      <c r="Q318" s="10"/>
      <c r="R318" s="10" t="str">
        <f t="shared" si="1"/>
        <v>OK</v>
      </c>
      <c r="S318" s="10">
        <f t="shared" si="2"/>
        <v>5</v>
      </c>
      <c r="T318" s="10" t="str">
        <f t="shared" si="3"/>
        <v>OK</v>
      </c>
      <c r="U318" s="10">
        <f t="shared" si="4"/>
        <v>1</v>
      </c>
      <c r="V318" s="10"/>
      <c r="W318" s="10"/>
      <c r="X318" s="10"/>
      <c r="Y318" s="10"/>
      <c r="Z318" s="10"/>
    </row>
    <row r="319" ht="13.5" customHeight="1">
      <c r="A319" s="3">
        <v>795.0</v>
      </c>
      <c r="B319" s="12">
        <v>40579.0</v>
      </c>
      <c r="C319" s="3">
        <v>1.0</v>
      </c>
      <c r="D319" s="3">
        <v>0.0</v>
      </c>
      <c r="E319" s="3">
        <v>2.0</v>
      </c>
      <c r="F319" s="3">
        <v>13.0</v>
      </c>
      <c r="G319" s="3" t="b">
        <f t="shared" si="39"/>
        <v>0</v>
      </c>
      <c r="H319" s="3">
        <v>6.0</v>
      </c>
      <c r="I319" s="3">
        <v>3.0</v>
      </c>
      <c r="J319" s="3">
        <v>0.22</v>
      </c>
      <c r="K319" s="3">
        <v>0.2273</v>
      </c>
      <c r="L319" s="3">
        <v>1.0</v>
      </c>
      <c r="M319" s="3">
        <v>0.1642</v>
      </c>
      <c r="N319" s="3">
        <v>10.0</v>
      </c>
      <c r="O319" s="3">
        <v>62.0</v>
      </c>
      <c r="P319" s="3">
        <v>72.0</v>
      </c>
      <c r="Q319" s="10"/>
      <c r="R319" s="10" t="str">
        <f t="shared" si="1"/>
        <v>OK</v>
      </c>
      <c r="S319" s="10">
        <f t="shared" si="2"/>
        <v>5</v>
      </c>
      <c r="T319" s="10" t="str">
        <f t="shared" si="3"/>
        <v>OK</v>
      </c>
      <c r="U319" s="10">
        <f t="shared" si="4"/>
        <v>1</v>
      </c>
      <c r="V319" s="10"/>
      <c r="W319" s="10"/>
      <c r="X319" s="10"/>
      <c r="Y319" s="10"/>
      <c r="Z319" s="10"/>
    </row>
    <row r="320" ht="13.5" customHeight="1">
      <c r="A320" s="3">
        <v>921.0</v>
      </c>
      <c r="B320" s="12">
        <v>40584.0</v>
      </c>
      <c r="C320" s="3">
        <v>1.0</v>
      </c>
      <c r="D320" s="3">
        <v>0.0</v>
      </c>
      <c r="E320" s="3">
        <v>2.0</v>
      </c>
      <c r="F320" s="3">
        <v>21.0</v>
      </c>
      <c r="G320" s="3" t="b">
        <f t="shared" si="39"/>
        <v>0</v>
      </c>
      <c r="H320" s="3">
        <v>4.0</v>
      </c>
      <c r="I320" s="3">
        <v>1.0</v>
      </c>
      <c r="J320" s="3">
        <v>0.14</v>
      </c>
      <c r="K320" s="3">
        <v>0.2121</v>
      </c>
      <c r="L320" s="3">
        <v>0.39</v>
      </c>
      <c r="M320" s="3">
        <v>0.0</v>
      </c>
      <c r="N320" s="3">
        <v>2.0</v>
      </c>
      <c r="O320" s="3">
        <v>70.0</v>
      </c>
      <c r="P320" s="3">
        <v>72.0</v>
      </c>
      <c r="Q320" s="10"/>
      <c r="R320" s="10" t="str">
        <f t="shared" si="1"/>
        <v>OK</v>
      </c>
      <c r="S320" s="10">
        <f t="shared" si="2"/>
        <v>5</v>
      </c>
      <c r="T320" s="10" t="str">
        <f t="shared" si="3"/>
        <v>OK</v>
      </c>
      <c r="U320" s="10">
        <f t="shared" si="4"/>
        <v>1</v>
      </c>
      <c r="V320" s="10"/>
      <c r="W320" s="10"/>
      <c r="X320" s="10"/>
      <c r="Y320" s="10"/>
      <c r="Z320" s="10"/>
    </row>
    <row r="321" ht="13.5" customHeight="1">
      <c r="A321" s="10">
        <f>dataset_1!A106</f>
        <v>105</v>
      </c>
      <c r="B321" s="11">
        <f>dataset_1!B106</f>
        <v>40548</v>
      </c>
      <c r="C321" s="10">
        <f>dataset_1!C106</f>
        <v>1</v>
      </c>
      <c r="D321" s="10">
        <f>dataset_1!D106</f>
        <v>0</v>
      </c>
      <c r="E321" s="10">
        <f>dataset_1!E106</f>
        <v>1</v>
      </c>
      <c r="F321" s="10">
        <f>dataset_1!F106</f>
        <v>13</v>
      </c>
      <c r="G321" s="10" t="b">
        <f>dataset_1!G106</f>
        <v>0</v>
      </c>
      <c r="H321" s="10">
        <f>dataset_1!H106</f>
        <v>3</v>
      </c>
      <c r="I321" s="10">
        <f>dataset_1!I106</f>
        <v>1</v>
      </c>
      <c r="J321" s="10">
        <f>dataset_1!J106</f>
        <v>0.28</v>
      </c>
      <c r="K321" s="10">
        <f>VLOOKUP(A321,dataset_2!$A$2:$G$611,2,0)</f>
        <v>0.2576</v>
      </c>
      <c r="L321" s="10">
        <f>VLOOKUP(A321,dataset_2!$A$2:$G$611,3,0)</f>
        <v>0.3</v>
      </c>
      <c r="M321" s="10">
        <f>VLOOKUP(A321,dataset_2!$A$2:$G$611,4,0)</f>
        <v>0.2985</v>
      </c>
      <c r="N321" s="10">
        <f>VLOOKUP(A321,dataset_2!$A$2:$G$611,5,0)</f>
        <v>6</v>
      </c>
      <c r="O321" s="10">
        <f>VLOOKUP(A321,dataset_2!$A$2:$G$611,6,0)</f>
        <v>65</v>
      </c>
      <c r="P321" s="10">
        <f>VLOOKUP(A321,dataset_2!$A$2:$G$611,7,0)</f>
        <v>71</v>
      </c>
      <c r="Q321" s="10"/>
      <c r="R321" s="10" t="str">
        <f t="shared" si="1"/>
        <v>OK</v>
      </c>
      <c r="S321" s="10">
        <f t="shared" si="2"/>
        <v>5</v>
      </c>
      <c r="T321" s="10" t="str">
        <f t="shared" si="3"/>
        <v>OK</v>
      </c>
      <c r="U321" s="10">
        <f t="shared" si="4"/>
        <v>1</v>
      </c>
      <c r="V321" s="10"/>
      <c r="W321" s="10"/>
      <c r="X321" s="10"/>
      <c r="Y321" s="10"/>
      <c r="Z321" s="10"/>
    </row>
    <row r="322" ht="13.5" customHeight="1">
      <c r="A322" s="10">
        <f>dataset_1!A391</f>
        <v>390</v>
      </c>
      <c r="B322" s="11">
        <f>dataset_1!B391</f>
        <v>40560</v>
      </c>
      <c r="C322" s="10">
        <f>dataset_1!C391</f>
        <v>1</v>
      </c>
      <c r="D322" s="10">
        <f>dataset_1!D391</f>
        <v>0</v>
      </c>
      <c r="E322" s="10">
        <f>dataset_1!E391</f>
        <v>1</v>
      </c>
      <c r="F322" s="10">
        <f>dataset_1!F391</f>
        <v>17</v>
      </c>
      <c r="G322" s="10" t="b">
        <f>dataset_1!G391</f>
        <v>1</v>
      </c>
      <c r="H322" s="10">
        <f>dataset_1!H391</f>
        <v>1</v>
      </c>
      <c r="I322" s="10">
        <f>dataset_1!I391</f>
        <v>1</v>
      </c>
      <c r="J322" s="10">
        <f>dataset_1!J391</f>
        <v>0.2</v>
      </c>
      <c r="K322" s="10">
        <f>VLOOKUP(A322,dataset_2!$A$2:$G$611,2,0)</f>
        <v>0.197</v>
      </c>
      <c r="L322" s="10">
        <f>VLOOKUP(A322,dataset_2!$A$2:$G$611,3,0)</f>
        <v>0.51</v>
      </c>
      <c r="M322" s="10">
        <f>VLOOKUP(A322,dataset_2!$A$2:$G$611,4,0)</f>
        <v>0.194</v>
      </c>
      <c r="N322" s="10">
        <f>VLOOKUP(A322,dataset_2!$A$2:$G$611,5,0)</f>
        <v>4</v>
      </c>
      <c r="O322" s="10">
        <f>VLOOKUP(A322,dataset_2!$A$2:$G$611,6,0)</f>
        <v>67</v>
      </c>
      <c r="P322" s="10">
        <f>VLOOKUP(A322,dataset_2!$A$2:$G$611,7,0)</f>
        <v>71</v>
      </c>
      <c r="Q322" s="10"/>
      <c r="R322" s="10" t="str">
        <f t="shared" si="1"/>
        <v>OK</v>
      </c>
      <c r="S322" s="10">
        <f t="shared" si="2"/>
        <v>5</v>
      </c>
      <c r="T322" s="10" t="str">
        <f t="shared" si="3"/>
        <v>OK</v>
      </c>
      <c r="U322" s="10">
        <f t="shared" si="4"/>
        <v>1</v>
      </c>
      <c r="V322" s="10"/>
      <c r="W322" s="10"/>
      <c r="X322" s="10"/>
      <c r="Y322" s="10"/>
      <c r="Z322" s="10"/>
    </row>
    <row r="323" ht="13.5" customHeight="1">
      <c r="A323" s="3">
        <v>778.0</v>
      </c>
      <c r="B323" s="12">
        <v>40578.0</v>
      </c>
      <c r="C323" s="3">
        <v>1.0</v>
      </c>
      <c r="D323" s="3">
        <v>0.0</v>
      </c>
      <c r="E323" s="3">
        <v>2.0</v>
      </c>
      <c r="F323" s="3">
        <v>20.0</v>
      </c>
      <c r="G323" s="3" t="b">
        <f t="shared" ref="G323:G325" si="40">FALSE()</f>
        <v>0</v>
      </c>
      <c r="H323" s="3">
        <v>5.0</v>
      </c>
      <c r="I323" s="3">
        <v>2.0</v>
      </c>
      <c r="J323" s="3">
        <v>0.24</v>
      </c>
      <c r="K323" s="3">
        <v>0.2424</v>
      </c>
      <c r="L323" s="3">
        <v>0.65</v>
      </c>
      <c r="M323" s="3">
        <v>0.1642</v>
      </c>
      <c r="N323" s="3">
        <v>2.0</v>
      </c>
      <c r="O323" s="3">
        <v>69.0</v>
      </c>
      <c r="P323" s="3">
        <v>71.0</v>
      </c>
      <c r="Q323" s="10"/>
      <c r="R323" s="10" t="str">
        <f t="shared" si="1"/>
        <v>OK</v>
      </c>
      <c r="S323" s="10">
        <f t="shared" si="2"/>
        <v>5</v>
      </c>
      <c r="T323" s="10" t="str">
        <f t="shared" si="3"/>
        <v>OK</v>
      </c>
      <c r="U323" s="10">
        <f t="shared" si="4"/>
        <v>1</v>
      </c>
      <c r="V323" s="10"/>
      <c r="W323" s="10"/>
      <c r="X323" s="10"/>
      <c r="Y323" s="10"/>
      <c r="Z323" s="10"/>
    </row>
    <row r="324" ht="13.5" customHeight="1">
      <c r="A324" s="3">
        <v>798.0</v>
      </c>
      <c r="B324" s="12">
        <v>40579.0</v>
      </c>
      <c r="C324" s="3">
        <v>1.0</v>
      </c>
      <c r="D324" s="3">
        <v>0.0</v>
      </c>
      <c r="E324" s="3">
        <v>2.0</v>
      </c>
      <c r="F324" s="3">
        <v>16.0</v>
      </c>
      <c r="G324" s="3" t="b">
        <f t="shared" si="40"/>
        <v>0</v>
      </c>
      <c r="H324" s="3">
        <v>6.0</v>
      </c>
      <c r="I324" s="3">
        <v>3.0</v>
      </c>
      <c r="J324" s="3">
        <v>0.22</v>
      </c>
      <c r="K324" s="3">
        <v>0.2273</v>
      </c>
      <c r="L324" s="3">
        <v>1.0</v>
      </c>
      <c r="M324" s="3">
        <v>0.1343</v>
      </c>
      <c r="N324" s="3">
        <v>8.0</v>
      </c>
      <c r="O324" s="3">
        <v>63.0</v>
      </c>
      <c r="P324" s="3">
        <v>71.0</v>
      </c>
      <c r="Q324" s="10"/>
      <c r="R324" s="10" t="str">
        <f t="shared" si="1"/>
        <v>OK</v>
      </c>
      <c r="S324" s="10">
        <f t="shared" si="2"/>
        <v>5</v>
      </c>
      <c r="T324" s="10" t="str">
        <f t="shared" si="3"/>
        <v>OK</v>
      </c>
      <c r="U324" s="10">
        <f t="shared" si="4"/>
        <v>1</v>
      </c>
      <c r="V324" s="10"/>
      <c r="W324" s="10"/>
      <c r="X324" s="10"/>
      <c r="Y324" s="10"/>
      <c r="Z324" s="10"/>
    </row>
    <row r="325" ht="13.5" customHeight="1">
      <c r="A325" s="3">
        <v>934.0</v>
      </c>
      <c r="B325" s="12">
        <v>40585.0</v>
      </c>
      <c r="C325" s="3">
        <v>1.0</v>
      </c>
      <c r="D325" s="3">
        <v>0.0</v>
      </c>
      <c r="E325" s="3">
        <v>2.0</v>
      </c>
      <c r="F325" s="3">
        <v>12.0</v>
      </c>
      <c r="G325" s="3" t="b">
        <f t="shared" si="40"/>
        <v>0</v>
      </c>
      <c r="H325" s="3">
        <v>5.0</v>
      </c>
      <c r="I325" s="3">
        <v>1.0</v>
      </c>
      <c r="J325" s="3">
        <v>0.22</v>
      </c>
      <c r="K325" s="3">
        <v>0.2273</v>
      </c>
      <c r="L325" s="3">
        <v>0.47</v>
      </c>
      <c r="M325" s="3">
        <v>0.1343</v>
      </c>
      <c r="N325" s="3">
        <v>7.0</v>
      </c>
      <c r="O325" s="3">
        <v>64.0</v>
      </c>
      <c r="P325" s="3">
        <v>71.0</v>
      </c>
      <c r="Q325" s="10"/>
      <c r="R325" s="10" t="str">
        <f t="shared" si="1"/>
        <v>OK</v>
      </c>
      <c r="S325" s="10">
        <f t="shared" si="2"/>
        <v>5</v>
      </c>
      <c r="T325" s="10" t="str">
        <f t="shared" si="3"/>
        <v>OK</v>
      </c>
      <c r="U325" s="10">
        <f t="shared" si="4"/>
        <v>1</v>
      </c>
      <c r="V325" s="10"/>
      <c r="W325" s="10"/>
      <c r="X325" s="10"/>
      <c r="Y325" s="10"/>
      <c r="Z325" s="10"/>
    </row>
    <row r="326" ht="13.5" customHeight="1">
      <c r="A326" s="10">
        <f>dataset_1!A36</f>
        <v>35</v>
      </c>
      <c r="B326" s="11">
        <f>dataset_1!B36</f>
        <v>40545</v>
      </c>
      <c r="C326" s="10">
        <f>dataset_1!C36</f>
        <v>1</v>
      </c>
      <c r="D326" s="10">
        <f>dataset_1!D36</f>
        <v>0</v>
      </c>
      <c r="E326" s="10">
        <f>dataset_1!E36</f>
        <v>1</v>
      </c>
      <c r="F326" s="10">
        <f>dataset_1!F36</f>
        <v>11</v>
      </c>
      <c r="G326" s="10" t="b">
        <f>dataset_1!G36</f>
        <v>0</v>
      </c>
      <c r="H326" s="10">
        <f>dataset_1!H36</f>
        <v>0</v>
      </c>
      <c r="I326" s="10">
        <f>dataset_1!I36</f>
        <v>2</v>
      </c>
      <c r="J326" s="10">
        <f>dataset_1!J36</f>
        <v>0.36</v>
      </c>
      <c r="K326" s="10">
        <f>VLOOKUP(A326,dataset_2!$A$2:$G$611,2,0)</f>
        <v>0.3333</v>
      </c>
      <c r="L326" s="10">
        <f>VLOOKUP(A326,dataset_2!$A$2:$G$611,3,0)</f>
        <v>0.71</v>
      </c>
      <c r="M326" s="10">
        <f>VLOOKUP(A326,dataset_2!$A$2:$G$611,4,0)</f>
        <v>0.2537</v>
      </c>
      <c r="N326" s="10">
        <f>VLOOKUP(A326,dataset_2!$A$2:$G$611,5,0)</f>
        <v>16</v>
      </c>
      <c r="O326" s="10">
        <f>VLOOKUP(A326,dataset_2!$A$2:$G$611,6,0)</f>
        <v>54</v>
      </c>
      <c r="P326" s="10">
        <f>VLOOKUP(A326,dataset_2!$A$2:$G$611,7,0)</f>
        <v>70</v>
      </c>
      <c r="Q326" s="10"/>
      <c r="R326" s="10" t="str">
        <f t="shared" si="1"/>
        <v>OK</v>
      </c>
      <c r="S326" s="10">
        <f t="shared" si="2"/>
        <v>5</v>
      </c>
      <c r="T326" s="10" t="str">
        <f t="shared" si="3"/>
        <v>OK</v>
      </c>
      <c r="U326" s="10">
        <f t="shared" si="4"/>
        <v>1</v>
      </c>
      <c r="V326" s="10"/>
      <c r="W326" s="10"/>
      <c r="X326" s="10"/>
      <c r="Y326" s="10"/>
      <c r="Z326" s="10"/>
    </row>
    <row r="327" ht="13.5" customHeight="1">
      <c r="A327" s="10">
        <f>dataset_1!A130</f>
        <v>129</v>
      </c>
      <c r="B327" s="11">
        <f>dataset_1!B130</f>
        <v>40549</v>
      </c>
      <c r="C327" s="10">
        <f>dataset_1!C130</f>
        <v>1</v>
      </c>
      <c r="D327" s="10">
        <f>dataset_1!D130</f>
        <v>0</v>
      </c>
      <c r="E327" s="10">
        <f>dataset_1!E130</f>
        <v>1</v>
      </c>
      <c r="F327" s="10">
        <f>dataset_1!F130</f>
        <v>14</v>
      </c>
      <c r="G327" s="10" t="b">
        <f>dataset_1!G130</f>
        <v>0</v>
      </c>
      <c r="H327" s="10">
        <f>dataset_1!H130</f>
        <v>4</v>
      </c>
      <c r="I327" s="10">
        <f>dataset_1!I130</f>
        <v>1</v>
      </c>
      <c r="J327" s="10">
        <f>dataset_1!J130</f>
        <v>0.28</v>
      </c>
      <c r="K327" s="10">
        <f>VLOOKUP(A327,dataset_2!$A$2:$G$611,2,0)</f>
        <v>0.2727</v>
      </c>
      <c r="L327" s="10">
        <f>VLOOKUP(A327,dataset_2!$A$2:$G$611,3,0)</f>
        <v>0.36</v>
      </c>
      <c r="M327" s="10">
        <f>VLOOKUP(A327,dataset_2!$A$2:$G$611,4,0)</f>
        <v>0.1642</v>
      </c>
      <c r="N327" s="10">
        <f>VLOOKUP(A327,dataset_2!$A$2:$G$611,5,0)</f>
        <v>11</v>
      </c>
      <c r="O327" s="10">
        <f>VLOOKUP(A327,dataset_2!$A$2:$G$611,6,0)</f>
        <v>59</v>
      </c>
      <c r="P327" s="10">
        <f>VLOOKUP(A327,dataset_2!$A$2:$G$611,7,0)</f>
        <v>70</v>
      </c>
      <c r="Q327" s="10"/>
      <c r="R327" s="10" t="str">
        <f t="shared" si="1"/>
        <v>OK</v>
      </c>
      <c r="S327" s="10">
        <f t="shared" si="2"/>
        <v>5</v>
      </c>
      <c r="T327" s="10" t="str">
        <f t="shared" si="3"/>
        <v>OK</v>
      </c>
      <c r="U327" s="10">
        <f t="shared" si="4"/>
        <v>1</v>
      </c>
      <c r="V327" s="10"/>
      <c r="W327" s="10"/>
      <c r="X327" s="10"/>
      <c r="Y327" s="10"/>
      <c r="Z327" s="10"/>
    </row>
    <row r="328" ht="13.5" customHeight="1">
      <c r="A328" s="10">
        <f>dataset_1!A309</f>
        <v>308</v>
      </c>
      <c r="B328" s="11">
        <f>dataset_1!B309</f>
        <v>40557</v>
      </c>
      <c r="C328" s="10">
        <f>dataset_1!C309</f>
        <v>1</v>
      </c>
      <c r="D328" s="10">
        <f>dataset_1!D309</f>
        <v>0</v>
      </c>
      <c r="E328" s="10">
        <f>dataset_1!E309</f>
        <v>1</v>
      </c>
      <c r="F328" s="10">
        <f>dataset_1!F309</f>
        <v>7</v>
      </c>
      <c r="G328" s="10" t="b">
        <f>dataset_1!G309</f>
        <v>0</v>
      </c>
      <c r="H328" s="10">
        <f>dataset_1!H309</f>
        <v>5</v>
      </c>
      <c r="I328" s="10">
        <f>dataset_1!I309</f>
        <v>1</v>
      </c>
      <c r="J328" s="10">
        <f>dataset_1!J309</f>
        <v>0.1</v>
      </c>
      <c r="K328" s="10">
        <f>VLOOKUP(A328,dataset_2!$A$2:$G$611,2,0)</f>
        <v>0.1212</v>
      </c>
      <c r="L328" s="10">
        <f>VLOOKUP(A328,dataset_2!$A$2:$G$611,3,0)</f>
        <v>0.74</v>
      </c>
      <c r="M328" s="10">
        <f>VLOOKUP(A328,dataset_2!$A$2:$G$611,4,0)</f>
        <v>0.1642</v>
      </c>
      <c r="N328" s="10">
        <f>VLOOKUP(A328,dataset_2!$A$2:$G$611,5,0)</f>
        <v>0</v>
      </c>
      <c r="O328" s="10">
        <f>VLOOKUP(A328,dataset_2!$A$2:$G$611,6,0)</f>
        <v>70</v>
      </c>
      <c r="P328" s="10">
        <f>VLOOKUP(A328,dataset_2!$A$2:$G$611,7,0)</f>
        <v>70</v>
      </c>
      <c r="Q328" s="10"/>
      <c r="R328" s="10" t="str">
        <f t="shared" si="1"/>
        <v>OK</v>
      </c>
      <c r="S328" s="10">
        <f t="shared" si="2"/>
        <v>5</v>
      </c>
      <c r="T328" s="10" t="str">
        <f t="shared" si="3"/>
        <v>OK</v>
      </c>
      <c r="U328" s="10">
        <f t="shared" si="4"/>
        <v>1</v>
      </c>
      <c r="V328" s="10"/>
      <c r="W328" s="10"/>
      <c r="X328" s="10"/>
      <c r="Y328" s="10"/>
      <c r="Z328" s="10"/>
    </row>
    <row r="329" ht="13.5" customHeight="1">
      <c r="A329" s="10">
        <f>dataset_1!A421</f>
        <v>420</v>
      </c>
      <c r="B329" s="11">
        <f>dataset_1!B421</f>
        <v>40562</v>
      </c>
      <c r="C329" s="10">
        <f>dataset_1!C421</f>
        <v>1</v>
      </c>
      <c r="D329" s="10">
        <f>dataset_1!D421</f>
        <v>0</v>
      </c>
      <c r="E329" s="10">
        <f>dataset_1!E421</f>
        <v>1</v>
      </c>
      <c r="F329" s="10">
        <f>dataset_1!F421</f>
        <v>12</v>
      </c>
      <c r="G329" s="10" t="b">
        <f>dataset_1!G421</f>
        <v>0</v>
      </c>
      <c r="H329" s="10">
        <f>dataset_1!H421</f>
        <v>3</v>
      </c>
      <c r="I329" s="10">
        <f>dataset_1!I421</f>
        <v>2</v>
      </c>
      <c r="J329" s="10">
        <f>dataset_1!J421</f>
        <v>0.3</v>
      </c>
      <c r="K329" s="10">
        <f>VLOOKUP(A329,dataset_2!$A$2:$G$611,2,0)</f>
        <v>0.3182</v>
      </c>
      <c r="L329" s="10">
        <f>VLOOKUP(A329,dataset_2!$A$2:$G$611,3,0)</f>
        <v>0.81</v>
      </c>
      <c r="M329" s="10">
        <f>VLOOKUP(A329,dataset_2!$A$2:$G$611,4,0)</f>
        <v>0.0896</v>
      </c>
      <c r="N329" s="10">
        <f>VLOOKUP(A329,dataset_2!$A$2:$G$611,5,0)</f>
        <v>5</v>
      </c>
      <c r="O329" s="10">
        <f>VLOOKUP(A329,dataset_2!$A$2:$G$611,6,0)</f>
        <v>65</v>
      </c>
      <c r="P329" s="10">
        <f>VLOOKUP(A329,dataset_2!$A$2:$G$611,7,0)</f>
        <v>70</v>
      </c>
      <c r="Q329" s="10"/>
      <c r="R329" s="10" t="str">
        <f t="shared" si="1"/>
        <v>OK</v>
      </c>
      <c r="S329" s="10">
        <f t="shared" si="2"/>
        <v>5</v>
      </c>
      <c r="T329" s="10" t="str">
        <f t="shared" si="3"/>
        <v>OK</v>
      </c>
      <c r="U329" s="10">
        <f t="shared" si="4"/>
        <v>1</v>
      </c>
      <c r="V329" s="10"/>
      <c r="W329" s="10"/>
      <c r="X329" s="10"/>
      <c r="Y329" s="10"/>
      <c r="Z329" s="10"/>
    </row>
    <row r="330" ht="13.5" customHeight="1">
      <c r="A330" s="10">
        <f>dataset_1!A448</f>
        <v>447</v>
      </c>
      <c r="B330" s="11">
        <f>dataset_1!B448</f>
        <v>40563</v>
      </c>
      <c r="C330" s="10">
        <f>dataset_1!C448</f>
        <v>1</v>
      </c>
      <c r="D330" s="10">
        <f>dataset_1!D448</f>
        <v>0</v>
      </c>
      <c r="E330" s="10">
        <f>dataset_1!E448</f>
        <v>1</v>
      </c>
      <c r="F330" s="10">
        <f>dataset_1!F448</f>
        <v>15</v>
      </c>
      <c r="G330" s="10" t="b">
        <f>dataset_1!G448</f>
        <v>0</v>
      </c>
      <c r="H330" s="10">
        <f>dataset_1!H448</f>
        <v>4</v>
      </c>
      <c r="I330" s="10">
        <f>dataset_1!I448</f>
        <v>2</v>
      </c>
      <c r="J330" s="10">
        <f>dataset_1!J448</f>
        <v>0.32</v>
      </c>
      <c r="K330" s="10">
        <f>VLOOKUP(A330,dataset_2!$A$2:$G$611,2,0)</f>
        <v>0.3182</v>
      </c>
      <c r="L330" s="10">
        <f>VLOOKUP(A330,dataset_2!$A$2:$G$611,3,0)</f>
        <v>0.45</v>
      </c>
      <c r="M330" s="10">
        <f>VLOOKUP(A330,dataset_2!$A$2:$G$611,4,0)</f>
        <v>0.194</v>
      </c>
      <c r="N330" s="10">
        <f>VLOOKUP(A330,dataset_2!$A$2:$G$611,5,0)</f>
        <v>8</v>
      </c>
      <c r="O330" s="10">
        <f>VLOOKUP(A330,dataset_2!$A$2:$G$611,6,0)</f>
        <v>62</v>
      </c>
      <c r="P330" s="10">
        <f>VLOOKUP(A330,dataset_2!$A$2:$G$611,7,0)</f>
        <v>70</v>
      </c>
      <c r="Q330" s="10"/>
      <c r="R330" s="10" t="str">
        <f t="shared" si="1"/>
        <v>OK</v>
      </c>
      <c r="S330" s="10">
        <f t="shared" si="2"/>
        <v>5</v>
      </c>
      <c r="T330" s="10" t="str">
        <f t="shared" si="3"/>
        <v>OK</v>
      </c>
      <c r="U330" s="10">
        <f t="shared" si="4"/>
        <v>1</v>
      </c>
      <c r="V330" s="10"/>
      <c r="W330" s="10"/>
      <c r="X330" s="10"/>
      <c r="Y330" s="10"/>
      <c r="Z330" s="10"/>
    </row>
    <row r="331" ht="13.5" customHeight="1">
      <c r="A331" s="10">
        <f>dataset_1!A492</f>
        <v>491</v>
      </c>
      <c r="B331" s="11">
        <f>dataset_1!B492</f>
        <v>40565</v>
      </c>
      <c r="C331" s="10">
        <f>dataset_1!C492</f>
        <v>1</v>
      </c>
      <c r="D331" s="10">
        <f>dataset_1!D492</f>
        <v>0</v>
      </c>
      <c r="E331" s="10">
        <f>dataset_1!E492</f>
        <v>1</v>
      </c>
      <c r="F331" s="10">
        <f>dataset_1!F492</f>
        <v>12</v>
      </c>
      <c r="G331" s="10" t="b">
        <f>dataset_1!G492</f>
        <v>0</v>
      </c>
      <c r="H331" s="10">
        <f>dataset_1!H492</f>
        <v>6</v>
      </c>
      <c r="I331" s="10">
        <f>dataset_1!I492</f>
        <v>2</v>
      </c>
      <c r="J331" s="10">
        <f>dataset_1!J492</f>
        <v>0.06</v>
      </c>
      <c r="K331" s="10">
        <f>VLOOKUP(A331,dataset_2!$A$2:$G$611,2,0)</f>
        <v>0.1061</v>
      </c>
      <c r="L331" s="10">
        <f>VLOOKUP(A331,dataset_2!$A$2:$G$611,3,0)</f>
        <v>0.38</v>
      </c>
      <c r="M331" s="10">
        <f>VLOOKUP(A331,dataset_2!$A$2:$G$611,4,0)</f>
        <v>0.1045</v>
      </c>
      <c r="N331" s="10">
        <f>VLOOKUP(A331,dataset_2!$A$2:$G$611,5,0)</f>
        <v>10</v>
      </c>
      <c r="O331" s="10">
        <f>VLOOKUP(A331,dataset_2!$A$2:$G$611,6,0)</f>
        <v>60</v>
      </c>
      <c r="P331" s="10">
        <f>VLOOKUP(A331,dataset_2!$A$2:$G$611,7,0)</f>
        <v>70</v>
      </c>
      <c r="Q331" s="10"/>
      <c r="R331" s="10" t="str">
        <f t="shared" si="1"/>
        <v>OK</v>
      </c>
      <c r="S331" s="10">
        <f t="shared" si="2"/>
        <v>5</v>
      </c>
      <c r="T331" s="10" t="str">
        <f t="shared" si="3"/>
        <v>OK</v>
      </c>
      <c r="U331" s="10">
        <f t="shared" si="4"/>
        <v>1</v>
      </c>
      <c r="V331" s="10"/>
      <c r="W331" s="10"/>
      <c r="X331" s="10"/>
      <c r="Y331" s="10"/>
      <c r="Z331" s="10"/>
    </row>
    <row r="332" ht="13.5" customHeight="1">
      <c r="A332" s="10">
        <f>dataset_1!A542</f>
        <v>541</v>
      </c>
      <c r="B332" s="11">
        <f>dataset_1!B542</f>
        <v>40567</v>
      </c>
      <c r="C332" s="10">
        <f>dataset_1!C542</f>
        <v>1</v>
      </c>
      <c r="D332" s="10">
        <f>dataset_1!D542</f>
        <v>0</v>
      </c>
      <c r="E332" s="10">
        <f>dataset_1!E542</f>
        <v>1</v>
      </c>
      <c r="F332" s="10">
        <f>dataset_1!F542</f>
        <v>16</v>
      </c>
      <c r="G332" s="10" t="b">
        <f>dataset_1!G542</f>
        <v>0</v>
      </c>
      <c r="H332" s="10">
        <f>dataset_1!H542</f>
        <v>1</v>
      </c>
      <c r="I332" s="10">
        <f>dataset_1!I542</f>
        <v>1</v>
      </c>
      <c r="J332" s="10">
        <f>dataset_1!J542</f>
        <v>0.16</v>
      </c>
      <c r="K332" s="10">
        <f>VLOOKUP(A332,dataset_2!$A$2:$G$611,2,0)</f>
        <v>0.1515</v>
      </c>
      <c r="L332" s="10">
        <f>VLOOKUP(A332,dataset_2!$A$2:$G$611,3,0)</f>
        <v>0.47</v>
      </c>
      <c r="M332" s="10">
        <f>VLOOKUP(A332,dataset_2!$A$2:$G$611,4,0)</f>
        <v>0.2537</v>
      </c>
      <c r="N332" s="10">
        <f>VLOOKUP(A332,dataset_2!$A$2:$G$611,5,0)</f>
        <v>4</v>
      </c>
      <c r="O332" s="10">
        <f>VLOOKUP(A332,dataset_2!$A$2:$G$611,6,0)</f>
        <v>66</v>
      </c>
      <c r="P332" s="10">
        <f>VLOOKUP(A332,dataset_2!$A$2:$G$611,7,0)</f>
        <v>70</v>
      </c>
      <c r="Q332" s="10"/>
      <c r="R332" s="10" t="str">
        <f t="shared" si="1"/>
        <v>OK</v>
      </c>
      <c r="S332" s="10">
        <f t="shared" si="2"/>
        <v>5</v>
      </c>
      <c r="T332" s="10" t="str">
        <f t="shared" si="3"/>
        <v>OK</v>
      </c>
      <c r="U332" s="10">
        <f t="shared" si="4"/>
        <v>1</v>
      </c>
      <c r="V332" s="10"/>
      <c r="W332" s="10"/>
      <c r="X332" s="10"/>
      <c r="Y332" s="10"/>
      <c r="Z332" s="10"/>
    </row>
    <row r="333" ht="13.5" customHeight="1">
      <c r="A333" s="10">
        <f>dataset_1!A136</f>
        <v>135</v>
      </c>
      <c r="B333" s="11">
        <f>dataset_1!B136</f>
        <v>40549</v>
      </c>
      <c r="C333" s="10">
        <f>dataset_1!C136</f>
        <v>1</v>
      </c>
      <c r="D333" s="10">
        <f>dataset_1!D136</f>
        <v>0</v>
      </c>
      <c r="E333" s="10">
        <f>dataset_1!E136</f>
        <v>1</v>
      </c>
      <c r="F333" s="10">
        <f>dataset_1!F136</f>
        <v>20</v>
      </c>
      <c r="G333" s="10" t="b">
        <f>dataset_1!G136</f>
        <v>0</v>
      </c>
      <c r="H333" s="10">
        <f>dataset_1!H136</f>
        <v>4</v>
      </c>
      <c r="I333" s="10">
        <f>dataset_1!I136</f>
        <v>1</v>
      </c>
      <c r="J333" s="10">
        <f>dataset_1!J136</f>
        <v>0.2</v>
      </c>
      <c r="K333" s="10">
        <f>VLOOKUP(A333,dataset_2!$A$2:$G$611,2,0)</f>
        <v>0.2121</v>
      </c>
      <c r="L333" s="10">
        <f>VLOOKUP(A333,dataset_2!$A$2:$G$611,3,0)</f>
        <v>0.51</v>
      </c>
      <c r="M333" s="10">
        <f>VLOOKUP(A333,dataset_2!$A$2:$G$611,4,0)</f>
        <v>0.1642</v>
      </c>
      <c r="N333" s="10">
        <f>VLOOKUP(A333,dataset_2!$A$2:$G$611,5,0)</f>
        <v>3</v>
      </c>
      <c r="O333" s="10">
        <f>VLOOKUP(A333,dataset_2!$A$2:$G$611,6,0)</f>
        <v>66</v>
      </c>
      <c r="P333" s="10">
        <f>VLOOKUP(A333,dataset_2!$A$2:$G$611,7,0)</f>
        <v>69</v>
      </c>
      <c r="Q333" s="10"/>
      <c r="R333" s="10" t="str">
        <f t="shared" si="1"/>
        <v>OK</v>
      </c>
      <c r="S333" s="10">
        <f t="shared" si="2"/>
        <v>5</v>
      </c>
      <c r="T333" s="10" t="str">
        <f t="shared" si="3"/>
        <v>OK</v>
      </c>
      <c r="U333" s="10">
        <f t="shared" si="4"/>
        <v>1</v>
      </c>
      <c r="V333" s="10"/>
      <c r="W333" s="10"/>
      <c r="X333" s="10"/>
      <c r="Y333" s="10"/>
      <c r="Z333" s="10"/>
    </row>
    <row r="334" ht="13.5" customHeight="1">
      <c r="A334" s="10">
        <f>dataset_1!A180</f>
        <v>179</v>
      </c>
      <c r="B334" s="11">
        <f>dataset_1!B180</f>
        <v>40551</v>
      </c>
      <c r="C334" s="10">
        <f>dataset_1!C180</f>
        <v>1</v>
      </c>
      <c r="D334" s="10">
        <f>dataset_1!D180</f>
        <v>0</v>
      </c>
      <c r="E334" s="10">
        <f>dataset_1!E180</f>
        <v>1</v>
      </c>
      <c r="F334" s="10">
        <f>dataset_1!F180</f>
        <v>17</v>
      </c>
      <c r="G334" s="10" t="b">
        <f>dataset_1!G180</f>
        <v>0</v>
      </c>
      <c r="H334" s="10">
        <f>dataset_1!H180</f>
        <v>6</v>
      </c>
      <c r="I334" s="10">
        <f>dataset_1!I180</f>
        <v>1</v>
      </c>
      <c r="J334" s="10">
        <f>dataset_1!J180</f>
        <v>0.16</v>
      </c>
      <c r="K334" s="10">
        <f>VLOOKUP(A334,dataset_2!$A$2:$G$611,2,0)</f>
        <v>0.1212</v>
      </c>
      <c r="L334" s="10">
        <f>VLOOKUP(A334,dataset_2!$A$2:$G$611,3,0)</f>
        <v>0.37</v>
      </c>
      <c r="M334" s="10">
        <f>VLOOKUP(A334,dataset_2!$A$2:$G$611,4,0)</f>
        <v>0.5522</v>
      </c>
      <c r="N334" s="10">
        <f>VLOOKUP(A334,dataset_2!$A$2:$G$611,5,0)</f>
        <v>5</v>
      </c>
      <c r="O334" s="10">
        <f>VLOOKUP(A334,dataset_2!$A$2:$G$611,6,0)</f>
        <v>64</v>
      </c>
      <c r="P334" s="10">
        <f>VLOOKUP(A334,dataset_2!$A$2:$G$611,7,0)</f>
        <v>69</v>
      </c>
      <c r="Q334" s="10"/>
      <c r="R334" s="10" t="str">
        <f t="shared" si="1"/>
        <v>OK</v>
      </c>
      <c r="S334" s="10">
        <f t="shared" si="2"/>
        <v>5</v>
      </c>
      <c r="T334" s="10" t="str">
        <f t="shared" si="3"/>
        <v>OK</v>
      </c>
      <c r="U334" s="10">
        <f t="shared" si="4"/>
        <v>1</v>
      </c>
      <c r="V334" s="10"/>
      <c r="W334" s="10"/>
      <c r="X334" s="10"/>
      <c r="Y334" s="10"/>
      <c r="Z334" s="10"/>
    </row>
    <row r="335" ht="13.5" customHeight="1">
      <c r="A335" s="3">
        <v>675.0</v>
      </c>
      <c r="B335" s="12">
        <v>40574.0</v>
      </c>
      <c r="C335" s="3">
        <v>1.0</v>
      </c>
      <c r="D335" s="3">
        <v>0.0</v>
      </c>
      <c r="E335" s="3">
        <v>1.0</v>
      </c>
      <c r="F335" s="3">
        <v>10.0</v>
      </c>
      <c r="G335" s="3" t="b">
        <f t="shared" ref="G335:G339" si="41">FALSE()</f>
        <v>0</v>
      </c>
      <c r="H335" s="3">
        <v>1.0</v>
      </c>
      <c r="I335" s="3">
        <v>2.0</v>
      </c>
      <c r="J335" s="3">
        <v>0.16</v>
      </c>
      <c r="K335" s="3">
        <v>0.1515</v>
      </c>
      <c r="L335" s="3">
        <v>0.59</v>
      </c>
      <c r="M335" s="3">
        <v>0.194</v>
      </c>
      <c r="N335" s="3">
        <v>1.0</v>
      </c>
      <c r="O335" s="3">
        <v>68.0</v>
      </c>
      <c r="P335" s="3">
        <v>69.0</v>
      </c>
      <c r="Q335" s="10"/>
      <c r="R335" s="10" t="str">
        <f t="shared" si="1"/>
        <v>OK</v>
      </c>
      <c r="S335" s="10">
        <f t="shared" si="2"/>
        <v>5</v>
      </c>
      <c r="T335" s="10" t="str">
        <f t="shared" si="3"/>
        <v>OK</v>
      </c>
      <c r="U335" s="10">
        <f t="shared" si="4"/>
        <v>1</v>
      </c>
      <c r="V335" s="10"/>
      <c r="W335" s="10"/>
      <c r="X335" s="10"/>
      <c r="Y335" s="10"/>
      <c r="Z335" s="10"/>
    </row>
    <row r="336" ht="13.5" customHeight="1">
      <c r="A336" s="3">
        <v>747.0</v>
      </c>
      <c r="B336" s="12">
        <v>40577.0</v>
      </c>
      <c r="C336" s="3">
        <v>1.0</v>
      </c>
      <c r="D336" s="3">
        <v>0.0</v>
      </c>
      <c r="E336" s="3">
        <v>2.0</v>
      </c>
      <c r="F336" s="3">
        <v>12.0</v>
      </c>
      <c r="G336" s="3" t="b">
        <f t="shared" si="41"/>
        <v>0</v>
      </c>
      <c r="H336" s="3">
        <v>4.0</v>
      </c>
      <c r="I336" s="3">
        <v>1.0</v>
      </c>
      <c r="J336" s="3">
        <v>0.2</v>
      </c>
      <c r="K336" s="3">
        <v>0.1818</v>
      </c>
      <c r="L336" s="3">
        <v>0.4</v>
      </c>
      <c r="M336" s="3">
        <v>0.3582</v>
      </c>
      <c r="N336" s="3">
        <v>2.0</v>
      </c>
      <c r="O336" s="3">
        <v>67.0</v>
      </c>
      <c r="P336" s="3">
        <v>69.0</v>
      </c>
      <c r="Q336" s="10"/>
      <c r="R336" s="10" t="str">
        <f t="shared" si="1"/>
        <v>OK</v>
      </c>
      <c r="S336" s="10">
        <f t="shared" si="2"/>
        <v>5</v>
      </c>
      <c r="T336" s="10" t="str">
        <f t="shared" si="3"/>
        <v>OK</v>
      </c>
      <c r="U336" s="10">
        <f t="shared" si="4"/>
        <v>1</v>
      </c>
      <c r="V336" s="10"/>
      <c r="W336" s="10"/>
      <c r="X336" s="10"/>
      <c r="Y336" s="10"/>
      <c r="Z336" s="10"/>
    </row>
    <row r="337" ht="13.5" customHeight="1">
      <c r="A337" s="3">
        <v>802.0</v>
      </c>
      <c r="B337" s="12">
        <v>40579.0</v>
      </c>
      <c r="C337" s="3">
        <v>1.0</v>
      </c>
      <c r="D337" s="3">
        <v>0.0</v>
      </c>
      <c r="E337" s="3">
        <v>2.0</v>
      </c>
      <c r="F337" s="3">
        <v>20.0</v>
      </c>
      <c r="G337" s="3" t="b">
        <f t="shared" si="41"/>
        <v>0</v>
      </c>
      <c r="H337" s="3">
        <v>6.0</v>
      </c>
      <c r="I337" s="3">
        <v>1.0</v>
      </c>
      <c r="J337" s="3">
        <v>0.3</v>
      </c>
      <c r="K337" s="3">
        <v>0.2879</v>
      </c>
      <c r="L337" s="3">
        <v>0.87</v>
      </c>
      <c r="M337" s="3">
        <v>0.2537</v>
      </c>
      <c r="N337" s="3">
        <v>5.0</v>
      </c>
      <c r="O337" s="3">
        <v>64.0</v>
      </c>
      <c r="P337" s="3">
        <v>69.0</v>
      </c>
      <c r="Q337" s="10"/>
      <c r="R337" s="10" t="str">
        <f t="shared" si="1"/>
        <v>OK</v>
      </c>
      <c r="S337" s="10">
        <f t="shared" si="2"/>
        <v>5</v>
      </c>
      <c r="T337" s="10" t="str">
        <f t="shared" si="3"/>
        <v>OK</v>
      </c>
      <c r="U337" s="10">
        <f t="shared" si="4"/>
        <v>1</v>
      </c>
      <c r="V337" s="10"/>
      <c r="W337" s="10"/>
      <c r="X337" s="10"/>
      <c r="Y337" s="10"/>
      <c r="Z337" s="10"/>
    </row>
    <row r="338" ht="13.5" customHeight="1">
      <c r="A338" s="3">
        <v>890.0</v>
      </c>
      <c r="B338" s="12">
        <v>40583.0</v>
      </c>
      <c r="C338" s="3">
        <v>1.0</v>
      </c>
      <c r="D338" s="3">
        <v>0.0</v>
      </c>
      <c r="E338" s="3">
        <v>2.0</v>
      </c>
      <c r="F338" s="3">
        <v>13.0</v>
      </c>
      <c r="G338" s="3" t="b">
        <f t="shared" si="41"/>
        <v>0</v>
      </c>
      <c r="H338" s="3">
        <v>3.0</v>
      </c>
      <c r="I338" s="3">
        <v>1.0</v>
      </c>
      <c r="J338" s="3">
        <v>0.18</v>
      </c>
      <c r="K338" s="3">
        <v>0.1667</v>
      </c>
      <c r="L338" s="3">
        <v>0.4</v>
      </c>
      <c r="M338" s="3">
        <v>0.2537</v>
      </c>
      <c r="N338" s="3">
        <v>2.0</v>
      </c>
      <c r="O338" s="3">
        <v>67.0</v>
      </c>
      <c r="P338" s="3">
        <v>69.0</v>
      </c>
      <c r="Q338" s="10"/>
      <c r="R338" s="10" t="str">
        <f t="shared" si="1"/>
        <v>OK</v>
      </c>
      <c r="S338" s="10">
        <f t="shared" si="2"/>
        <v>5</v>
      </c>
      <c r="T338" s="10" t="str">
        <f t="shared" si="3"/>
        <v>OK</v>
      </c>
      <c r="U338" s="10">
        <f t="shared" si="4"/>
        <v>1</v>
      </c>
      <c r="V338" s="10"/>
      <c r="W338" s="10"/>
      <c r="X338" s="10"/>
      <c r="Y338" s="10"/>
      <c r="Z338" s="10"/>
    </row>
    <row r="339" ht="13.5" customHeight="1">
      <c r="A339" s="3">
        <v>912.0</v>
      </c>
      <c r="B339" s="12">
        <v>40584.0</v>
      </c>
      <c r="C339" s="3">
        <v>1.0</v>
      </c>
      <c r="D339" s="3">
        <v>0.0</v>
      </c>
      <c r="E339" s="3">
        <v>2.0</v>
      </c>
      <c r="F339" s="3">
        <v>12.0</v>
      </c>
      <c r="G339" s="3" t="b">
        <f t="shared" si="41"/>
        <v>0</v>
      </c>
      <c r="H339" s="3">
        <v>4.0</v>
      </c>
      <c r="I339" s="3">
        <v>1.0</v>
      </c>
      <c r="J339" s="3">
        <v>0.16</v>
      </c>
      <c r="K339" s="3">
        <v>0.1364</v>
      </c>
      <c r="L339" s="3">
        <v>0.34</v>
      </c>
      <c r="M339" s="3">
        <v>0.3881</v>
      </c>
      <c r="N339" s="3">
        <v>4.0</v>
      </c>
      <c r="O339" s="3">
        <v>65.0</v>
      </c>
      <c r="P339" s="3">
        <v>69.0</v>
      </c>
      <c r="Q339" s="10"/>
      <c r="R339" s="10" t="str">
        <f t="shared" si="1"/>
        <v>OK</v>
      </c>
      <c r="S339" s="10">
        <f t="shared" si="2"/>
        <v>5</v>
      </c>
      <c r="T339" s="10" t="str">
        <f t="shared" si="3"/>
        <v>OK</v>
      </c>
      <c r="U339" s="10">
        <f t="shared" si="4"/>
        <v>1</v>
      </c>
      <c r="V339" s="10"/>
      <c r="W339" s="10"/>
      <c r="X339" s="10"/>
      <c r="Y339" s="10"/>
      <c r="Z339" s="10"/>
    </row>
    <row r="340" ht="13.5" customHeight="1">
      <c r="A340" s="10">
        <f>dataset_1!A271</f>
        <v>270</v>
      </c>
      <c r="B340" s="11">
        <f>dataset_1!B271</f>
        <v>40555</v>
      </c>
      <c r="C340" s="10">
        <f>dataset_1!C271</f>
        <v>1</v>
      </c>
      <c r="D340" s="10">
        <f>dataset_1!D271</f>
        <v>0</v>
      </c>
      <c r="E340" s="10">
        <f>dataset_1!E271</f>
        <v>1</v>
      </c>
      <c r="F340" s="10">
        <f>dataset_1!F271</f>
        <v>16</v>
      </c>
      <c r="G340" s="10" t="b">
        <f>dataset_1!G271</f>
        <v>0</v>
      </c>
      <c r="H340" s="10">
        <f>dataset_1!H271</f>
        <v>3</v>
      </c>
      <c r="I340" s="10">
        <f>dataset_1!I271</f>
        <v>1</v>
      </c>
      <c r="J340" s="10">
        <f>dataset_1!J271</f>
        <v>0.22</v>
      </c>
      <c r="K340" s="10">
        <f>VLOOKUP(A340,dataset_2!$A$2:$G$611,2,0)</f>
        <v>0.197</v>
      </c>
      <c r="L340" s="10">
        <f>VLOOKUP(A340,dataset_2!$A$2:$G$611,3,0)</f>
        <v>0.44</v>
      </c>
      <c r="M340" s="10">
        <f>VLOOKUP(A340,dataset_2!$A$2:$G$611,4,0)</f>
        <v>0.3284</v>
      </c>
      <c r="N340" s="10">
        <f>VLOOKUP(A340,dataset_2!$A$2:$G$611,5,0)</f>
        <v>5</v>
      </c>
      <c r="O340" s="10">
        <f>VLOOKUP(A340,dataset_2!$A$2:$G$611,6,0)</f>
        <v>63</v>
      </c>
      <c r="P340" s="10">
        <f>VLOOKUP(A340,dataset_2!$A$2:$G$611,7,0)</f>
        <v>68</v>
      </c>
      <c r="Q340" s="10"/>
      <c r="R340" s="10" t="str">
        <f t="shared" si="1"/>
        <v>OK</v>
      </c>
      <c r="S340" s="10">
        <f t="shared" si="2"/>
        <v>5</v>
      </c>
      <c r="T340" s="10" t="str">
        <f t="shared" si="3"/>
        <v>OK</v>
      </c>
      <c r="U340" s="10">
        <f t="shared" si="4"/>
        <v>1</v>
      </c>
      <c r="V340" s="10"/>
      <c r="W340" s="10"/>
      <c r="X340" s="10"/>
      <c r="Y340" s="10"/>
      <c r="Z340" s="10"/>
    </row>
    <row r="341" ht="13.5" customHeight="1">
      <c r="A341" s="10">
        <f>dataset_1!A317</f>
        <v>316</v>
      </c>
      <c r="B341" s="11">
        <f>dataset_1!B317</f>
        <v>40557</v>
      </c>
      <c r="C341" s="10">
        <f>dataset_1!C317</f>
        <v>1</v>
      </c>
      <c r="D341" s="10">
        <f>dataset_1!D317</f>
        <v>0</v>
      </c>
      <c r="E341" s="10">
        <f>dataset_1!E317</f>
        <v>1</v>
      </c>
      <c r="F341" s="10">
        <f>dataset_1!F317</f>
        <v>15</v>
      </c>
      <c r="G341" s="10" t="b">
        <f>dataset_1!G317</f>
        <v>0</v>
      </c>
      <c r="H341" s="10">
        <f>dataset_1!H317</f>
        <v>5</v>
      </c>
      <c r="I341" s="10">
        <f>dataset_1!I317</f>
        <v>1</v>
      </c>
      <c r="J341" s="10">
        <f>dataset_1!J317</f>
        <v>0.24</v>
      </c>
      <c r="K341" s="10">
        <f>VLOOKUP(A341,dataset_2!$A$2:$G$611,2,0)</f>
        <v>0.2424</v>
      </c>
      <c r="L341" s="10">
        <f>VLOOKUP(A341,dataset_2!$A$2:$G$611,3,0)</f>
        <v>0.38</v>
      </c>
      <c r="M341" s="10">
        <f>VLOOKUP(A341,dataset_2!$A$2:$G$611,4,0)</f>
        <v>0.1642</v>
      </c>
      <c r="N341" s="10">
        <f>VLOOKUP(A341,dataset_2!$A$2:$G$611,5,0)</f>
        <v>9</v>
      </c>
      <c r="O341" s="10">
        <f>VLOOKUP(A341,dataset_2!$A$2:$G$611,6,0)</f>
        <v>59</v>
      </c>
      <c r="P341" s="10">
        <f>VLOOKUP(A341,dataset_2!$A$2:$G$611,7,0)</f>
        <v>68</v>
      </c>
      <c r="Q341" s="10"/>
      <c r="R341" s="10" t="str">
        <f t="shared" si="1"/>
        <v>OK</v>
      </c>
      <c r="S341" s="10">
        <f t="shared" si="2"/>
        <v>5</v>
      </c>
      <c r="T341" s="10" t="str">
        <f t="shared" si="3"/>
        <v>OK</v>
      </c>
      <c r="U341" s="10">
        <f t="shared" si="4"/>
        <v>1</v>
      </c>
      <c r="V341" s="10"/>
      <c r="W341" s="10"/>
      <c r="X341" s="10"/>
      <c r="Y341" s="10"/>
      <c r="Z341" s="10"/>
    </row>
    <row r="342" ht="13.5" customHeight="1">
      <c r="A342" s="10">
        <f>dataset_1!A322</f>
        <v>321</v>
      </c>
      <c r="B342" s="11">
        <f>dataset_1!B322</f>
        <v>40557</v>
      </c>
      <c r="C342" s="10">
        <f>dataset_1!C322</f>
        <v>1</v>
      </c>
      <c r="D342" s="10">
        <f>dataset_1!D322</f>
        <v>0</v>
      </c>
      <c r="E342" s="10">
        <f>dataset_1!E322</f>
        <v>1</v>
      </c>
      <c r="F342" s="10">
        <f>dataset_1!F322</f>
        <v>20</v>
      </c>
      <c r="G342" s="10" t="b">
        <f>dataset_1!G322</f>
        <v>0</v>
      </c>
      <c r="H342" s="10">
        <f>dataset_1!H322</f>
        <v>5</v>
      </c>
      <c r="I342" s="10">
        <f>dataset_1!I322</f>
        <v>1</v>
      </c>
      <c r="J342" s="10">
        <f>dataset_1!J322</f>
        <v>0.18</v>
      </c>
      <c r="K342" s="10">
        <f>VLOOKUP(A342,dataset_2!$A$2:$G$611,2,0)</f>
        <v>0.2424</v>
      </c>
      <c r="L342" s="10">
        <f>VLOOKUP(A342,dataset_2!$A$2:$G$611,3,0)</f>
        <v>0.59</v>
      </c>
      <c r="M342" s="10">
        <f>VLOOKUP(A342,dataset_2!$A$2:$G$611,4,0)</f>
        <v>0</v>
      </c>
      <c r="N342" s="10">
        <f>VLOOKUP(A342,dataset_2!$A$2:$G$611,5,0)</f>
        <v>0</v>
      </c>
      <c r="O342" s="10">
        <f>VLOOKUP(A342,dataset_2!$A$2:$G$611,6,0)</f>
        <v>68</v>
      </c>
      <c r="P342" s="10">
        <f>VLOOKUP(A342,dataset_2!$A$2:$G$611,7,0)</f>
        <v>68</v>
      </c>
      <c r="Q342" s="10"/>
      <c r="R342" s="10" t="str">
        <f t="shared" si="1"/>
        <v>OK</v>
      </c>
      <c r="S342" s="10">
        <f t="shared" si="2"/>
        <v>5</v>
      </c>
      <c r="T342" s="10" t="str">
        <f t="shared" si="3"/>
        <v>OK</v>
      </c>
      <c r="U342" s="10">
        <f t="shared" si="4"/>
        <v>1</v>
      </c>
      <c r="V342" s="10"/>
      <c r="W342" s="10"/>
      <c r="X342" s="10"/>
      <c r="Y342" s="10"/>
      <c r="Z342" s="10"/>
    </row>
    <row r="343" ht="13.5" customHeight="1">
      <c r="A343" s="10">
        <f>dataset_1!A444</f>
        <v>443</v>
      </c>
      <c r="B343" s="11">
        <f>dataset_1!B444</f>
        <v>40563</v>
      </c>
      <c r="C343" s="10">
        <f>dataset_1!C444</f>
        <v>1</v>
      </c>
      <c r="D343" s="10">
        <f>dataset_1!D444</f>
        <v>0</v>
      </c>
      <c r="E343" s="10">
        <f>dataset_1!E444</f>
        <v>1</v>
      </c>
      <c r="F343" s="10">
        <f>dataset_1!F444</f>
        <v>11</v>
      </c>
      <c r="G343" s="10" t="b">
        <f>dataset_1!G444</f>
        <v>0</v>
      </c>
      <c r="H343" s="10">
        <f>dataset_1!H444</f>
        <v>4</v>
      </c>
      <c r="I343" s="10">
        <f>dataset_1!I444</f>
        <v>2</v>
      </c>
      <c r="J343" s="10">
        <f>dataset_1!J444</f>
        <v>0.28</v>
      </c>
      <c r="K343" s="10">
        <f>VLOOKUP(A343,dataset_2!$A$2:$G$611,2,0)</f>
        <v>0.2727</v>
      </c>
      <c r="L343" s="10">
        <f>VLOOKUP(A343,dataset_2!$A$2:$G$611,3,0)</f>
        <v>0.45</v>
      </c>
      <c r="M343" s="10">
        <f>VLOOKUP(A343,dataset_2!$A$2:$G$611,4,0)</f>
        <v>0.1642</v>
      </c>
      <c r="N343" s="10">
        <f>VLOOKUP(A343,dataset_2!$A$2:$G$611,5,0)</f>
        <v>5</v>
      </c>
      <c r="O343" s="10">
        <f>VLOOKUP(A343,dataset_2!$A$2:$G$611,6,0)</f>
        <v>63</v>
      </c>
      <c r="P343" s="10">
        <f>VLOOKUP(A343,dataset_2!$A$2:$G$611,7,0)</f>
        <v>68</v>
      </c>
      <c r="Q343" s="10"/>
      <c r="R343" s="10" t="str">
        <f t="shared" si="1"/>
        <v>OK</v>
      </c>
      <c r="S343" s="10">
        <f t="shared" si="2"/>
        <v>5</v>
      </c>
      <c r="T343" s="10" t="str">
        <f t="shared" si="3"/>
        <v>OK</v>
      </c>
      <c r="U343" s="10">
        <f t="shared" si="4"/>
        <v>1</v>
      </c>
      <c r="V343" s="10"/>
      <c r="W343" s="10"/>
      <c r="X343" s="10"/>
      <c r="Y343" s="10"/>
      <c r="Z343" s="10"/>
    </row>
    <row r="344" ht="13.5" customHeight="1">
      <c r="A344" s="10">
        <f>dataset_1!A464</f>
        <v>463</v>
      </c>
      <c r="B344" s="11">
        <f>dataset_1!B464</f>
        <v>40564</v>
      </c>
      <c r="C344" s="10">
        <f>dataset_1!C464</f>
        <v>1</v>
      </c>
      <c r="D344" s="10">
        <f>dataset_1!D464</f>
        <v>0</v>
      </c>
      <c r="E344" s="10">
        <f>dataset_1!E464</f>
        <v>1</v>
      </c>
      <c r="F344" s="10">
        <f>dataset_1!F464</f>
        <v>7</v>
      </c>
      <c r="G344" s="10" t="b">
        <f>dataset_1!G464</f>
        <v>0</v>
      </c>
      <c r="H344" s="10">
        <f>dataset_1!H464</f>
        <v>5</v>
      </c>
      <c r="I344" s="10">
        <f>dataset_1!I464</f>
        <v>1</v>
      </c>
      <c r="J344" s="10">
        <f>dataset_1!J464</f>
        <v>0.2</v>
      </c>
      <c r="K344" s="10">
        <f>VLOOKUP(A344,dataset_2!$A$2:$G$611,2,0)</f>
        <v>0.1818</v>
      </c>
      <c r="L344" s="10">
        <f>VLOOKUP(A344,dataset_2!$A$2:$G$611,3,0)</f>
        <v>0.51</v>
      </c>
      <c r="M344" s="10">
        <f>VLOOKUP(A344,dataset_2!$A$2:$G$611,4,0)</f>
        <v>0.2836</v>
      </c>
      <c r="N344" s="10">
        <f>VLOOKUP(A344,dataset_2!$A$2:$G$611,5,0)</f>
        <v>2</v>
      </c>
      <c r="O344" s="10">
        <f>VLOOKUP(A344,dataset_2!$A$2:$G$611,6,0)</f>
        <v>66</v>
      </c>
      <c r="P344" s="10">
        <f>VLOOKUP(A344,dataset_2!$A$2:$G$611,7,0)</f>
        <v>68</v>
      </c>
      <c r="Q344" s="10"/>
      <c r="R344" s="10" t="str">
        <f t="shared" si="1"/>
        <v>OK</v>
      </c>
      <c r="S344" s="10">
        <f t="shared" si="2"/>
        <v>5</v>
      </c>
      <c r="T344" s="10" t="str">
        <f t="shared" si="3"/>
        <v>OK</v>
      </c>
      <c r="U344" s="10">
        <f t="shared" si="4"/>
        <v>1</v>
      </c>
      <c r="V344" s="10"/>
      <c r="W344" s="10"/>
      <c r="X344" s="10"/>
      <c r="Y344" s="10"/>
      <c r="Z344" s="10"/>
    </row>
    <row r="345" ht="13.5" customHeight="1">
      <c r="A345" s="10">
        <f>dataset_1!A563</f>
        <v>562</v>
      </c>
      <c r="B345" s="11">
        <f>dataset_1!B563</f>
        <v>40568</v>
      </c>
      <c r="C345" s="10">
        <f>dataset_1!C563</f>
        <v>1</v>
      </c>
      <c r="D345" s="10">
        <f>dataset_1!D563</f>
        <v>0</v>
      </c>
      <c r="E345" s="10">
        <f>dataset_1!E563</f>
        <v>1</v>
      </c>
      <c r="F345" s="10">
        <f>dataset_1!F563</f>
        <v>14</v>
      </c>
      <c r="G345" s="10" t="b">
        <f>dataset_1!G563</f>
        <v>0</v>
      </c>
      <c r="H345" s="10">
        <f>dataset_1!H563</f>
        <v>2</v>
      </c>
      <c r="I345" s="10">
        <f>dataset_1!I563</f>
        <v>2</v>
      </c>
      <c r="J345" s="10">
        <f>dataset_1!J563</f>
        <v>0.3</v>
      </c>
      <c r="K345" s="10">
        <f>VLOOKUP(A345,dataset_2!$A$2:$G$611,2,0)</f>
        <v>0.3333</v>
      </c>
      <c r="L345" s="10">
        <f>VLOOKUP(A345,dataset_2!$A$2:$G$611,3,0)</f>
        <v>0.45</v>
      </c>
      <c r="M345" s="10">
        <f>VLOOKUP(A345,dataset_2!$A$2:$G$611,4,0)</f>
        <v>0</v>
      </c>
      <c r="N345" s="10">
        <f>VLOOKUP(A345,dataset_2!$A$2:$G$611,5,0)</f>
        <v>11</v>
      </c>
      <c r="O345" s="10">
        <f>VLOOKUP(A345,dataset_2!$A$2:$G$611,6,0)</f>
        <v>57</v>
      </c>
      <c r="P345" s="10">
        <f>VLOOKUP(A345,dataset_2!$A$2:$G$611,7,0)</f>
        <v>68</v>
      </c>
      <c r="Q345" s="10"/>
      <c r="R345" s="10" t="str">
        <f t="shared" si="1"/>
        <v>OK</v>
      </c>
      <c r="S345" s="10">
        <f t="shared" si="2"/>
        <v>5</v>
      </c>
      <c r="T345" s="10" t="str">
        <f t="shared" si="3"/>
        <v>OK</v>
      </c>
      <c r="U345" s="10">
        <f t="shared" si="4"/>
        <v>1</v>
      </c>
      <c r="V345" s="10"/>
      <c r="W345" s="10"/>
      <c r="X345" s="10"/>
      <c r="Y345" s="10"/>
      <c r="Z345" s="10"/>
    </row>
    <row r="346" ht="13.5" customHeight="1">
      <c r="A346" s="3">
        <v>636.0</v>
      </c>
      <c r="B346" s="12">
        <v>40572.0</v>
      </c>
      <c r="C346" s="3">
        <v>1.0</v>
      </c>
      <c r="D346" s="3">
        <v>0.0</v>
      </c>
      <c r="E346" s="3">
        <v>1.0</v>
      </c>
      <c r="F346" s="3">
        <v>18.0</v>
      </c>
      <c r="G346" s="3" t="b">
        <f t="shared" ref="G346:G347" si="42">FALSE()</f>
        <v>0</v>
      </c>
      <c r="H346" s="3">
        <v>6.0</v>
      </c>
      <c r="I346" s="3">
        <v>1.0</v>
      </c>
      <c r="J346" s="3">
        <v>0.22</v>
      </c>
      <c r="K346" s="3">
        <v>0.2273</v>
      </c>
      <c r="L346" s="3">
        <v>0.69</v>
      </c>
      <c r="M346" s="3">
        <v>0.1343</v>
      </c>
      <c r="N346" s="3">
        <v>9.0</v>
      </c>
      <c r="O346" s="3">
        <v>59.0</v>
      </c>
      <c r="P346" s="3">
        <v>68.0</v>
      </c>
      <c r="Q346" s="10"/>
      <c r="R346" s="10" t="str">
        <f t="shared" si="1"/>
        <v>OK</v>
      </c>
      <c r="S346" s="10">
        <f t="shared" si="2"/>
        <v>5</v>
      </c>
      <c r="T346" s="10" t="str">
        <f t="shared" si="3"/>
        <v>OK</v>
      </c>
      <c r="U346" s="10">
        <f t="shared" si="4"/>
        <v>1</v>
      </c>
      <c r="V346" s="10"/>
      <c r="W346" s="10"/>
      <c r="X346" s="10"/>
      <c r="Y346" s="10"/>
      <c r="Z346" s="10"/>
    </row>
    <row r="347" ht="13.5" customHeight="1">
      <c r="A347" s="3">
        <v>677.0</v>
      </c>
      <c r="B347" s="12">
        <v>40574.0</v>
      </c>
      <c r="C347" s="3">
        <v>1.0</v>
      </c>
      <c r="D347" s="3">
        <v>0.0</v>
      </c>
      <c r="E347" s="3">
        <v>1.0</v>
      </c>
      <c r="F347" s="3">
        <v>12.0</v>
      </c>
      <c r="G347" s="3" t="b">
        <f t="shared" si="42"/>
        <v>0</v>
      </c>
      <c r="H347" s="3">
        <v>1.0</v>
      </c>
      <c r="I347" s="3">
        <v>2.0</v>
      </c>
      <c r="J347" s="3">
        <v>0.18</v>
      </c>
      <c r="K347" s="3">
        <v>0.2121</v>
      </c>
      <c r="L347" s="3">
        <v>0.55</v>
      </c>
      <c r="M347" s="3">
        <v>0.1045</v>
      </c>
      <c r="N347" s="3">
        <v>6.0</v>
      </c>
      <c r="O347" s="3">
        <v>62.0</v>
      </c>
      <c r="P347" s="3">
        <v>68.0</v>
      </c>
      <c r="Q347" s="10"/>
      <c r="R347" s="10" t="str">
        <f t="shared" si="1"/>
        <v>OK</v>
      </c>
      <c r="S347" s="10">
        <f t="shared" si="2"/>
        <v>5</v>
      </c>
      <c r="T347" s="10" t="str">
        <f t="shared" si="3"/>
        <v>OK</v>
      </c>
      <c r="U347" s="10">
        <f t="shared" si="4"/>
        <v>1</v>
      </c>
      <c r="V347" s="10"/>
      <c r="W347" s="10"/>
      <c r="X347" s="10"/>
      <c r="Y347" s="10"/>
      <c r="Z347" s="10"/>
    </row>
    <row r="348" ht="13.5" customHeight="1">
      <c r="A348" s="10">
        <f>dataset_1!A19</f>
        <v>18</v>
      </c>
      <c r="B348" s="11">
        <f>dataset_1!B19</f>
        <v>40544</v>
      </c>
      <c r="C348" s="10">
        <f>dataset_1!C19</f>
        <v>1</v>
      </c>
      <c r="D348" s="10">
        <f>dataset_1!D19</f>
        <v>0</v>
      </c>
      <c r="E348" s="10">
        <f>dataset_1!E19</f>
        <v>1</v>
      </c>
      <c r="F348" s="10">
        <f>dataset_1!F19</f>
        <v>17</v>
      </c>
      <c r="G348" s="10" t="b">
        <f>dataset_1!G19</f>
        <v>0</v>
      </c>
      <c r="H348" s="10">
        <f>dataset_1!H19</f>
        <v>6</v>
      </c>
      <c r="I348" s="10">
        <f>dataset_1!I19</f>
        <v>2</v>
      </c>
      <c r="J348" s="10">
        <f>dataset_1!J19</f>
        <v>0.44</v>
      </c>
      <c r="K348" s="10" t="str">
        <f>VLOOKUP(A348,dataset_2!$A$2:$G$611,2,0)</f>
        <v/>
      </c>
      <c r="L348" s="10">
        <f>VLOOKUP(A348,dataset_2!$A$2:$G$611,3,0)</f>
        <v>0.82</v>
      </c>
      <c r="M348" s="10">
        <f>VLOOKUP(A348,dataset_2!$A$2:$G$611,4,0)</f>
        <v>0.2836</v>
      </c>
      <c r="N348" s="10">
        <f>VLOOKUP(A348,dataset_2!$A$2:$G$611,5,0)</f>
        <v>15</v>
      </c>
      <c r="O348" s="10">
        <f>VLOOKUP(A348,dataset_2!$A$2:$G$611,6,0)</f>
        <v>52</v>
      </c>
      <c r="P348" s="10">
        <f>VLOOKUP(A348,dataset_2!$A$2:$G$611,7,0)</f>
        <v>67</v>
      </c>
      <c r="Q348" s="10"/>
      <c r="R348" s="10" t="str">
        <f t="shared" si="1"/>
        <v>CHECK</v>
      </c>
      <c r="S348" s="10">
        <f t="shared" si="2"/>
        <v>5</v>
      </c>
      <c r="T348" s="10" t="str">
        <f t="shared" si="3"/>
        <v>OK</v>
      </c>
      <c r="U348" s="10">
        <f t="shared" si="4"/>
        <v>1</v>
      </c>
      <c r="V348" s="10"/>
      <c r="W348" s="10"/>
      <c r="X348" s="10"/>
      <c r="Y348" s="10"/>
      <c r="Z348" s="10"/>
    </row>
    <row r="349" ht="13.5" customHeight="1">
      <c r="A349" s="10">
        <f>dataset_1!A129</f>
        <v>128</v>
      </c>
      <c r="B349" s="11">
        <f>dataset_1!B129</f>
        <v>40549</v>
      </c>
      <c r="C349" s="10">
        <f>dataset_1!C129</f>
        <v>1</v>
      </c>
      <c r="D349" s="10">
        <f>dataset_1!D129</f>
        <v>0</v>
      </c>
      <c r="E349" s="10">
        <f>dataset_1!E129</f>
        <v>1</v>
      </c>
      <c r="F349" s="10">
        <f>dataset_1!F129</f>
        <v>13</v>
      </c>
      <c r="G349" s="10" t="b">
        <f>dataset_1!G129</f>
        <v>0</v>
      </c>
      <c r="H349" s="10">
        <f>dataset_1!H129</f>
        <v>4</v>
      </c>
      <c r="I349" s="10">
        <f>dataset_1!I129</f>
        <v>1</v>
      </c>
      <c r="J349" s="10">
        <f>dataset_1!J129</f>
        <v>0.26</v>
      </c>
      <c r="K349" s="10">
        <f>VLOOKUP(A349,dataset_2!$A$2:$G$611,2,0)</f>
        <v>0.2727</v>
      </c>
      <c r="L349" s="10">
        <f>VLOOKUP(A349,dataset_2!$A$2:$G$611,3,0)</f>
        <v>0.35</v>
      </c>
      <c r="M349" s="10">
        <f>VLOOKUP(A349,dataset_2!$A$2:$G$611,4,0)</f>
        <v>0.1045</v>
      </c>
      <c r="N349" s="10">
        <f>VLOOKUP(A349,dataset_2!$A$2:$G$611,5,0)</f>
        <v>12</v>
      </c>
      <c r="O349" s="10">
        <f>VLOOKUP(A349,dataset_2!$A$2:$G$611,6,0)</f>
        <v>55</v>
      </c>
      <c r="P349" s="10">
        <f>VLOOKUP(A349,dataset_2!$A$2:$G$611,7,0)</f>
        <v>67</v>
      </c>
      <c r="Q349" s="10"/>
      <c r="R349" s="10" t="str">
        <f t="shared" si="1"/>
        <v>OK</v>
      </c>
      <c r="S349" s="10">
        <f t="shared" si="2"/>
        <v>4</v>
      </c>
      <c r="T349" s="10" t="str">
        <f t="shared" si="3"/>
        <v>OK</v>
      </c>
      <c r="U349" s="10">
        <f t="shared" si="4"/>
        <v>1</v>
      </c>
      <c r="V349" s="10"/>
      <c r="W349" s="10"/>
      <c r="X349" s="10"/>
      <c r="Y349" s="10"/>
      <c r="Z349" s="10"/>
    </row>
    <row r="350" ht="13.5" customHeight="1">
      <c r="A350" s="10">
        <f>dataset_1!A150</f>
        <v>149</v>
      </c>
      <c r="B350" s="11">
        <f>dataset_1!B150</f>
        <v>40550</v>
      </c>
      <c r="C350" s="10">
        <f>dataset_1!C150</f>
        <v>1</v>
      </c>
      <c r="D350" s="10">
        <f>dataset_1!D150</f>
        <v>0</v>
      </c>
      <c r="E350" s="10">
        <f>dataset_1!E150</f>
        <v>1</v>
      </c>
      <c r="F350" s="10">
        <f>dataset_1!F150</f>
        <v>11</v>
      </c>
      <c r="G350" s="10" t="b">
        <f>dataset_1!G150</f>
        <v>0</v>
      </c>
      <c r="H350" s="10">
        <f>dataset_1!H150</f>
        <v>5</v>
      </c>
      <c r="I350" s="10">
        <f>dataset_1!I150</f>
        <v>2</v>
      </c>
      <c r="J350" s="10">
        <f>dataset_1!J150</f>
        <v>0.2</v>
      </c>
      <c r="K350" s="10">
        <f>VLOOKUP(A350,dataset_2!$A$2:$G$611,2,0)</f>
        <v>0.197</v>
      </c>
      <c r="L350" s="10">
        <f>VLOOKUP(A350,dataset_2!$A$2:$G$611,3,0)</f>
        <v>0.4</v>
      </c>
      <c r="M350" s="10">
        <f>VLOOKUP(A350,dataset_2!$A$2:$G$611,4,0)</f>
        <v>0.2239</v>
      </c>
      <c r="N350" s="10">
        <f>VLOOKUP(A350,dataset_2!$A$2:$G$611,5,0)</f>
        <v>19</v>
      </c>
      <c r="O350" s="10">
        <f>VLOOKUP(A350,dataset_2!$A$2:$G$611,6,0)</f>
        <v>48</v>
      </c>
      <c r="P350" s="10">
        <f>VLOOKUP(A350,dataset_2!$A$2:$G$611,7,0)</f>
        <v>67</v>
      </c>
      <c r="Q350" s="10"/>
      <c r="R350" s="10" t="str">
        <f t="shared" si="1"/>
        <v>OK</v>
      </c>
      <c r="S350" s="10">
        <f t="shared" si="2"/>
        <v>4</v>
      </c>
      <c r="T350" s="10" t="str">
        <f t="shared" si="3"/>
        <v>OK</v>
      </c>
      <c r="U350" s="10">
        <f t="shared" si="4"/>
        <v>1</v>
      </c>
      <c r="V350" s="10"/>
      <c r="W350" s="10"/>
      <c r="X350" s="10"/>
      <c r="Y350" s="10"/>
      <c r="Z350" s="10"/>
    </row>
    <row r="351" ht="13.5" customHeight="1">
      <c r="A351" s="10">
        <f>dataset_1!A368</f>
        <v>367</v>
      </c>
      <c r="B351" s="11">
        <f>dataset_1!B368</f>
        <v>40559</v>
      </c>
      <c r="C351" s="10">
        <f>dataset_1!C368</f>
        <v>1</v>
      </c>
      <c r="D351" s="10">
        <f>dataset_1!D368</f>
        <v>0</v>
      </c>
      <c r="E351" s="10">
        <f>dataset_1!E368</f>
        <v>1</v>
      </c>
      <c r="F351" s="10">
        <f>dataset_1!F368</f>
        <v>18</v>
      </c>
      <c r="G351" s="10" t="b">
        <f>dataset_1!G368</f>
        <v>0</v>
      </c>
      <c r="H351" s="10">
        <f>dataset_1!H368</f>
        <v>0</v>
      </c>
      <c r="I351" s="10">
        <f>dataset_1!I368</f>
        <v>1</v>
      </c>
      <c r="J351" s="10">
        <f>dataset_1!J368</f>
        <v>0.2</v>
      </c>
      <c r="K351" s="10">
        <f>VLOOKUP(A351,dataset_2!$A$2:$G$611,2,0)</f>
        <v>0.2121</v>
      </c>
      <c r="L351" s="10">
        <f>VLOOKUP(A351,dataset_2!$A$2:$G$611,3,0)</f>
        <v>0.4</v>
      </c>
      <c r="M351" s="10">
        <f>VLOOKUP(A351,dataset_2!$A$2:$G$611,4,0)</f>
        <v>0.1642</v>
      </c>
      <c r="N351" s="10">
        <f>VLOOKUP(A351,dataset_2!$A$2:$G$611,5,0)</f>
        <v>11</v>
      </c>
      <c r="O351" s="10">
        <f>VLOOKUP(A351,dataset_2!$A$2:$G$611,6,0)</f>
        <v>56</v>
      </c>
      <c r="P351" s="10">
        <f>VLOOKUP(A351,dataset_2!$A$2:$G$611,7,0)</f>
        <v>67</v>
      </c>
      <c r="Q351" s="10"/>
      <c r="R351" s="10" t="str">
        <f t="shared" si="1"/>
        <v>OK</v>
      </c>
      <c r="S351" s="10">
        <f t="shared" si="2"/>
        <v>4</v>
      </c>
      <c r="T351" s="10" t="str">
        <f t="shared" si="3"/>
        <v>OK</v>
      </c>
      <c r="U351" s="10">
        <f t="shared" si="4"/>
        <v>1</v>
      </c>
      <c r="V351" s="10"/>
      <c r="W351" s="10"/>
      <c r="X351" s="10"/>
      <c r="Y351" s="10"/>
      <c r="Z351" s="10"/>
    </row>
    <row r="352" ht="13.5" customHeight="1">
      <c r="A352" s="10">
        <f>dataset_1!A497</f>
        <v>496</v>
      </c>
      <c r="B352" s="11">
        <f>dataset_1!B497</f>
        <v>40565</v>
      </c>
      <c r="C352" s="10">
        <f>dataset_1!C497</f>
        <v>1</v>
      </c>
      <c r="D352" s="10">
        <f>dataset_1!D497</f>
        <v>0</v>
      </c>
      <c r="E352" s="10">
        <f>dataset_1!E497</f>
        <v>1</v>
      </c>
      <c r="F352" s="10">
        <f>dataset_1!F497</f>
        <v>17</v>
      </c>
      <c r="G352" s="10" t="b">
        <f>dataset_1!G497</f>
        <v>0</v>
      </c>
      <c r="H352" s="10">
        <f>dataset_1!H497</f>
        <v>6</v>
      </c>
      <c r="I352" s="10">
        <f>dataset_1!I497</f>
        <v>1</v>
      </c>
      <c r="J352" s="10">
        <f>dataset_1!J497</f>
        <v>0.12</v>
      </c>
      <c r="K352" s="10">
        <f>VLOOKUP(A352,dataset_2!$A$2:$G$611,2,0)</f>
        <v>0.197</v>
      </c>
      <c r="L352" s="10">
        <f>VLOOKUP(A352,dataset_2!$A$2:$G$611,3,0)</f>
        <v>0.28</v>
      </c>
      <c r="M352" s="10">
        <f>VLOOKUP(A352,dataset_2!$A$2:$G$611,4,0)</f>
        <v>0</v>
      </c>
      <c r="N352" s="10">
        <f>VLOOKUP(A352,dataset_2!$A$2:$G$611,5,0)</f>
        <v>8</v>
      </c>
      <c r="O352" s="10">
        <f>VLOOKUP(A352,dataset_2!$A$2:$G$611,6,0)</f>
        <v>59</v>
      </c>
      <c r="P352" s="10">
        <f>VLOOKUP(A352,dataset_2!$A$2:$G$611,7,0)</f>
        <v>67</v>
      </c>
      <c r="Q352" s="10"/>
      <c r="R352" s="10" t="str">
        <f t="shared" si="1"/>
        <v>OK</v>
      </c>
      <c r="S352" s="10">
        <f t="shared" si="2"/>
        <v>4</v>
      </c>
      <c r="T352" s="10" t="str">
        <f t="shared" si="3"/>
        <v>OK</v>
      </c>
      <c r="U352" s="10">
        <f t="shared" si="4"/>
        <v>1</v>
      </c>
      <c r="V352" s="10"/>
      <c r="W352" s="10"/>
      <c r="X352" s="10"/>
      <c r="Y352" s="10"/>
      <c r="Z352" s="10"/>
    </row>
    <row r="353" ht="13.5" customHeight="1">
      <c r="A353" s="3">
        <v>842.0</v>
      </c>
      <c r="B353" s="12">
        <v>40581.0</v>
      </c>
      <c r="C353" s="3">
        <v>1.0</v>
      </c>
      <c r="D353" s="3">
        <v>0.0</v>
      </c>
      <c r="E353" s="3">
        <v>2.0</v>
      </c>
      <c r="F353" s="3">
        <v>12.0</v>
      </c>
      <c r="G353" s="3" t="b">
        <f>FALSE()</f>
        <v>0</v>
      </c>
      <c r="H353" s="3">
        <v>1.0</v>
      </c>
      <c r="I353" s="3">
        <v>2.0</v>
      </c>
      <c r="J353" s="3">
        <v>0.32</v>
      </c>
      <c r="K353" s="3">
        <v>0.3485</v>
      </c>
      <c r="L353" s="3">
        <v>0.62</v>
      </c>
      <c r="M353" s="3">
        <v>0.0</v>
      </c>
      <c r="N353" s="3">
        <v>7.0</v>
      </c>
      <c r="O353" s="3">
        <v>59.0</v>
      </c>
      <c r="P353" s="3">
        <v>66.0</v>
      </c>
      <c r="Q353" s="10"/>
      <c r="R353" s="10" t="str">
        <f t="shared" si="1"/>
        <v>OK</v>
      </c>
      <c r="S353" s="10">
        <f t="shared" si="2"/>
        <v>4</v>
      </c>
      <c r="T353" s="10" t="str">
        <f t="shared" si="3"/>
        <v>OK</v>
      </c>
      <c r="U353" s="10">
        <f t="shared" si="4"/>
        <v>1</v>
      </c>
      <c r="V353" s="10"/>
      <c r="W353" s="10"/>
      <c r="X353" s="10"/>
      <c r="Y353" s="10"/>
      <c r="Z353" s="10"/>
    </row>
    <row r="354" ht="13.5" customHeight="1">
      <c r="A354" s="10">
        <f>dataset_1!A42</f>
        <v>41</v>
      </c>
      <c r="B354" s="11">
        <f>dataset_1!B42</f>
        <v>40545</v>
      </c>
      <c r="C354" s="10">
        <f>dataset_1!C42</f>
        <v>1</v>
      </c>
      <c r="D354" s="10">
        <f>dataset_1!D42</f>
        <v>0</v>
      </c>
      <c r="E354" s="10">
        <f>dataset_1!E42</f>
        <v>1</v>
      </c>
      <c r="F354" s="10">
        <f>dataset_1!F42</f>
        <v>17</v>
      </c>
      <c r="G354" s="10" t="b">
        <f>dataset_1!G42</f>
        <v>0</v>
      </c>
      <c r="H354" s="10">
        <f>dataset_1!H42</f>
        <v>0</v>
      </c>
      <c r="I354" s="10">
        <f>dataset_1!I42</f>
        <v>1</v>
      </c>
      <c r="J354" s="10">
        <f>dataset_1!J42</f>
        <v>0.34</v>
      </c>
      <c r="K354" s="10">
        <f>VLOOKUP(A354,dataset_2!$A$2:$G$611,2,0)</f>
        <v>0.3333</v>
      </c>
      <c r="L354" s="10">
        <f>VLOOKUP(A354,dataset_2!$A$2:$G$611,3,0)</f>
        <v>0.57</v>
      </c>
      <c r="M354" s="10">
        <f>VLOOKUP(A354,dataset_2!$A$2:$G$611,4,0)</f>
        <v>0.194</v>
      </c>
      <c r="N354" s="10">
        <f>VLOOKUP(A354,dataset_2!$A$2:$G$611,5,0)</f>
        <v>7</v>
      </c>
      <c r="O354" s="10">
        <f>VLOOKUP(A354,dataset_2!$A$2:$G$611,6,0)</f>
        <v>58</v>
      </c>
      <c r="P354" s="10">
        <f>VLOOKUP(A354,dataset_2!$A$2:$G$611,7,0)</f>
        <v>65</v>
      </c>
      <c r="Q354" s="10"/>
      <c r="R354" s="10" t="str">
        <f t="shared" si="1"/>
        <v>OK</v>
      </c>
      <c r="S354" s="10">
        <f t="shared" si="2"/>
        <v>4</v>
      </c>
      <c r="T354" s="10" t="str">
        <f t="shared" si="3"/>
        <v>OK</v>
      </c>
      <c r="U354" s="10">
        <f t="shared" si="4"/>
        <v>1</v>
      </c>
      <c r="V354" s="10"/>
      <c r="W354" s="10"/>
      <c r="X354" s="10"/>
      <c r="Y354" s="10"/>
      <c r="Z354" s="10"/>
    </row>
    <row r="355" ht="13.5" customHeight="1">
      <c r="A355" s="10">
        <f>dataset_1!A85</f>
        <v>84</v>
      </c>
      <c r="B355" s="11">
        <f>dataset_1!B85</f>
        <v>40547</v>
      </c>
      <c r="C355" s="10">
        <f>dataset_1!C85</f>
        <v>1</v>
      </c>
      <c r="D355" s="10">
        <f>dataset_1!D85</f>
        <v>0</v>
      </c>
      <c r="E355" s="10">
        <f>dataset_1!E85</f>
        <v>1</v>
      </c>
      <c r="F355" s="10">
        <f>dataset_1!F85</f>
        <v>15</v>
      </c>
      <c r="G355" s="10" t="b">
        <f>dataset_1!G85</f>
        <v>0</v>
      </c>
      <c r="H355" s="10">
        <f>dataset_1!H85</f>
        <v>2</v>
      </c>
      <c r="I355" s="10">
        <f>dataset_1!I85</f>
        <v>1</v>
      </c>
      <c r="J355" s="10">
        <f>dataset_1!J85</f>
        <v>0.28</v>
      </c>
      <c r="K355" s="10">
        <f>VLOOKUP(A355,dataset_2!$A$2:$G$611,2,0)</f>
        <v>0.2727</v>
      </c>
      <c r="L355" s="10">
        <f>VLOOKUP(A355,dataset_2!$A$2:$G$611,3,0)</f>
        <v>0.52</v>
      </c>
      <c r="M355" s="10">
        <f>VLOOKUP(A355,dataset_2!$A$2:$G$611,4,0)</f>
        <v>0.2537</v>
      </c>
      <c r="N355" s="10">
        <f>VLOOKUP(A355,dataset_2!$A$2:$G$611,5,0)</f>
        <v>17</v>
      </c>
      <c r="O355" s="10">
        <f>VLOOKUP(A355,dataset_2!$A$2:$G$611,6,0)</f>
        <v>48</v>
      </c>
      <c r="P355" s="10">
        <f>VLOOKUP(A355,dataset_2!$A$2:$G$611,7,0)</f>
        <v>65</v>
      </c>
      <c r="Q355" s="10"/>
      <c r="R355" s="10" t="str">
        <f t="shared" si="1"/>
        <v>OK</v>
      </c>
      <c r="S355" s="10">
        <f t="shared" si="2"/>
        <v>4</v>
      </c>
      <c r="T355" s="10" t="str">
        <f t="shared" si="3"/>
        <v>OK</v>
      </c>
      <c r="U355" s="10">
        <f t="shared" si="4"/>
        <v>1</v>
      </c>
      <c r="V355" s="10"/>
      <c r="W355" s="10"/>
      <c r="X355" s="10"/>
      <c r="Y355" s="10"/>
      <c r="Z355" s="10"/>
    </row>
    <row r="356" ht="13.5" customHeight="1">
      <c r="A356" s="10">
        <f>dataset_1!A472</f>
        <v>471</v>
      </c>
      <c r="B356" s="11">
        <f>dataset_1!B472</f>
        <v>40564</v>
      </c>
      <c r="C356" s="10">
        <f>dataset_1!C472</f>
        <v>1</v>
      </c>
      <c r="D356" s="10">
        <f>dataset_1!D472</f>
        <v>0</v>
      </c>
      <c r="E356" s="10">
        <f>dataset_1!E472</f>
        <v>1</v>
      </c>
      <c r="F356" s="10">
        <f>dataset_1!F472</f>
        <v>15</v>
      </c>
      <c r="G356" s="10" t="b">
        <f>dataset_1!G472</f>
        <v>0</v>
      </c>
      <c r="H356" s="10">
        <f>dataset_1!H472</f>
        <v>5</v>
      </c>
      <c r="I356" s="10">
        <f>dataset_1!I472</f>
        <v>1</v>
      </c>
      <c r="J356" s="10">
        <f>dataset_1!J472</f>
        <v>0.16</v>
      </c>
      <c r="K356" s="10">
        <f>VLOOKUP(A356,dataset_2!$A$2:$G$611,2,0)</f>
        <v>0.1212</v>
      </c>
      <c r="L356" s="10">
        <f>VLOOKUP(A356,dataset_2!$A$2:$G$611,3,0)</f>
        <v>0.26</v>
      </c>
      <c r="M356" s="10">
        <f>VLOOKUP(A356,dataset_2!$A$2:$G$611,4,0)</f>
        <v>0.4478</v>
      </c>
      <c r="N356" s="10">
        <f>VLOOKUP(A356,dataset_2!$A$2:$G$611,5,0)</f>
        <v>4</v>
      </c>
      <c r="O356" s="10">
        <f>VLOOKUP(A356,dataset_2!$A$2:$G$611,6,0)</f>
        <v>61</v>
      </c>
      <c r="P356" s="10">
        <f>VLOOKUP(A356,dataset_2!$A$2:$G$611,7,0)</f>
        <v>65</v>
      </c>
      <c r="Q356" s="10"/>
      <c r="R356" s="10" t="str">
        <f t="shared" si="1"/>
        <v>OK</v>
      </c>
      <c r="S356" s="10">
        <f t="shared" si="2"/>
        <v>4</v>
      </c>
      <c r="T356" s="10" t="str">
        <f t="shared" si="3"/>
        <v>OK</v>
      </c>
      <c r="U356" s="10">
        <f t="shared" si="4"/>
        <v>1</v>
      </c>
      <c r="V356" s="10"/>
      <c r="W356" s="10"/>
      <c r="X356" s="10"/>
      <c r="Y356" s="10"/>
      <c r="Z356" s="10"/>
    </row>
    <row r="357" ht="13.5" customHeight="1">
      <c r="A357" s="10">
        <f>dataset_1!A519</f>
        <v>518</v>
      </c>
      <c r="B357" s="11">
        <f>dataset_1!B519</f>
        <v>40566</v>
      </c>
      <c r="C357" s="10">
        <f>dataset_1!C519</f>
        <v>1</v>
      </c>
      <c r="D357" s="10">
        <f>dataset_1!D519</f>
        <v>0</v>
      </c>
      <c r="E357" s="10">
        <f>dataset_1!E519</f>
        <v>1</v>
      </c>
      <c r="F357" s="10">
        <f>dataset_1!F519</f>
        <v>16</v>
      </c>
      <c r="G357" s="10" t="b">
        <f>dataset_1!G519</f>
        <v>0</v>
      </c>
      <c r="H357" s="10">
        <f>dataset_1!H519</f>
        <v>0</v>
      </c>
      <c r="I357" s="10">
        <f>dataset_1!I519</f>
        <v>1</v>
      </c>
      <c r="J357" s="10">
        <f>dataset_1!J519</f>
        <v>0.16</v>
      </c>
      <c r="K357" s="10">
        <f>VLOOKUP(A357,dataset_2!$A$2:$G$611,2,0)</f>
        <v>0.1364</v>
      </c>
      <c r="L357" s="10">
        <f>VLOOKUP(A357,dataset_2!$A$2:$G$611,3,0)</f>
        <v>0.26</v>
      </c>
      <c r="M357" s="10">
        <f>VLOOKUP(A357,dataset_2!$A$2:$G$611,4,0)</f>
        <v>0.3284</v>
      </c>
      <c r="N357" s="10">
        <f>VLOOKUP(A357,dataset_2!$A$2:$G$611,5,0)</f>
        <v>9</v>
      </c>
      <c r="O357" s="10">
        <f>VLOOKUP(A357,dataset_2!$A$2:$G$611,6,0)</f>
        <v>56</v>
      </c>
      <c r="P357" s="10">
        <f>VLOOKUP(A357,dataset_2!$A$2:$G$611,7,0)</f>
        <v>65</v>
      </c>
      <c r="Q357" s="10"/>
      <c r="R357" s="10" t="str">
        <f t="shared" si="1"/>
        <v>OK</v>
      </c>
      <c r="S357" s="10">
        <f t="shared" si="2"/>
        <v>4</v>
      </c>
      <c r="T357" s="10" t="str">
        <f t="shared" si="3"/>
        <v>OK</v>
      </c>
      <c r="U357" s="10">
        <f t="shared" si="4"/>
        <v>1</v>
      </c>
      <c r="V357" s="10"/>
      <c r="W357" s="10"/>
      <c r="X357" s="10"/>
      <c r="Y357" s="10"/>
      <c r="Z357" s="10"/>
    </row>
    <row r="358" ht="13.5" customHeight="1">
      <c r="A358" s="3">
        <v>631.0</v>
      </c>
      <c r="B358" s="12">
        <v>40572.0</v>
      </c>
      <c r="C358" s="3">
        <v>1.0</v>
      </c>
      <c r="D358" s="3">
        <v>0.0</v>
      </c>
      <c r="E358" s="3">
        <v>1.0</v>
      </c>
      <c r="F358" s="3">
        <v>13.0</v>
      </c>
      <c r="G358" s="3" t="b">
        <f t="shared" ref="G358:G360" si="43">FALSE()</f>
        <v>0</v>
      </c>
      <c r="H358" s="3">
        <v>6.0</v>
      </c>
      <c r="I358" s="3">
        <v>2.0</v>
      </c>
      <c r="J358" s="3">
        <v>0.22</v>
      </c>
      <c r="K358" s="3">
        <v>0.2273</v>
      </c>
      <c r="L358" s="3">
        <v>0.55</v>
      </c>
      <c r="M358" s="3">
        <v>0.1642</v>
      </c>
      <c r="N358" s="3">
        <v>9.0</v>
      </c>
      <c r="O358" s="3">
        <v>56.0</v>
      </c>
      <c r="P358" s="3">
        <v>65.0</v>
      </c>
      <c r="Q358" s="10"/>
      <c r="R358" s="10" t="str">
        <f t="shared" si="1"/>
        <v>OK</v>
      </c>
      <c r="S358" s="10">
        <f t="shared" si="2"/>
        <v>4</v>
      </c>
      <c r="T358" s="10" t="str">
        <f t="shared" si="3"/>
        <v>OK</v>
      </c>
      <c r="U358" s="10">
        <f t="shared" si="4"/>
        <v>1</v>
      </c>
      <c r="V358" s="10"/>
      <c r="W358" s="10"/>
      <c r="X358" s="10"/>
      <c r="Y358" s="10"/>
      <c r="Z358" s="10"/>
    </row>
    <row r="359" ht="13.5" customHeight="1">
      <c r="A359" s="3">
        <v>659.0</v>
      </c>
      <c r="B359" s="12">
        <v>40573.0</v>
      </c>
      <c r="C359" s="3">
        <v>1.0</v>
      </c>
      <c r="D359" s="3">
        <v>0.0</v>
      </c>
      <c r="E359" s="3">
        <v>1.0</v>
      </c>
      <c r="F359" s="3">
        <v>18.0</v>
      </c>
      <c r="G359" s="3" t="b">
        <f t="shared" si="43"/>
        <v>0</v>
      </c>
      <c r="H359" s="3">
        <v>0.0</v>
      </c>
      <c r="I359" s="3">
        <v>1.0</v>
      </c>
      <c r="J359" s="3">
        <v>0.26</v>
      </c>
      <c r="K359" s="3">
        <v>0.2576</v>
      </c>
      <c r="L359" s="3">
        <v>0.65</v>
      </c>
      <c r="M359" s="3">
        <v>0.1642</v>
      </c>
      <c r="N359" s="3">
        <v>8.0</v>
      </c>
      <c r="O359" s="3">
        <v>57.0</v>
      </c>
      <c r="P359" s="3">
        <v>65.0</v>
      </c>
      <c r="Q359" s="10"/>
      <c r="R359" s="10" t="str">
        <f t="shared" si="1"/>
        <v>OK</v>
      </c>
      <c r="S359" s="10">
        <f t="shared" si="2"/>
        <v>4</v>
      </c>
      <c r="T359" s="10" t="str">
        <f t="shared" si="3"/>
        <v>OK</v>
      </c>
      <c r="U359" s="10">
        <f t="shared" si="4"/>
        <v>1</v>
      </c>
      <c r="V359" s="10"/>
      <c r="W359" s="10"/>
      <c r="X359" s="10"/>
      <c r="Y359" s="10"/>
      <c r="Z359" s="10"/>
    </row>
    <row r="360" ht="13.5" customHeight="1">
      <c r="A360" s="3">
        <v>866.0</v>
      </c>
      <c r="B360" s="12">
        <v>40582.0</v>
      </c>
      <c r="C360" s="3">
        <v>1.0</v>
      </c>
      <c r="D360" s="3">
        <v>0.0</v>
      </c>
      <c r="E360" s="3">
        <v>2.0</v>
      </c>
      <c r="F360" s="3">
        <v>12.0</v>
      </c>
      <c r="G360" s="3" t="b">
        <f t="shared" si="43"/>
        <v>0</v>
      </c>
      <c r="H360" s="3">
        <v>2.0</v>
      </c>
      <c r="I360" s="3">
        <v>1.0</v>
      </c>
      <c r="J360" s="3">
        <v>0.24</v>
      </c>
      <c r="K360" s="3">
        <v>0.197</v>
      </c>
      <c r="L360" s="3">
        <v>0.38</v>
      </c>
      <c r="M360" s="3">
        <v>0.4925</v>
      </c>
      <c r="N360" s="3">
        <v>2.0</v>
      </c>
      <c r="O360" s="3">
        <v>63.0</v>
      </c>
      <c r="P360" s="3">
        <v>65.0</v>
      </c>
      <c r="Q360" s="10"/>
      <c r="R360" s="10" t="str">
        <f t="shared" si="1"/>
        <v>OK</v>
      </c>
      <c r="S360" s="10">
        <f t="shared" si="2"/>
        <v>4</v>
      </c>
      <c r="T360" s="10" t="str">
        <f t="shared" si="3"/>
        <v>OK</v>
      </c>
      <c r="U360" s="10">
        <f t="shared" si="4"/>
        <v>1</v>
      </c>
      <c r="V360" s="10"/>
      <c r="W360" s="10"/>
      <c r="X360" s="10"/>
      <c r="Y360" s="10"/>
      <c r="Z360" s="10"/>
    </row>
    <row r="361" ht="13.5" customHeight="1">
      <c r="A361" s="10">
        <f>dataset_1!A54</f>
        <v>53</v>
      </c>
      <c r="B361" s="11">
        <f>dataset_1!B54</f>
        <v>40546</v>
      </c>
      <c r="C361" s="10">
        <f>dataset_1!C54</f>
        <v>1</v>
      </c>
      <c r="D361" s="10">
        <f>dataset_1!D54</f>
        <v>0</v>
      </c>
      <c r="E361" s="10">
        <f>dataset_1!E54</f>
        <v>1</v>
      </c>
      <c r="F361" s="10">
        <f>dataset_1!F54</f>
        <v>7</v>
      </c>
      <c r="G361" s="10" t="b">
        <f>dataset_1!G54</f>
        <v>0</v>
      </c>
      <c r="H361" s="10">
        <f>dataset_1!H54</f>
        <v>1</v>
      </c>
      <c r="I361" s="10">
        <f>dataset_1!I54</f>
        <v>1</v>
      </c>
      <c r="J361" s="10">
        <f>dataset_1!J54</f>
        <v>0.14</v>
      </c>
      <c r="K361" s="10">
        <f>VLOOKUP(A361,dataset_2!$A$2:$G$611,2,0)</f>
        <v>0.1364</v>
      </c>
      <c r="L361" s="10">
        <f>VLOOKUP(A361,dataset_2!$A$2:$G$611,3,0)</f>
        <v>0.5</v>
      </c>
      <c r="M361" s="10">
        <f>VLOOKUP(A361,dataset_2!$A$2:$G$611,4,0)</f>
        <v>0.194</v>
      </c>
      <c r="N361" s="10">
        <f>VLOOKUP(A361,dataset_2!$A$2:$G$611,5,0)</f>
        <v>1</v>
      </c>
      <c r="O361" s="10">
        <f>VLOOKUP(A361,dataset_2!$A$2:$G$611,6,0)</f>
        <v>63</v>
      </c>
      <c r="P361" s="10">
        <f>VLOOKUP(A361,dataset_2!$A$2:$G$611,7,0)</f>
        <v>64</v>
      </c>
      <c r="Q361" s="10"/>
      <c r="R361" s="10" t="str">
        <f t="shared" si="1"/>
        <v>OK</v>
      </c>
      <c r="S361" s="10">
        <f t="shared" si="2"/>
        <v>4</v>
      </c>
      <c r="T361" s="10" t="str">
        <f t="shared" si="3"/>
        <v>OK</v>
      </c>
      <c r="U361" s="10">
        <f t="shared" si="4"/>
        <v>1</v>
      </c>
      <c r="V361" s="10"/>
      <c r="W361" s="10"/>
      <c r="X361" s="10"/>
      <c r="Y361" s="10"/>
      <c r="Z361" s="10"/>
    </row>
    <row r="362" ht="13.5" customHeight="1">
      <c r="A362" s="10">
        <f>dataset_1!A299</f>
        <v>298</v>
      </c>
      <c r="B362" s="11">
        <f>dataset_1!B299</f>
        <v>40556</v>
      </c>
      <c r="C362" s="10">
        <f>dataset_1!C299</f>
        <v>1</v>
      </c>
      <c r="D362" s="10">
        <f>dataset_1!D299</f>
        <v>0</v>
      </c>
      <c r="E362" s="10">
        <f>dataset_1!E299</f>
        <v>1</v>
      </c>
      <c r="F362" s="10">
        <f>dataset_1!F299</f>
        <v>20</v>
      </c>
      <c r="G362" s="10" t="b">
        <f>dataset_1!G299</f>
        <v>0</v>
      </c>
      <c r="H362" s="10">
        <f>dataset_1!H299</f>
        <v>4</v>
      </c>
      <c r="I362" s="10">
        <f>dataset_1!I299</f>
        <v>1</v>
      </c>
      <c r="J362" s="10">
        <f>dataset_1!J299</f>
        <v>0.16</v>
      </c>
      <c r="K362" s="10">
        <f>VLOOKUP(A362,dataset_2!$A$2:$G$611,2,0)</f>
        <v>0.1515</v>
      </c>
      <c r="L362" s="10">
        <f>VLOOKUP(A362,dataset_2!$A$2:$G$611,3,0)</f>
        <v>0.47</v>
      </c>
      <c r="M362" s="10">
        <f>VLOOKUP(A362,dataset_2!$A$2:$G$611,4,0)</f>
        <v>0.2239</v>
      </c>
      <c r="N362" s="10">
        <f>VLOOKUP(A362,dataset_2!$A$2:$G$611,5,0)</f>
        <v>0</v>
      </c>
      <c r="O362" s="10">
        <f>VLOOKUP(A362,dataset_2!$A$2:$G$611,6,0)</f>
        <v>64</v>
      </c>
      <c r="P362" s="10">
        <f>VLOOKUP(A362,dataset_2!$A$2:$G$611,7,0)</f>
        <v>64</v>
      </c>
      <c r="Q362" s="10"/>
      <c r="R362" s="10" t="str">
        <f t="shared" si="1"/>
        <v>OK</v>
      </c>
      <c r="S362" s="10">
        <f t="shared" si="2"/>
        <v>4</v>
      </c>
      <c r="T362" s="10" t="str">
        <f t="shared" si="3"/>
        <v>OK</v>
      </c>
      <c r="U362" s="10">
        <f t="shared" si="4"/>
        <v>1</v>
      </c>
      <c r="V362" s="10"/>
      <c r="W362" s="10"/>
      <c r="X362" s="10"/>
      <c r="Y362" s="10"/>
      <c r="Z362" s="10"/>
    </row>
    <row r="363" ht="13.5" customHeight="1">
      <c r="A363" s="10">
        <f>dataset_1!A316</f>
        <v>315</v>
      </c>
      <c r="B363" s="11">
        <f>dataset_1!B316</f>
        <v>40557</v>
      </c>
      <c r="C363" s="10">
        <f>dataset_1!C316</f>
        <v>1</v>
      </c>
      <c r="D363" s="10">
        <f>dataset_1!D316</f>
        <v>0</v>
      </c>
      <c r="E363" s="10">
        <f>dataset_1!E316</f>
        <v>1</v>
      </c>
      <c r="F363" s="10">
        <f>dataset_1!F316</f>
        <v>14</v>
      </c>
      <c r="G363" s="10" t="b">
        <f>dataset_1!G316</f>
        <v>0</v>
      </c>
      <c r="H363" s="10">
        <f>dataset_1!H316</f>
        <v>5</v>
      </c>
      <c r="I363" s="10">
        <f>dataset_1!I316</f>
        <v>1</v>
      </c>
      <c r="J363" s="10">
        <f>dataset_1!J316</f>
        <v>0.22</v>
      </c>
      <c r="K363" s="10">
        <f>VLOOKUP(A363,dataset_2!$A$2:$G$611,2,0)</f>
        <v>0.2121</v>
      </c>
      <c r="L363" s="10">
        <f>VLOOKUP(A363,dataset_2!$A$2:$G$611,3,0)</f>
        <v>0.41</v>
      </c>
      <c r="M363" s="10">
        <f>VLOOKUP(A363,dataset_2!$A$2:$G$611,4,0)</f>
        <v>0.2836</v>
      </c>
      <c r="N363" s="10">
        <f>VLOOKUP(A363,dataset_2!$A$2:$G$611,5,0)</f>
        <v>5</v>
      </c>
      <c r="O363" s="10">
        <f>VLOOKUP(A363,dataset_2!$A$2:$G$611,6,0)</f>
        <v>59</v>
      </c>
      <c r="P363" s="10">
        <f>VLOOKUP(A363,dataset_2!$A$2:$G$611,7,0)</f>
        <v>64</v>
      </c>
      <c r="Q363" s="10"/>
      <c r="R363" s="10" t="str">
        <f t="shared" si="1"/>
        <v>OK</v>
      </c>
      <c r="S363" s="10">
        <f t="shared" si="2"/>
        <v>4</v>
      </c>
      <c r="T363" s="10" t="str">
        <f t="shared" si="3"/>
        <v>OK</v>
      </c>
      <c r="U363" s="10">
        <f t="shared" si="4"/>
        <v>1</v>
      </c>
      <c r="V363" s="10"/>
      <c r="W363" s="10"/>
      <c r="X363" s="10"/>
      <c r="Y363" s="10"/>
      <c r="Z363" s="10"/>
    </row>
    <row r="364" ht="13.5" customHeight="1">
      <c r="A364" s="10">
        <f>dataset_1!A385</f>
        <v>384</v>
      </c>
      <c r="B364" s="11">
        <f>dataset_1!B385</f>
        <v>40560</v>
      </c>
      <c r="C364" s="10">
        <f>dataset_1!C385</f>
        <v>1</v>
      </c>
      <c r="D364" s="10">
        <f>dataset_1!D385</f>
        <v>0</v>
      </c>
      <c r="E364" s="10">
        <f>dataset_1!E385</f>
        <v>1</v>
      </c>
      <c r="F364" s="10">
        <f>dataset_1!F385</f>
        <v>11</v>
      </c>
      <c r="G364" s="10" t="b">
        <f>dataset_1!G385</f>
        <v>1</v>
      </c>
      <c r="H364" s="10">
        <f>dataset_1!H385</f>
        <v>1</v>
      </c>
      <c r="I364" s="10">
        <f>dataset_1!I385</f>
        <v>2</v>
      </c>
      <c r="J364" s="10">
        <f>dataset_1!J385</f>
        <v>0.16</v>
      </c>
      <c r="K364" s="10">
        <f>VLOOKUP(A364,dataset_2!$A$2:$G$611,2,0)</f>
        <v>0.1515</v>
      </c>
      <c r="L364" s="10">
        <f>VLOOKUP(A364,dataset_2!$A$2:$G$611,3,0)</f>
        <v>0.55</v>
      </c>
      <c r="M364" s="10">
        <f>VLOOKUP(A364,dataset_2!$A$2:$G$611,4,0)</f>
        <v>0.194</v>
      </c>
      <c r="N364" s="10">
        <f>VLOOKUP(A364,dataset_2!$A$2:$G$611,5,0)</f>
        <v>9</v>
      </c>
      <c r="O364" s="10">
        <f>VLOOKUP(A364,dataset_2!$A$2:$G$611,6,0)</f>
        <v>55</v>
      </c>
      <c r="P364" s="10">
        <f>VLOOKUP(A364,dataset_2!$A$2:$G$611,7,0)</f>
        <v>64</v>
      </c>
      <c r="Q364" s="10"/>
      <c r="R364" s="10" t="str">
        <f t="shared" si="1"/>
        <v>OK</v>
      </c>
      <c r="S364" s="10">
        <f t="shared" si="2"/>
        <v>4</v>
      </c>
      <c r="T364" s="10" t="str">
        <f t="shared" si="3"/>
        <v>OK</v>
      </c>
      <c r="U364" s="10">
        <f t="shared" si="4"/>
        <v>1</v>
      </c>
      <c r="V364" s="10"/>
      <c r="W364" s="10"/>
      <c r="X364" s="10"/>
      <c r="Y364" s="10"/>
      <c r="Z364" s="10"/>
    </row>
    <row r="365" ht="13.5" customHeight="1">
      <c r="A365" s="3">
        <v>629.0</v>
      </c>
      <c r="B365" s="12">
        <v>40572.0</v>
      </c>
      <c r="C365" s="3">
        <v>1.0</v>
      </c>
      <c r="D365" s="3">
        <v>0.0</v>
      </c>
      <c r="E365" s="3">
        <v>1.0</v>
      </c>
      <c r="F365" s="3">
        <v>11.0</v>
      </c>
      <c r="G365" s="3" t="b">
        <f t="shared" ref="G365:G376" si="44">FALSE()</f>
        <v>0</v>
      </c>
      <c r="H365" s="3">
        <v>6.0</v>
      </c>
      <c r="I365" s="3">
        <v>2.0</v>
      </c>
      <c r="J365" s="3">
        <v>0.18</v>
      </c>
      <c r="K365" s="3">
        <v>0.197</v>
      </c>
      <c r="L365" s="3">
        <v>0.64</v>
      </c>
      <c r="M365" s="3">
        <v>0.1343</v>
      </c>
      <c r="N365" s="3">
        <v>4.0</v>
      </c>
      <c r="O365" s="3">
        <v>60.0</v>
      </c>
      <c r="P365" s="3">
        <v>64.0</v>
      </c>
      <c r="Q365" s="10"/>
      <c r="R365" s="10" t="str">
        <f t="shared" si="1"/>
        <v>OK</v>
      </c>
      <c r="S365" s="10">
        <f t="shared" si="2"/>
        <v>4</v>
      </c>
      <c r="T365" s="10" t="str">
        <f t="shared" si="3"/>
        <v>OK</v>
      </c>
      <c r="U365" s="10">
        <f t="shared" si="4"/>
        <v>1</v>
      </c>
      <c r="V365" s="10"/>
      <c r="W365" s="10"/>
      <c r="X365" s="10"/>
      <c r="Y365" s="10"/>
      <c r="Z365" s="10"/>
    </row>
    <row r="366" ht="13.5" customHeight="1">
      <c r="A366" s="3">
        <v>651.0</v>
      </c>
      <c r="B366" s="12">
        <v>40573.0</v>
      </c>
      <c r="C366" s="3">
        <v>1.0</v>
      </c>
      <c r="D366" s="3">
        <v>0.0</v>
      </c>
      <c r="E366" s="3">
        <v>1.0</v>
      </c>
      <c r="F366" s="3">
        <v>10.0</v>
      </c>
      <c r="G366" s="3" t="b">
        <f t="shared" si="44"/>
        <v>0</v>
      </c>
      <c r="H366" s="3">
        <v>0.0</v>
      </c>
      <c r="I366" s="3">
        <v>2.0</v>
      </c>
      <c r="J366" s="3">
        <v>0.18</v>
      </c>
      <c r="K366" s="3">
        <v>0.2424</v>
      </c>
      <c r="L366" s="3">
        <v>0.8</v>
      </c>
      <c r="M366" s="3">
        <v>0.0</v>
      </c>
      <c r="N366" s="3">
        <v>7.0</v>
      </c>
      <c r="O366" s="3">
        <v>57.0</v>
      </c>
      <c r="P366" s="3">
        <v>64.0</v>
      </c>
      <c r="Q366" s="10"/>
      <c r="R366" s="10" t="str">
        <f t="shared" si="1"/>
        <v>OK</v>
      </c>
      <c r="S366" s="10">
        <f t="shared" si="2"/>
        <v>4</v>
      </c>
      <c r="T366" s="10" t="str">
        <f t="shared" si="3"/>
        <v>OK</v>
      </c>
      <c r="U366" s="10">
        <f t="shared" si="4"/>
        <v>1</v>
      </c>
      <c r="V366" s="10"/>
      <c r="W366" s="10"/>
      <c r="X366" s="10"/>
      <c r="Y366" s="10"/>
      <c r="Z366" s="10"/>
    </row>
    <row r="367" ht="13.5" customHeight="1">
      <c r="A367" s="3">
        <v>704.0</v>
      </c>
      <c r="B367" s="12">
        <v>40575.0</v>
      </c>
      <c r="C367" s="3">
        <v>1.0</v>
      </c>
      <c r="D367" s="3">
        <v>0.0</v>
      </c>
      <c r="E367" s="3">
        <v>2.0</v>
      </c>
      <c r="F367" s="3">
        <v>16.0</v>
      </c>
      <c r="G367" s="3" t="b">
        <f t="shared" si="44"/>
        <v>0</v>
      </c>
      <c r="H367" s="3">
        <v>2.0</v>
      </c>
      <c r="I367" s="3">
        <v>2.0</v>
      </c>
      <c r="J367" s="3">
        <v>0.24</v>
      </c>
      <c r="K367" s="3">
        <v>0.2424</v>
      </c>
      <c r="L367" s="3">
        <v>0.75</v>
      </c>
      <c r="M367" s="3">
        <v>0.1343</v>
      </c>
      <c r="N367" s="3">
        <v>3.0</v>
      </c>
      <c r="O367" s="3">
        <v>61.0</v>
      </c>
      <c r="P367" s="3">
        <v>64.0</v>
      </c>
      <c r="Q367" s="10"/>
      <c r="R367" s="10" t="str">
        <f t="shared" si="1"/>
        <v>OK</v>
      </c>
      <c r="S367" s="10">
        <f t="shared" si="2"/>
        <v>4</v>
      </c>
      <c r="T367" s="10" t="str">
        <f t="shared" si="3"/>
        <v>OK</v>
      </c>
      <c r="U367" s="10">
        <f t="shared" si="4"/>
        <v>1</v>
      </c>
      <c r="V367" s="10"/>
      <c r="W367" s="10"/>
      <c r="X367" s="10"/>
      <c r="Y367" s="10"/>
      <c r="Z367" s="10"/>
    </row>
    <row r="368" ht="13.5" customHeight="1">
      <c r="A368" s="3">
        <v>709.0</v>
      </c>
      <c r="B368" s="12">
        <v>40575.0</v>
      </c>
      <c r="C368" s="3">
        <v>1.0</v>
      </c>
      <c r="D368" s="3">
        <v>0.0</v>
      </c>
      <c r="E368" s="3">
        <v>2.0</v>
      </c>
      <c r="F368" s="3">
        <v>21.0</v>
      </c>
      <c r="G368" s="3" t="b">
        <f t="shared" si="44"/>
        <v>0</v>
      </c>
      <c r="H368" s="3">
        <v>2.0</v>
      </c>
      <c r="I368" s="3">
        <v>2.0</v>
      </c>
      <c r="J368" s="3">
        <v>0.22</v>
      </c>
      <c r="K368" s="3">
        <v>0.2273</v>
      </c>
      <c r="L368" s="3">
        <v>0.87</v>
      </c>
      <c r="M368" s="3">
        <v>0.1343</v>
      </c>
      <c r="N368" s="3">
        <v>0.0</v>
      </c>
      <c r="O368" s="3">
        <v>64.0</v>
      </c>
      <c r="P368" s="3">
        <v>64.0</v>
      </c>
      <c r="Q368" s="10"/>
      <c r="R368" s="10" t="str">
        <f t="shared" si="1"/>
        <v>OK</v>
      </c>
      <c r="S368" s="10">
        <f t="shared" si="2"/>
        <v>4</v>
      </c>
      <c r="T368" s="10" t="str">
        <f t="shared" si="3"/>
        <v>OK</v>
      </c>
      <c r="U368" s="10">
        <f t="shared" si="4"/>
        <v>1</v>
      </c>
      <c r="V368" s="10"/>
      <c r="W368" s="10"/>
      <c r="X368" s="10"/>
      <c r="Y368" s="10"/>
      <c r="Z368" s="10"/>
    </row>
    <row r="369" ht="13.5" customHeight="1">
      <c r="A369" s="3">
        <v>724.0</v>
      </c>
      <c r="B369" s="12">
        <v>40576.0</v>
      </c>
      <c r="C369" s="3">
        <v>1.0</v>
      </c>
      <c r="D369" s="3">
        <v>0.0</v>
      </c>
      <c r="E369" s="3">
        <v>2.0</v>
      </c>
      <c r="F369" s="3">
        <v>12.0</v>
      </c>
      <c r="G369" s="3" t="b">
        <f t="shared" si="44"/>
        <v>0</v>
      </c>
      <c r="H369" s="3">
        <v>3.0</v>
      </c>
      <c r="I369" s="3">
        <v>2.0</v>
      </c>
      <c r="J369" s="3">
        <v>0.24</v>
      </c>
      <c r="K369" s="3">
        <v>0.2273</v>
      </c>
      <c r="L369" s="3">
        <v>0.93</v>
      </c>
      <c r="M369" s="3">
        <v>0.2239</v>
      </c>
      <c r="N369" s="3">
        <v>3.0</v>
      </c>
      <c r="O369" s="3">
        <v>61.0</v>
      </c>
      <c r="P369" s="3">
        <v>64.0</v>
      </c>
      <c r="Q369" s="10"/>
      <c r="R369" s="10" t="str">
        <f t="shared" si="1"/>
        <v>OK</v>
      </c>
      <c r="S369" s="10">
        <f t="shared" si="2"/>
        <v>4</v>
      </c>
      <c r="T369" s="10" t="str">
        <f t="shared" si="3"/>
        <v>OK</v>
      </c>
      <c r="U369" s="10">
        <f t="shared" si="4"/>
        <v>1</v>
      </c>
      <c r="V369" s="10"/>
      <c r="W369" s="10"/>
      <c r="X369" s="10"/>
      <c r="Y369" s="10"/>
      <c r="Z369" s="10"/>
    </row>
    <row r="370" ht="13.5" customHeight="1">
      <c r="A370" s="3">
        <v>746.0</v>
      </c>
      <c r="B370" s="12">
        <v>40577.0</v>
      </c>
      <c r="C370" s="3">
        <v>1.0</v>
      </c>
      <c r="D370" s="3">
        <v>0.0</v>
      </c>
      <c r="E370" s="3">
        <v>2.0</v>
      </c>
      <c r="F370" s="3">
        <v>11.0</v>
      </c>
      <c r="G370" s="3" t="b">
        <f t="shared" si="44"/>
        <v>0</v>
      </c>
      <c r="H370" s="3">
        <v>4.0</v>
      </c>
      <c r="I370" s="3">
        <v>1.0</v>
      </c>
      <c r="J370" s="3">
        <v>0.18</v>
      </c>
      <c r="K370" s="3">
        <v>0.1364</v>
      </c>
      <c r="L370" s="3">
        <v>0.43</v>
      </c>
      <c r="M370" s="3">
        <v>0.4478</v>
      </c>
      <c r="N370" s="3">
        <v>9.0</v>
      </c>
      <c r="O370" s="3">
        <v>55.0</v>
      </c>
      <c r="P370" s="3">
        <v>64.0</v>
      </c>
      <c r="Q370" s="10"/>
      <c r="R370" s="10" t="str">
        <f t="shared" si="1"/>
        <v>OK</v>
      </c>
      <c r="S370" s="10">
        <f t="shared" si="2"/>
        <v>4</v>
      </c>
      <c r="T370" s="10" t="str">
        <f t="shared" si="3"/>
        <v>OK</v>
      </c>
      <c r="U370" s="10">
        <f t="shared" si="4"/>
        <v>1</v>
      </c>
      <c r="V370" s="10"/>
      <c r="W370" s="10"/>
      <c r="X370" s="10"/>
      <c r="Y370" s="10"/>
      <c r="Z370" s="10"/>
    </row>
    <row r="371" ht="13.5" customHeight="1">
      <c r="A371" s="3">
        <v>769.0</v>
      </c>
      <c r="B371" s="12">
        <v>40578.0</v>
      </c>
      <c r="C371" s="3">
        <v>1.0</v>
      </c>
      <c r="D371" s="3">
        <v>0.0</v>
      </c>
      <c r="E371" s="3">
        <v>2.0</v>
      </c>
      <c r="F371" s="3">
        <v>11.0</v>
      </c>
      <c r="G371" s="3" t="b">
        <f t="shared" si="44"/>
        <v>0</v>
      </c>
      <c r="H371" s="3">
        <v>5.0</v>
      </c>
      <c r="I371" s="3">
        <v>1.0</v>
      </c>
      <c r="J371" s="3">
        <v>0.22</v>
      </c>
      <c r="K371" s="3">
        <v>0.2273</v>
      </c>
      <c r="L371" s="3">
        <v>0.51</v>
      </c>
      <c r="M371" s="3">
        <v>0.1642</v>
      </c>
      <c r="N371" s="3">
        <v>3.0</v>
      </c>
      <c r="O371" s="3">
        <v>61.0</v>
      </c>
      <c r="P371" s="3">
        <v>64.0</v>
      </c>
      <c r="Q371" s="10"/>
      <c r="R371" s="10" t="str">
        <f t="shared" si="1"/>
        <v>OK</v>
      </c>
      <c r="S371" s="10">
        <f t="shared" si="2"/>
        <v>4</v>
      </c>
      <c r="T371" s="10" t="str">
        <f t="shared" si="3"/>
        <v>OK</v>
      </c>
      <c r="U371" s="10">
        <f t="shared" si="4"/>
        <v>1</v>
      </c>
      <c r="V371" s="10"/>
      <c r="W371" s="10"/>
      <c r="X371" s="10"/>
      <c r="Y371" s="10"/>
      <c r="Z371" s="10"/>
    </row>
    <row r="372" ht="13.5" customHeight="1">
      <c r="A372" s="3">
        <v>843.0</v>
      </c>
      <c r="B372" s="12">
        <v>40581.0</v>
      </c>
      <c r="C372" s="3">
        <v>1.0</v>
      </c>
      <c r="D372" s="3">
        <v>0.0</v>
      </c>
      <c r="E372" s="3">
        <v>2.0</v>
      </c>
      <c r="F372" s="3">
        <v>13.0</v>
      </c>
      <c r="G372" s="3" t="b">
        <f t="shared" si="44"/>
        <v>0</v>
      </c>
      <c r="H372" s="3">
        <v>1.0</v>
      </c>
      <c r="I372" s="3">
        <v>2.0</v>
      </c>
      <c r="J372" s="3">
        <v>0.36</v>
      </c>
      <c r="K372" s="3">
        <v>0.3636</v>
      </c>
      <c r="L372" s="3">
        <v>0.57</v>
      </c>
      <c r="M372" s="3">
        <v>0.0896</v>
      </c>
      <c r="N372" s="3">
        <v>10.0</v>
      </c>
      <c r="O372" s="3">
        <v>54.0</v>
      </c>
      <c r="P372" s="3">
        <v>64.0</v>
      </c>
      <c r="Q372" s="10"/>
      <c r="R372" s="10" t="str">
        <f t="shared" si="1"/>
        <v>OK</v>
      </c>
      <c r="S372" s="10">
        <f t="shared" si="2"/>
        <v>4</v>
      </c>
      <c r="T372" s="10" t="str">
        <f t="shared" si="3"/>
        <v>OK</v>
      </c>
      <c r="U372" s="10">
        <f t="shared" si="4"/>
        <v>1</v>
      </c>
      <c r="V372" s="10"/>
      <c r="W372" s="10"/>
      <c r="X372" s="10"/>
      <c r="Y372" s="10"/>
      <c r="Z372" s="10"/>
    </row>
    <row r="373" ht="13.5" customHeight="1">
      <c r="A373" s="3">
        <v>868.0</v>
      </c>
      <c r="B373" s="12">
        <v>40582.0</v>
      </c>
      <c r="C373" s="3">
        <v>1.0</v>
      </c>
      <c r="D373" s="3">
        <v>0.0</v>
      </c>
      <c r="E373" s="3">
        <v>2.0</v>
      </c>
      <c r="F373" s="3">
        <v>14.0</v>
      </c>
      <c r="G373" s="3" t="b">
        <f t="shared" si="44"/>
        <v>0</v>
      </c>
      <c r="H373" s="3">
        <v>2.0</v>
      </c>
      <c r="I373" s="3">
        <v>1.0</v>
      </c>
      <c r="J373" s="3">
        <v>0.22</v>
      </c>
      <c r="K373" s="3">
        <v>0.197</v>
      </c>
      <c r="L373" s="3">
        <v>0.37</v>
      </c>
      <c r="M373" s="3">
        <v>0.4179</v>
      </c>
      <c r="N373" s="3">
        <v>3.0</v>
      </c>
      <c r="O373" s="3">
        <v>61.0</v>
      </c>
      <c r="P373" s="3">
        <v>64.0</v>
      </c>
      <c r="Q373" s="10"/>
      <c r="R373" s="10" t="str">
        <f t="shared" si="1"/>
        <v>OK</v>
      </c>
      <c r="S373" s="10">
        <f t="shared" si="2"/>
        <v>4</v>
      </c>
      <c r="T373" s="10" t="str">
        <f t="shared" si="3"/>
        <v>OK</v>
      </c>
      <c r="U373" s="10">
        <f t="shared" si="4"/>
        <v>1</v>
      </c>
      <c r="V373" s="10"/>
      <c r="W373" s="10"/>
      <c r="X373" s="10"/>
      <c r="Y373" s="10"/>
      <c r="Z373" s="10"/>
    </row>
    <row r="374" ht="13.5" customHeight="1">
      <c r="A374" s="3">
        <v>892.0</v>
      </c>
      <c r="B374" s="12">
        <v>40583.0</v>
      </c>
      <c r="C374" s="3">
        <v>1.0</v>
      </c>
      <c r="D374" s="3">
        <v>0.0</v>
      </c>
      <c r="E374" s="3">
        <v>2.0</v>
      </c>
      <c r="F374" s="3">
        <v>15.0</v>
      </c>
      <c r="G374" s="3" t="b">
        <f t="shared" si="44"/>
        <v>0</v>
      </c>
      <c r="H374" s="3">
        <v>3.0</v>
      </c>
      <c r="I374" s="3">
        <v>2.0</v>
      </c>
      <c r="J374" s="3">
        <v>0.2</v>
      </c>
      <c r="K374" s="3">
        <v>0.1818</v>
      </c>
      <c r="L374" s="3">
        <v>0.34</v>
      </c>
      <c r="M374" s="3">
        <v>0.2836</v>
      </c>
      <c r="N374" s="3">
        <v>3.0</v>
      </c>
      <c r="O374" s="3">
        <v>61.0</v>
      </c>
      <c r="P374" s="3">
        <v>64.0</v>
      </c>
      <c r="Q374" s="10"/>
      <c r="R374" s="10" t="str">
        <f t="shared" si="1"/>
        <v>OK</v>
      </c>
      <c r="S374" s="10">
        <f t="shared" si="2"/>
        <v>4</v>
      </c>
      <c r="T374" s="10" t="str">
        <f t="shared" si="3"/>
        <v>OK</v>
      </c>
      <c r="U374" s="10">
        <f t="shared" si="4"/>
        <v>1</v>
      </c>
      <c r="V374" s="10"/>
      <c r="W374" s="10"/>
      <c r="X374" s="10"/>
      <c r="Y374" s="10"/>
      <c r="Z374" s="10"/>
    </row>
    <row r="375" ht="13.5" customHeight="1">
      <c r="A375" s="3">
        <v>933.0</v>
      </c>
      <c r="B375" s="12">
        <v>40585.0</v>
      </c>
      <c r="C375" s="3">
        <v>1.0</v>
      </c>
      <c r="D375" s="3">
        <v>0.0</v>
      </c>
      <c r="E375" s="3">
        <v>2.0</v>
      </c>
      <c r="F375" s="3">
        <v>11.0</v>
      </c>
      <c r="G375" s="3" t="b">
        <f t="shared" si="44"/>
        <v>0</v>
      </c>
      <c r="H375" s="3">
        <v>5.0</v>
      </c>
      <c r="I375" s="3">
        <v>1.0</v>
      </c>
      <c r="J375" s="3">
        <v>0.22</v>
      </c>
      <c r="K375" s="3">
        <v>0.2273</v>
      </c>
      <c r="L375" s="3">
        <v>0.47</v>
      </c>
      <c r="M375" s="3">
        <v>0.1343</v>
      </c>
      <c r="N375" s="3">
        <v>12.0</v>
      </c>
      <c r="O375" s="3">
        <v>52.0</v>
      </c>
      <c r="P375" s="3">
        <v>64.0</v>
      </c>
      <c r="Q375" s="10"/>
      <c r="R375" s="10" t="str">
        <f t="shared" si="1"/>
        <v>OK</v>
      </c>
      <c r="S375" s="10">
        <f t="shared" si="2"/>
        <v>4</v>
      </c>
      <c r="T375" s="10" t="str">
        <f t="shared" si="3"/>
        <v>OK</v>
      </c>
      <c r="U375" s="10">
        <f t="shared" si="4"/>
        <v>1</v>
      </c>
      <c r="V375" s="10"/>
      <c r="W375" s="10"/>
      <c r="X375" s="10"/>
      <c r="Y375" s="10"/>
      <c r="Z375" s="10"/>
    </row>
    <row r="376" ht="13.5" customHeight="1">
      <c r="A376" s="3">
        <v>964.0</v>
      </c>
      <c r="B376" s="12">
        <v>40586.0</v>
      </c>
      <c r="C376" s="3">
        <v>1.0</v>
      </c>
      <c r="D376" s="3">
        <v>0.0</v>
      </c>
      <c r="E376" s="3">
        <v>2.0</v>
      </c>
      <c r="F376" s="3">
        <v>18.0</v>
      </c>
      <c r="G376" s="3" t="b">
        <f t="shared" si="44"/>
        <v>0</v>
      </c>
      <c r="H376" s="3">
        <v>6.0</v>
      </c>
      <c r="I376" s="3">
        <v>1.0</v>
      </c>
      <c r="J376" s="3">
        <v>0.28</v>
      </c>
      <c r="K376" s="3">
        <v>0.2576</v>
      </c>
      <c r="L376" s="3">
        <v>0.38</v>
      </c>
      <c r="M376" s="3">
        <v>0.3284</v>
      </c>
      <c r="N376" s="3">
        <v>4.0</v>
      </c>
      <c r="O376" s="3">
        <v>60.0</v>
      </c>
      <c r="P376" s="3">
        <v>64.0</v>
      </c>
      <c r="Q376" s="10"/>
      <c r="R376" s="10" t="str">
        <f t="shared" si="1"/>
        <v>OK</v>
      </c>
      <c r="S376" s="10">
        <f t="shared" si="2"/>
        <v>4</v>
      </c>
      <c r="T376" s="10" t="str">
        <f t="shared" si="3"/>
        <v>OK</v>
      </c>
      <c r="U376" s="10">
        <f t="shared" si="4"/>
        <v>1</v>
      </c>
      <c r="V376" s="10"/>
      <c r="W376" s="10"/>
      <c r="X376" s="10"/>
      <c r="Y376" s="10"/>
      <c r="Z376" s="10"/>
    </row>
    <row r="377" ht="13.5" customHeight="1">
      <c r="A377" s="10">
        <f>dataset_1!A84</f>
        <v>83</v>
      </c>
      <c r="B377" s="11">
        <f>dataset_1!B84</f>
        <v>40547</v>
      </c>
      <c r="C377" s="10">
        <f>dataset_1!C84</f>
        <v>1</v>
      </c>
      <c r="D377" s="10">
        <f>dataset_1!D84</f>
        <v>0</v>
      </c>
      <c r="E377" s="10">
        <f>dataset_1!E84</f>
        <v>1</v>
      </c>
      <c r="F377" s="10">
        <f>dataset_1!F84</f>
        <v>14</v>
      </c>
      <c r="G377" s="10" t="b">
        <f>dataset_1!G84</f>
        <v>0</v>
      </c>
      <c r="H377" s="10">
        <f>dataset_1!H84</f>
        <v>2</v>
      </c>
      <c r="I377" s="10">
        <f>dataset_1!I84</f>
        <v>1</v>
      </c>
      <c r="J377" s="10">
        <f>dataset_1!J84</f>
        <v>0.26</v>
      </c>
      <c r="K377" s="10">
        <f>VLOOKUP(A377,dataset_2!$A$2:$G$611,2,0)</f>
        <v>0.2576</v>
      </c>
      <c r="L377" s="10">
        <f>VLOOKUP(A377,dataset_2!$A$2:$G$611,3,0)</f>
        <v>0.52</v>
      </c>
      <c r="M377" s="10">
        <f>VLOOKUP(A377,dataset_2!$A$2:$G$611,4,0)</f>
        <v>0.2239</v>
      </c>
      <c r="N377" s="10">
        <f>VLOOKUP(A377,dataset_2!$A$2:$G$611,5,0)</f>
        <v>9</v>
      </c>
      <c r="O377" s="10">
        <f>VLOOKUP(A377,dataset_2!$A$2:$G$611,6,0)</f>
        <v>54</v>
      </c>
      <c r="P377" s="10">
        <f>VLOOKUP(A377,dataset_2!$A$2:$G$611,7,0)</f>
        <v>63</v>
      </c>
      <c r="Q377" s="10"/>
      <c r="R377" s="10" t="str">
        <f t="shared" si="1"/>
        <v>OK</v>
      </c>
      <c r="S377" s="10">
        <f t="shared" si="2"/>
        <v>4</v>
      </c>
      <c r="T377" s="10" t="str">
        <f t="shared" si="3"/>
        <v>OK</v>
      </c>
      <c r="U377" s="10">
        <f t="shared" si="4"/>
        <v>1</v>
      </c>
      <c r="V377" s="10"/>
      <c r="W377" s="10"/>
      <c r="X377" s="10"/>
      <c r="Y377" s="10"/>
      <c r="Z377" s="10"/>
    </row>
    <row r="378" ht="13.5" customHeight="1">
      <c r="A378" s="10">
        <f>dataset_1!A149</f>
        <v>148</v>
      </c>
      <c r="B378" s="11">
        <f>dataset_1!B149</f>
        <v>40550</v>
      </c>
      <c r="C378" s="10">
        <f>dataset_1!C149</f>
        <v>1</v>
      </c>
      <c r="D378" s="10">
        <f>dataset_1!D149</f>
        <v>0</v>
      </c>
      <c r="E378" s="10">
        <f>dataset_1!E149</f>
        <v>1</v>
      </c>
      <c r="F378" s="10">
        <f>dataset_1!F149</f>
        <v>10</v>
      </c>
      <c r="G378" s="10" t="b">
        <f>dataset_1!G149</f>
        <v>0</v>
      </c>
      <c r="H378" s="10">
        <f>dataset_1!H149</f>
        <v>5</v>
      </c>
      <c r="I378" s="10">
        <f>dataset_1!I149</f>
        <v>1</v>
      </c>
      <c r="J378" s="10">
        <f>dataset_1!J149</f>
        <v>0.22</v>
      </c>
      <c r="K378" s="10">
        <f>VLOOKUP(A378,dataset_2!$A$2:$G$611,2,0)</f>
        <v>0.197</v>
      </c>
      <c r="L378" s="10">
        <f>VLOOKUP(A378,dataset_2!$A$2:$G$611,3,0)</f>
        <v>0.37</v>
      </c>
      <c r="M378" s="10">
        <f>VLOOKUP(A378,dataset_2!$A$2:$G$611,4,0)</f>
        <v>0.3284</v>
      </c>
      <c r="N378" s="10">
        <f>VLOOKUP(A378,dataset_2!$A$2:$G$611,5,0)</f>
        <v>16</v>
      </c>
      <c r="O378" s="10">
        <f>VLOOKUP(A378,dataset_2!$A$2:$G$611,6,0)</f>
        <v>47</v>
      </c>
      <c r="P378" s="10">
        <f>VLOOKUP(A378,dataset_2!$A$2:$G$611,7,0)</f>
        <v>63</v>
      </c>
      <c r="Q378" s="10"/>
      <c r="R378" s="10" t="str">
        <f t="shared" si="1"/>
        <v>OK</v>
      </c>
      <c r="S378" s="10">
        <f t="shared" si="2"/>
        <v>4</v>
      </c>
      <c r="T378" s="10" t="str">
        <f t="shared" si="3"/>
        <v>OK</v>
      </c>
      <c r="U378" s="10">
        <f t="shared" si="4"/>
        <v>1</v>
      </c>
      <c r="V378" s="10"/>
      <c r="W378" s="10"/>
      <c r="X378" s="10"/>
      <c r="Y378" s="10"/>
      <c r="Z378" s="10"/>
    </row>
    <row r="379" ht="13.5" customHeight="1">
      <c r="A379" s="10">
        <f>dataset_1!A247</f>
        <v>246</v>
      </c>
      <c r="B379" s="11">
        <f>dataset_1!B247</f>
        <v>40554</v>
      </c>
      <c r="C379" s="10">
        <f>dataset_1!C247</f>
        <v>1</v>
      </c>
      <c r="D379" s="10">
        <f>dataset_1!D247</f>
        <v>0</v>
      </c>
      <c r="E379" s="10">
        <f>dataset_1!E247</f>
        <v>1</v>
      </c>
      <c r="F379" s="10">
        <f>dataset_1!F247</f>
        <v>14</v>
      </c>
      <c r="G379" s="10" t="b">
        <f>dataset_1!G247</f>
        <v>0</v>
      </c>
      <c r="H379" s="10">
        <f>dataset_1!H247</f>
        <v>2</v>
      </c>
      <c r="I379" s="10">
        <f>dataset_1!I247</f>
        <v>2</v>
      </c>
      <c r="J379" s="10">
        <f>dataset_1!J247</f>
        <v>0.2</v>
      </c>
      <c r="K379" s="10">
        <f>VLOOKUP(A379,dataset_2!$A$2:$G$611,2,0)</f>
        <v>0.2273</v>
      </c>
      <c r="L379" s="10">
        <f>VLOOKUP(A379,dataset_2!$A$2:$G$611,3,0)</f>
        <v>0.59</v>
      </c>
      <c r="M379" s="10">
        <f>VLOOKUP(A379,dataset_2!$A$2:$G$611,4,0)</f>
        <v>0.0896</v>
      </c>
      <c r="N379" s="10">
        <f>VLOOKUP(A379,dataset_2!$A$2:$G$611,5,0)</f>
        <v>3</v>
      </c>
      <c r="O379" s="10">
        <f>VLOOKUP(A379,dataset_2!$A$2:$G$611,6,0)</f>
        <v>60</v>
      </c>
      <c r="P379" s="10">
        <f>VLOOKUP(A379,dataset_2!$A$2:$G$611,7,0)</f>
        <v>63</v>
      </c>
      <c r="Q379" s="10"/>
      <c r="R379" s="10" t="str">
        <f t="shared" si="1"/>
        <v>OK</v>
      </c>
      <c r="S379" s="10">
        <f t="shared" si="2"/>
        <v>4</v>
      </c>
      <c r="T379" s="10" t="str">
        <f t="shared" si="3"/>
        <v>OK</v>
      </c>
      <c r="U379" s="10">
        <f t="shared" si="4"/>
        <v>1</v>
      </c>
      <c r="V379" s="10"/>
      <c r="W379" s="10"/>
      <c r="X379" s="10"/>
      <c r="Y379" s="10"/>
      <c r="Z379" s="10"/>
    </row>
    <row r="380" ht="13.5" customHeight="1">
      <c r="A380" s="10">
        <f>dataset_1!A467</f>
        <v>466</v>
      </c>
      <c r="B380" s="11">
        <f>dataset_1!B467</f>
        <v>40564</v>
      </c>
      <c r="C380" s="10">
        <f>dataset_1!C467</f>
        <v>1</v>
      </c>
      <c r="D380" s="10">
        <f>dataset_1!D467</f>
        <v>0</v>
      </c>
      <c r="E380" s="10">
        <f>dataset_1!E467</f>
        <v>1</v>
      </c>
      <c r="F380" s="10">
        <f>dataset_1!F467</f>
        <v>10</v>
      </c>
      <c r="G380" s="10" t="b">
        <f>dataset_1!G467</f>
        <v>0</v>
      </c>
      <c r="H380" s="10">
        <f>dataset_1!H467</f>
        <v>5</v>
      </c>
      <c r="I380" s="10">
        <f>dataset_1!I467</f>
        <v>1</v>
      </c>
      <c r="J380" s="10">
        <f>dataset_1!J467</f>
        <v>0.2</v>
      </c>
      <c r="K380" s="10">
        <f>VLOOKUP(A380,dataset_2!$A$2:$G$611,2,0)</f>
        <v>0.1667</v>
      </c>
      <c r="L380" s="10">
        <f>VLOOKUP(A380,dataset_2!$A$2:$G$611,3,0)</f>
        <v>0.47</v>
      </c>
      <c r="M380" s="10">
        <f>VLOOKUP(A380,dataset_2!$A$2:$G$611,4,0)</f>
        <v>0.4627</v>
      </c>
      <c r="N380" s="10">
        <f>VLOOKUP(A380,dataset_2!$A$2:$G$611,5,0)</f>
        <v>6</v>
      </c>
      <c r="O380" s="10">
        <f>VLOOKUP(A380,dataset_2!$A$2:$G$611,6,0)</f>
        <v>57</v>
      </c>
      <c r="P380" s="10">
        <f>VLOOKUP(A380,dataset_2!$A$2:$G$611,7,0)</f>
        <v>63</v>
      </c>
      <c r="Q380" s="10"/>
      <c r="R380" s="10" t="str">
        <f t="shared" si="1"/>
        <v>OK</v>
      </c>
      <c r="S380" s="10">
        <f t="shared" si="2"/>
        <v>4</v>
      </c>
      <c r="T380" s="10" t="str">
        <f t="shared" si="3"/>
        <v>OK</v>
      </c>
      <c r="U380" s="10">
        <f t="shared" si="4"/>
        <v>1</v>
      </c>
      <c r="V380" s="10"/>
      <c r="W380" s="10"/>
      <c r="X380" s="10"/>
      <c r="Y380" s="10"/>
      <c r="Z380" s="10"/>
    </row>
    <row r="381" ht="13.5" customHeight="1">
      <c r="A381" s="10">
        <f>dataset_1!A491</f>
        <v>490</v>
      </c>
      <c r="B381" s="11">
        <f>dataset_1!B491</f>
        <v>40565</v>
      </c>
      <c r="C381" s="10">
        <f>dataset_1!C491</f>
        <v>1</v>
      </c>
      <c r="D381" s="10">
        <f>dataset_1!D491</f>
        <v>0</v>
      </c>
      <c r="E381" s="10">
        <f>dataset_1!E491</f>
        <v>1</v>
      </c>
      <c r="F381" s="10">
        <f>dataset_1!F491</f>
        <v>11</v>
      </c>
      <c r="G381" s="10" t="b">
        <f>dataset_1!G491</f>
        <v>0</v>
      </c>
      <c r="H381" s="10">
        <f>dataset_1!H491</f>
        <v>6</v>
      </c>
      <c r="I381" s="10">
        <f>dataset_1!I491</f>
        <v>2</v>
      </c>
      <c r="J381" s="10">
        <f>dataset_1!J491</f>
        <v>0.06</v>
      </c>
      <c r="K381" s="10">
        <f>VLOOKUP(A381,dataset_2!$A$2:$G$611,2,0)</f>
        <v>0.0758</v>
      </c>
      <c r="L381" s="10">
        <f>VLOOKUP(A381,dataset_2!$A$2:$G$611,3,0)</f>
        <v>0.38</v>
      </c>
      <c r="M381" s="10">
        <f>VLOOKUP(A381,dataset_2!$A$2:$G$611,4,0)</f>
        <v>0.1343</v>
      </c>
      <c r="N381" s="10">
        <f>VLOOKUP(A381,dataset_2!$A$2:$G$611,5,0)</f>
        <v>4</v>
      </c>
      <c r="O381" s="10">
        <f>VLOOKUP(A381,dataset_2!$A$2:$G$611,6,0)</f>
        <v>59</v>
      </c>
      <c r="P381" s="10">
        <f>VLOOKUP(A381,dataset_2!$A$2:$G$611,7,0)</f>
        <v>63</v>
      </c>
      <c r="Q381" s="10"/>
      <c r="R381" s="10" t="str">
        <f t="shared" si="1"/>
        <v>OK</v>
      </c>
      <c r="S381" s="10">
        <f t="shared" si="2"/>
        <v>4</v>
      </c>
      <c r="T381" s="10" t="str">
        <f t="shared" si="3"/>
        <v>OK</v>
      </c>
      <c r="U381" s="10">
        <f t="shared" si="4"/>
        <v>1</v>
      </c>
      <c r="V381" s="10"/>
      <c r="W381" s="10"/>
      <c r="X381" s="10"/>
      <c r="Y381" s="10"/>
      <c r="Z381" s="10"/>
    </row>
    <row r="382" ht="13.5" customHeight="1">
      <c r="A382" s="10">
        <f>dataset_1!A538</f>
        <v>537</v>
      </c>
      <c r="B382" s="11">
        <f>dataset_1!B538</f>
        <v>40567</v>
      </c>
      <c r="C382" s="10">
        <f>dataset_1!C538</f>
        <v>1</v>
      </c>
      <c r="D382" s="10">
        <f>dataset_1!D538</f>
        <v>0</v>
      </c>
      <c r="E382" s="10">
        <f>dataset_1!E538</f>
        <v>1</v>
      </c>
      <c r="F382" s="10">
        <f>dataset_1!F538</f>
        <v>12</v>
      </c>
      <c r="G382" s="10" t="b">
        <f>dataset_1!G538</f>
        <v>0</v>
      </c>
      <c r="H382" s="10">
        <f>dataset_1!H538</f>
        <v>1</v>
      </c>
      <c r="I382" s="10">
        <f>dataset_1!I538</f>
        <v>2</v>
      </c>
      <c r="J382" s="10">
        <f>dataset_1!J538</f>
        <v>0.12</v>
      </c>
      <c r="K382" s="10">
        <f>VLOOKUP(A382,dataset_2!$A$2:$G$611,2,0)</f>
        <v>0.1364</v>
      </c>
      <c r="L382" s="10">
        <f>VLOOKUP(A382,dataset_2!$A$2:$G$611,3,0)</f>
        <v>0.42</v>
      </c>
      <c r="M382" s="10">
        <f>VLOOKUP(A382,dataset_2!$A$2:$G$611,4,0)</f>
        <v>0.194</v>
      </c>
      <c r="N382" s="10">
        <f>VLOOKUP(A382,dataset_2!$A$2:$G$611,5,0)</f>
        <v>11</v>
      </c>
      <c r="O382" s="10">
        <f>VLOOKUP(A382,dataset_2!$A$2:$G$611,6,0)</f>
        <v>52</v>
      </c>
      <c r="P382" s="10">
        <f>VLOOKUP(A382,dataset_2!$A$2:$G$611,7,0)</f>
        <v>63</v>
      </c>
      <c r="Q382" s="10"/>
      <c r="R382" s="10" t="str">
        <f t="shared" si="1"/>
        <v>OK</v>
      </c>
      <c r="S382" s="10">
        <f t="shared" si="2"/>
        <v>4</v>
      </c>
      <c r="T382" s="10" t="str">
        <f t="shared" si="3"/>
        <v>OK</v>
      </c>
      <c r="U382" s="10">
        <f t="shared" si="4"/>
        <v>1</v>
      </c>
      <c r="V382" s="10"/>
      <c r="W382" s="10"/>
      <c r="X382" s="10"/>
      <c r="Y382" s="10"/>
      <c r="Z382" s="10"/>
    </row>
    <row r="383" ht="13.5" customHeight="1">
      <c r="A383" s="3">
        <v>726.0</v>
      </c>
      <c r="B383" s="12">
        <v>40576.0</v>
      </c>
      <c r="C383" s="3">
        <v>1.0</v>
      </c>
      <c r="D383" s="3">
        <v>0.0</v>
      </c>
      <c r="E383" s="3">
        <v>2.0</v>
      </c>
      <c r="F383" s="3">
        <v>14.0</v>
      </c>
      <c r="G383" s="3" t="b">
        <f t="shared" ref="G383:G385" si="45">FALSE()</f>
        <v>0</v>
      </c>
      <c r="H383" s="3">
        <v>3.0</v>
      </c>
      <c r="I383" s="3">
        <v>1.0</v>
      </c>
      <c r="J383" s="3">
        <v>0.38</v>
      </c>
      <c r="K383" s="3">
        <v>0.3939</v>
      </c>
      <c r="L383" s="3">
        <v>0.82</v>
      </c>
      <c r="M383" s="3">
        <v>0.3881</v>
      </c>
      <c r="N383" s="3">
        <v>2.0</v>
      </c>
      <c r="O383" s="3">
        <v>61.0</v>
      </c>
      <c r="P383" s="3">
        <v>63.0</v>
      </c>
      <c r="Q383" s="10"/>
      <c r="R383" s="10" t="str">
        <f t="shared" si="1"/>
        <v>OK</v>
      </c>
      <c r="S383" s="10">
        <f t="shared" si="2"/>
        <v>4</v>
      </c>
      <c r="T383" s="10" t="str">
        <f t="shared" si="3"/>
        <v>OK</v>
      </c>
      <c r="U383" s="10">
        <f t="shared" si="4"/>
        <v>1</v>
      </c>
      <c r="V383" s="10"/>
      <c r="W383" s="10"/>
      <c r="X383" s="10"/>
      <c r="Y383" s="10"/>
      <c r="Z383" s="10"/>
    </row>
    <row r="384" ht="13.5" customHeight="1">
      <c r="A384" s="3">
        <v>733.0</v>
      </c>
      <c r="B384" s="12">
        <v>40576.0</v>
      </c>
      <c r="C384" s="3">
        <v>1.0</v>
      </c>
      <c r="D384" s="3">
        <v>0.0</v>
      </c>
      <c r="E384" s="3">
        <v>2.0</v>
      </c>
      <c r="F384" s="3">
        <v>21.0</v>
      </c>
      <c r="G384" s="3" t="b">
        <f t="shared" si="45"/>
        <v>0</v>
      </c>
      <c r="H384" s="3">
        <v>3.0</v>
      </c>
      <c r="I384" s="3">
        <v>1.0</v>
      </c>
      <c r="J384" s="3">
        <v>0.22</v>
      </c>
      <c r="K384" s="3">
        <v>0.197</v>
      </c>
      <c r="L384" s="3">
        <v>0.47</v>
      </c>
      <c r="M384" s="3">
        <v>0.3284</v>
      </c>
      <c r="N384" s="3">
        <v>1.0</v>
      </c>
      <c r="O384" s="3">
        <v>62.0</v>
      </c>
      <c r="P384" s="3">
        <v>63.0</v>
      </c>
      <c r="Q384" s="10"/>
      <c r="R384" s="10" t="str">
        <f t="shared" si="1"/>
        <v>OK</v>
      </c>
      <c r="S384" s="10">
        <f t="shared" si="2"/>
        <v>4</v>
      </c>
      <c r="T384" s="10" t="str">
        <f t="shared" si="3"/>
        <v>OK</v>
      </c>
      <c r="U384" s="10">
        <f t="shared" si="4"/>
        <v>1</v>
      </c>
      <c r="V384" s="10"/>
      <c r="W384" s="10"/>
      <c r="X384" s="10"/>
      <c r="Y384" s="10"/>
      <c r="Z384" s="10"/>
    </row>
    <row r="385" ht="13.5" customHeight="1">
      <c r="A385" s="3">
        <v>942.0</v>
      </c>
      <c r="B385" s="12">
        <v>40585.0</v>
      </c>
      <c r="C385" s="3">
        <v>1.0</v>
      </c>
      <c r="D385" s="3">
        <v>0.0</v>
      </c>
      <c r="E385" s="3">
        <v>2.0</v>
      </c>
      <c r="F385" s="3">
        <v>20.0</v>
      </c>
      <c r="G385" s="3" t="b">
        <f t="shared" si="45"/>
        <v>0</v>
      </c>
      <c r="H385" s="3">
        <v>5.0</v>
      </c>
      <c r="I385" s="3">
        <v>1.0</v>
      </c>
      <c r="J385" s="3">
        <v>0.22</v>
      </c>
      <c r="K385" s="3">
        <v>0.2273</v>
      </c>
      <c r="L385" s="3">
        <v>0.55</v>
      </c>
      <c r="M385" s="3">
        <v>0.1343</v>
      </c>
      <c r="N385" s="3">
        <v>2.0</v>
      </c>
      <c r="O385" s="3">
        <v>61.0</v>
      </c>
      <c r="P385" s="3">
        <v>63.0</v>
      </c>
      <c r="Q385" s="10"/>
      <c r="R385" s="10" t="str">
        <f t="shared" si="1"/>
        <v>OK</v>
      </c>
      <c r="S385" s="10">
        <f t="shared" si="2"/>
        <v>4</v>
      </c>
      <c r="T385" s="10" t="str">
        <f t="shared" si="3"/>
        <v>OK</v>
      </c>
      <c r="U385" s="10">
        <f t="shared" si="4"/>
        <v>1</v>
      </c>
      <c r="V385" s="10"/>
      <c r="W385" s="10"/>
      <c r="X385" s="10"/>
      <c r="Y385" s="10"/>
      <c r="Z385" s="10"/>
    </row>
    <row r="386" ht="13.5" customHeight="1">
      <c r="A386" s="10">
        <f>dataset_1!A107</f>
        <v>106</v>
      </c>
      <c r="B386" s="11">
        <f>dataset_1!B107</f>
        <v>40548</v>
      </c>
      <c r="C386" s="10">
        <f>dataset_1!C107</f>
        <v>1</v>
      </c>
      <c r="D386" s="10">
        <f>dataset_1!D107</f>
        <v>0</v>
      </c>
      <c r="E386" s="10">
        <f>dataset_1!E107</f>
        <v>1</v>
      </c>
      <c r="F386" s="10">
        <f>dataset_1!F107</f>
        <v>14</v>
      </c>
      <c r="G386" s="10" t="b">
        <f>dataset_1!G107</f>
        <v>0</v>
      </c>
      <c r="H386" s="10">
        <f>dataset_1!H107</f>
        <v>3</v>
      </c>
      <c r="I386" s="10">
        <f>dataset_1!I107</f>
        <v>1</v>
      </c>
      <c r="J386" s="10">
        <f>dataset_1!J107</f>
        <v>0.3</v>
      </c>
      <c r="K386" s="10">
        <f>VLOOKUP(A386,dataset_2!$A$2:$G$611,2,0)</f>
        <v>0.2879</v>
      </c>
      <c r="L386" s="10">
        <f>VLOOKUP(A386,dataset_2!$A$2:$G$611,3,0)</f>
        <v>0.28</v>
      </c>
      <c r="M386" s="10">
        <f>VLOOKUP(A386,dataset_2!$A$2:$G$611,4,0)</f>
        <v>0.194</v>
      </c>
      <c r="N386" s="10">
        <f>VLOOKUP(A386,dataset_2!$A$2:$G$611,5,0)</f>
        <v>10</v>
      </c>
      <c r="O386" s="10">
        <f>VLOOKUP(A386,dataset_2!$A$2:$G$611,6,0)</f>
        <v>52</v>
      </c>
      <c r="P386" s="10">
        <f>VLOOKUP(A386,dataset_2!$A$2:$G$611,7,0)</f>
        <v>62</v>
      </c>
      <c r="Q386" s="10"/>
      <c r="R386" s="10" t="str">
        <f t="shared" si="1"/>
        <v>OK</v>
      </c>
      <c r="S386" s="10">
        <f t="shared" si="2"/>
        <v>4</v>
      </c>
      <c r="T386" s="10" t="str">
        <f t="shared" si="3"/>
        <v>OK</v>
      </c>
      <c r="U386" s="10">
        <f t="shared" si="4"/>
        <v>1</v>
      </c>
      <c r="V386" s="10"/>
      <c r="W386" s="10"/>
      <c r="X386" s="10"/>
      <c r="Y386" s="10"/>
      <c r="Z386" s="10"/>
    </row>
    <row r="387" ht="13.5" customHeight="1">
      <c r="A387" s="10">
        <f>dataset_1!A108</f>
        <v>107</v>
      </c>
      <c r="B387" s="11">
        <f>dataset_1!B108</f>
        <v>40548</v>
      </c>
      <c r="C387" s="10">
        <f>dataset_1!C108</f>
        <v>1</v>
      </c>
      <c r="D387" s="10">
        <f>dataset_1!D108</f>
        <v>0</v>
      </c>
      <c r="E387" s="10">
        <f>dataset_1!E108</f>
        <v>1</v>
      </c>
      <c r="F387" s="10">
        <f>dataset_1!F108</f>
        <v>15</v>
      </c>
      <c r="G387" s="10" t="b">
        <f>dataset_1!G108</f>
        <v>0</v>
      </c>
      <c r="H387" s="10">
        <f>dataset_1!H108</f>
        <v>3</v>
      </c>
      <c r="I387" s="10">
        <f>dataset_1!I108</f>
        <v>1</v>
      </c>
      <c r="J387" s="10">
        <f>dataset_1!J108</f>
        <v>0.3</v>
      </c>
      <c r="K387" s="10">
        <f>VLOOKUP(A387,dataset_2!$A$2:$G$611,2,0)</f>
        <v>0.2879</v>
      </c>
      <c r="L387" s="10">
        <f>VLOOKUP(A387,dataset_2!$A$2:$G$611,3,0)</f>
        <v>0.28</v>
      </c>
      <c r="M387" s="10">
        <f>VLOOKUP(A387,dataset_2!$A$2:$G$611,4,0)</f>
        <v>0.194</v>
      </c>
      <c r="N387" s="10">
        <f>VLOOKUP(A387,dataset_2!$A$2:$G$611,5,0)</f>
        <v>7</v>
      </c>
      <c r="O387" s="10">
        <f>VLOOKUP(A387,dataset_2!$A$2:$G$611,6,0)</f>
        <v>55</v>
      </c>
      <c r="P387" s="10">
        <f>VLOOKUP(A387,dataset_2!$A$2:$G$611,7,0)</f>
        <v>62</v>
      </c>
      <c r="Q387" s="10"/>
      <c r="R387" s="10" t="str">
        <f t="shared" si="1"/>
        <v>OK</v>
      </c>
      <c r="S387" s="10">
        <f t="shared" si="2"/>
        <v>4</v>
      </c>
      <c r="T387" s="10" t="str">
        <f t="shared" si="3"/>
        <v>OK</v>
      </c>
      <c r="U387" s="10">
        <f t="shared" si="4"/>
        <v>1</v>
      </c>
      <c r="V387" s="10"/>
      <c r="W387" s="10"/>
      <c r="X387" s="10"/>
      <c r="Y387" s="10"/>
      <c r="Z387" s="10"/>
    </row>
    <row r="388" ht="13.5" customHeight="1">
      <c r="A388" s="10">
        <f>dataset_1!A131</f>
        <v>130</v>
      </c>
      <c r="B388" s="11">
        <f>dataset_1!B131</f>
        <v>40549</v>
      </c>
      <c r="C388" s="10">
        <f>dataset_1!C131</f>
        <v>1</v>
      </c>
      <c r="D388" s="10">
        <f>dataset_1!D131</f>
        <v>0</v>
      </c>
      <c r="E388" s="10">
        <f>dataset_1!E131</f>
        <v>1</v>
      </c>
      <c r="F388" s="10">
        <f>dataset_1!F131</f>
        <v>15</v>
      </c>
      <c r="G388" s="10" t="b">
        <f>dataset_1!G131</f>
        <v>0</v>
      </c>
      <c r="H388" s="10">
        <f>dataset_1!H131</f>
        <v>4</v>
      </c>
      <c r="I388" s="10">
        <f>dataset_1!I131</f>
        <v>1</v>
      </c>
      <c r="J388" s="10">
        <f>dataset_1!J131</f>
        <v>0.28</v>
      </c>
      <c r="K388" s="10">
        <f>VLOOKUP(A388,dataset_2!$A$2:$G$611,2,0)</f>
        <v>0.2727</v>
      </c>
      <c r="L388" s="10">
        <f>VLOOKUP(A388,dataset_2!$A$2:$G$611,3,0)</f>
        <v>0.36</v>
      </c>
      <c r="M388" s="10">
        <f>VLOOKUP(A388,dataset_2!$A$2:$G$611,4,0)</f>
        <v>0</v>
      </c>
      <c r="N388" s="10">
        <f>VLOOKUP(A388,dataset_2!$A$2:$G$611,5,0)</f>
        <v>8</v>
      </c>
      <c r="O388" s="10">
        <f>VLOOKUP(A388,dataset_2!$A$2:$G$611,6,0)</f>
        <v>54</v>
      </c>
      <c r="P388" s="10">
        <f>VLOOKUP(A388,dataset_2!$A$2:$G$611,7,0)</f>
        <v>62</v>
      </c>
      <c r="Q388" s="10"/>
      <c r="R388" s="10" t="str">
        <f t="shared" si="1"/>
        <v>OK</v>
      </c>
      <c r="S388" s="10">
        <f t="shared" si="2"/>
        <v>4</v>
      </c>
      <c r="T388" s="10" t="str">
        <f t="shared" si="3"/>
        <v>OK</v>
      </c>
      <c r="U388" s="10">
        <f t="shared" si="4"/>
        <v>1</v>
      </c>
      <c r="V388" s="10"/>
      <c r="W388" s="10"/>
      <c r="X388" s="10"/>
      <c r="Y388" s="10"/>
      <c r="Z388" s="10"/>
    </row>
    <row r="389" ht="13.5" customHeight="1">
      <c r="A389" s="10">
        <f>dataset_1!A174</f>
        <v>173</v>
      </c>
      <c r="B389" s="11">
        <f>dataset_1!B174</f>
        <v>40551</v>
      </c>
      <c r="C389" s="10">
        <f>dataset_1!C174</f>
        <v>1</v>
      </c>
      <c r="D389" s="10">
        <f>dataset_1!D174</f>
        <v>0</v>
      </c>
      <c r="E389" s="10">
        <f>dataset_1!E174</f>
        <v>1</v>
      </c>
      <c r="F389" s="10">
        <f>dataset_1!F174</f>
        <v>11</v>
      </c>
      <c r="G389" s="10" t="b">
        <f>dataset_1!G174</f>
        <v>0</v>
      </c>
      <c r="H389" s="10">
        <f>dataset_1!H174</f>
        <v>6</v>
      </c>
      <c r="I389" s="10">
        <f>dataset_1!I174</f>
        <v>2</v>
      </c>
      <c r="J389" s="10">
        <f>dataset_1!J174</f>
        <v>0.2</v>
      </c>
      <c r="K389" s="10">
        <f>VLOOKUP(A389,dataset_2!$A$2:$G$611,2,0)</f>
        <v>0.1818</v>
      </c>
      <c r="L389" s="10">
        <f>VLOOKUP(A389,dataset_2!$A$2:$G$611,3,0)</f>
        <v>0.69</v>
      </c>
      <c r="M389" s="10">
        <f>VLOOKUP(A389,dataset_2!$A$2:$G$611,4,0)</f>
        <v>0.3881</v>
      </c>
      <c r="N389" s="10">
        <f>VLOOKUP(A389,dataset_2!$A$2:$G$611,5,0)</f>
        <v>2</v>
      </c>
      <c r="O389" s="10">
        <f>VLOOKUP(A389,dataset_2!$A$2:$G$611,6,0)</f>
        <v>60</v>
      </c>
      <c r="P389" s="10">
        <f>VLOOKUP(A389,dataset_2!$A$2:$G$611,7,0)</f>
        <v>62</v>
      </c>
      <c r="Q389" s="10"/>
      <c r="R389" s="10" t="str">
        <f t="shared" si="1"/>
        <v>OK</v>
      </c>
      <c r="S389" s="10">
        <f t="shared" si="2"/>
        <v>4</v>
      </c>
      <c r="T389" s="10" t="str">
        <f t="shared" si="3"/>
        <v>OK</v>
      </c>
      <c r="U389" s="10">
        <f t="shared" si="4"/>
        <v>1</v>
      </c>
      <c r="V389" s="10"/>
      <c r="W389" s="10"/>
      <c r="X389" s="10"/>
      <c r="Y389" s="10"/>
      <c r="Z389" s="10"/>
    </row>
    <row r="390" ht="13.5" customHeight="1">
      <c r="A390" s="10">
        <f>dataset_1!A204</f>
        <v>203</v>
      </c>
      <c r="B390" s="11">
        <f>dataset_1!B204</f>
        <v>40552</v>
      </c>
      <c r="C390" s="10">
        <f>dataset_1!C204</f>
        <v>1</v>
      </c>
      <c r="D390" s="10">
        <f>dataset_1!D204</f>
        <v>0</v>
      </c>
      <c r="E390" s="10">
        <f>dataset_1!E204</f>
        <v>1</v>
      </c>
      <c r="F390" s="10">
        <f>dataset_1!F204</f>
        <v>17</v>
      </c>
      <c r="G390" s="10" t="b">
        <f>dataset_1!G204</f>
        <v>0</v>
      </c>
      <c r="H390" s="10">
        <f>dataset_1!H204</f>
        <v>0</v>
      </c>
      <c r="I390" s="10">
        <f>dataset_1!I204</f>
        <v>1</v>
      </c>
      <c r="J390" s="10">
        <f>dataset_1!J204</f>
        <v>0.18</v>
      </c>
      <c r="K390" s="10">
        <f>VLOOKUP(A390,dataset_2!$A$2:$G$611,2,0)</f>
        <v>0.1515</v>
      </c>
      <c r="L390" s="10">
        <f>VLOOKUP(A390,dataset_2!$A$2:$G$611,3,0)</f>
        <v>0.37</v>
      </c>
      <c r="M390" s="10">
        <f>VLOOKUP(A390,dataset_2!$A$2:$G$611,4,0)</f>
        <v>0.3881</v>
      </c>
      <c r="N390" s="10">
        <f>VLOOKUP(A390,dataset_2!$A$2:$G$611,5,0)</f>
        <v>3</v>
      </c>
      <c r="O390" s="10">
        <f>VLOOKUP(A390,dataset_2!$A$2:$G$611,6,0)</f>
        <v>59</v>
      </c>
      <c r="P390" s="10">
        <f>VLOOKUP(A390,dataset_2!$A$2:$G$611,7,0)</f>
        <v>62</v>
      </c>
      <c r="Q390" s="10"/>
      <c r="R390" s="10" t="str">
        <f t="shared" si="1"/>
        <v>OK</v>
      </c>
      <c r="S390" s="10">
        <f t="shared" si="2"/>
        <v>4</v>
      </c>
      <c r="T390" s="10" t="str">
        <f t="shared" si="3"/>
        <v>OK</v>
      </c>
      <c r="U390" s="10">
        <f t="shared" si="4"/>
        <v>1</v>
      </c>
      <c r="V390" s="10"/>
      <c r="W390" s="10"/>
      <c r="X390" s="10"/>
      <c r="Y390" s="10"/>
      <c r="Z390" s="10"/>
    </row>
    <row r="391" ht="13.5" customHeight="1">
      <c r="A391" s="10">
        <f>dataset_1!A471</f>
        <v>470</v>
      </c>
      <c r="B391" s="11">
        <f>dataset_1!B471</f>
        <v>40564</v>
      </c>
      <c r="C391" s="10">
        <f>dataset_1!C471</f>
        <v>1</v>
      </c>
      <c r="D391" s="10">
        <f>dataset_1!D471</f>
        <v>0</v>
      </c>
      <c r="E391" s="10">
        <f>dataset_1!E471</f>
        <v>1</v>
      </c>
      <c r="F391" s="10">
        <f>dataset_1!F471</f>
        <v>14</v>
      </c>
      <c r="G391" s="10" t="b">
        <f>dataset_1!G471</f>
        <v>0</v>
      </c>
      <c r="H391" s="10">
        <f>dataset_1!H471</f>
        <v>5</v>
      </c>
      <c r="I391" s="10">
        <f>dataset_1!I471</f>
        <v>1</v>
      </c>
      <c r="J391" s="10">
        <f>dataset_1!J471</f>
        <v>0.2</v>
      </c>
      <c r="K391" s="10">
        <f>VLOOKUP(A391,dataset_2!$A$2:$G$611,2,0)</f>
        <v>0.1515</v>
      </c>
      <c r="L391" s="10">
        <f>VLOOKUP(A391,dataset_2!$A$2:$G$611,3,0)</f>
        <v>0.25</v>
      </c>
      <c r="M391" s="10">
        <f>VLOOKUP(A391,dataset_2!$A$2:$G$611,4,0)</f>
        <v>0.5224</v>
      </c>
      <c r="N391" s="10">
        <f>VLOOKUP(A391,dataset_2!$A$2:$G$611,5,0)</f>
        <v>6</v>
      </c>
      <c r="O391" s="10">
        <f>VLOOKUP(A391,dataset_2!$A$2:$G$611,6,0)</f>
        <v>56</v>
      </c>
      <c r="P391" s="10">
        <f>VLOOKUP(A391,dataset_2!$A$2:$G$611,7,0)</f>
        <v>62</v>
      </c>
      <c r="Q391" s="10"/>
      <c r="R391" s="10" t="str">
        <f t="shared" si="1"/>
        <v>OK</v>
      </c>
      <c r="S391" s="10">
        <f t="shared" si="2"/>
        <v>4</v>
      </c>
      <c r="T391" s="10" t="str">
        <f t="shared" si="3"/>
        <v>OK</v>
      </c>
      <c r="U391" s="10">
        <f t="shared" si="4"/>
        <v>1</v>
      </c>
      <c r="V391" s="10"/>
      <c r="W391" s="10"/>
      <c r="X391" s="10"/>
      <c r="Y391" s="10"/>
      <c r="Z391" s="10"/>
    </row>
    <row r="392" ht="13.5" customHeight="1">
      <c r="A392" s="3">
        <v>615.0</v>
      </c>
      <c r="B392" s="12">
        <v>40571.0</v>
      </c>
      <c r="C392" s="3">
        <v>1.0</v>
      </c>
      <c r="D392" s="3">
        <v>0.0</v>
      </c>
      <c r="E392" s="3">
        <v>1.0</v>
      </c>
      <c r="F392" s="3">
        <v>20.0</v>
      </c>
      <c r="G392" s="3" t="b">
        <f t="shared" ref="G392:G394" si="46">FALSE()</f>
        <v>0</v>
      </c>
      <c r="H392" s="3">
        <v>5.0</v>
      </c>
      <c r="I392" s="3">
        <v>2.0</v>
      </c>
      <c r="J392" s="3">
        <v>0.24</v>
      </c>
      <c r="K392" s="3">
        <v>0.2273</v>
      </c>
      <c r="L392" s="3">
        <v>0.7</v>
      </c>
      <c r="M392" s="3">
        <v>0.194</v>
      </c>
      <c r="N392" s="3">
        <v>1.0</v>
      </c>
      <c r="O392" s="3">
        <v>61.0</v>
      </c>
      <c r="P392" s="3">
        <v>62.0</v>
      </c>
      <c r="Q392" s="10"/>
      <c r="R392" s="10" t="str">
        <f t="shared" si="1"/>
        <v>OK</v>
      </c>
      <c r="S392" s="10">
        <f t="shared" si="2"/>
        <v>4</v>
      </c>
      <c r="T392" s="10" t="str">
        <f t="shared" si="3"/>
        <v>OK</v>
      </c>
      <c r="U392" s="10">
        <f t="shared" si="4"/>
        <v>1</v>
      </c>
      <c r="V392" s="10"/>
      <c r="W392" s="10"/>
      <c r="X392" s="10"/>
      <c r="Y392" s="10"/>
      <c r="Z392" s="10"/>
    </row>
    <row r="393" ht="13.5" customHeight="1">
      <c r="A393" s="3">
        <v>828.0</v>
      </c>
      <c r="B393" s="12">
        <v>40580.0</v>
      </c>
      <c r="C393" s="3">
        <v>1.0</v>
      </c>
      <c r="D393" s="3">
        <v>0.0</v>
      </c>
      <c r="E393" s="3">
        <v>2.0</v>
      </c>
      <c r="F393" s="3">
        <v>22.0</v>
      </c>
      <c r="G393" s="3" t="b">
        <f t="shared" si="46"/>
        <v>0</v>
      </c>
      <c r="H393" s="3">
        <v>0.0</v>
      </c>
      <c r="I393" s="3">
        <v>1.0</v>
      </c>
      <c r="J393" s="3">
        <v>0.26</v>
      </c>
      <c r="K393" s="3">
        <v>0.303</v>
      </c>
      <c r="L393" s="3">
        <v>0.6</v>
      </c>
      <c r="M393" s="3">
        <v>0.0</v>
      </c>
      <c r="N393" s="3">
        <v>5.0</v>
      </c>
      <c r="O393" s="3">
        <v>57.0</v>
      </c>
      <c r="P393" s="3">
        <v>62.0</v>
      </c>
      <c r="Q393" s="10"/>
      <c r="R393" s="10" t="str">
        <f t="shared" si="1"/>
        <v>OK</v>
      </c>
      <c r="S393" s="10">
        <f t="shared" si="2"/>
        <v>4</v>
      </c>
      <c r="T393" s="10" t="str">
        <f t="shared" si="3"/>
        <v>OK</v>
      </c>
      <c r="U393" s="10">
        <f t="shared" si="4"/>
        <v>1</v>
      </c>
      <c r="V393" s="10"/>
      <c r="W393" s="10"/>
      <c r="X393" s="10"/>
      <c r="Y393" s="10"/>
      <c r="Z393" s="10"/>
    </row>
    <row r="394" ht="13.5" customHeight="1">
      <c r="A394" s="3">
        <v>913.0</v>
      </c>
      <c r="B394" s="12">
        <v>40584.0</v>
      </c>
      <c r="C394" s="3">
        <v>1.0</v>
      </c>
      <c r="D394" s="3">
        <v>0.0</v>
      </c>
      <c r="E394" s="3">
        <v>2.0</v>
      </c>
      <c r="F394" s="3">
        <v>13.0</v>
      </c>
      <c r="G394" s="3" t="b">
        <f t="shared" si="46"/>
        <v>0</v>
      </c>
      <c r="H394" s="3">
        <v>4.0</v>
      </c>
      <c r="I394" s="3">
        <v>1.0</v>
      </c>
      <c r="J394" s="3">
        <v>0.18</v>
      </c>
      <c r="K394" s="3">
        <v>0.1667</v>
      </c>
      <c r="L394" s="3">
        <v>0.29</v>
      </c>
      <c r="M394" s="3">
        <v>0.2985</v>
      </c>
      <c r="N394" s="3">
        <v>3.0</v>
      </c>
      <c r="O394" s="3">
        <v>59.0</v>
      </c>
      <c r="P394" s="3">
        <v>62.0</v>
      </c>
      <c r="Q394" s="10"/>
      <c r="R394" s="10" t="str">
        <f t="shared" si="1"/>
        <v>OK</v>
      </c>
      <c r="S394" s="10">
        <f t="shared" si="2"/>
        <v>4</v>
      </c>
      <c r="T394" s="10" t="str">
        <f t="shared" si="3"/>
        <v>OK</v>
      </c>
      <c r="U394" s="10">
        <f t="shared" si="4"/>
        <v>1</v>
      </c>
      <c r="V394" s="10"/>
      <c r="W394" s="10"/>
      <c r="X394" s="10"/>
      <c r="Y394" s="10"/>
      <c r="Z394" s="10"/>
    </row>
    <row r="395" ht="13.5" customHeight="1">
      <c r="A395" s="10">
        <f>dataset_1!A59</f>
        <v>58</v>
      </c>
      <c r="B395" s="11">
        <f>dataset_1!B59</f>
        <v>40546</v>
      </c>
      <c r="C395" s="10">
        <f>dataset_1!C59</f>
        <v>1</v>
      </c>
      <c r="D395" s="10">
        <f>dataset_1!D59</f>
        <v>0</v>
      </c>
      <c r="E395" s="10">
        <f>dataset_1!E59</f>
        <v>1</v>
      </c>
      <c r="F395" s="10">
        <f>dataset_1!F59</f>
        <v>12</v>
      </c>
      <c r="G395" s="10" t="b">
        <f>dataset_1!G59</f>
        <v>0</v>
      </c>
      <c r="H395" s="10">
        <f>dataset_1!H59</f>
        <v>1</v>
      </c>
      <c r="I395" s="10">
        <f>dataset_1!I59</f>
        <v>1</v>
      </c>
      <c r="J395" s="10">
        <f>dataset_1!J59</f>
        <v>0.22</v>
      </c>
      <c r="K395" s="10">
        <f>VLOOKUP(A395,dataset_2!$A$2:$G$611,2,0)</f>
        <v>0.2121</v>
      </c>
      <c r="L395" s="10">
        <f>VLOOKUP(A395,dataset_2!$A$2:$G$611,3,0)</f>
        <v>0.35</v>
      </c>
      <c r="M395" s="10">
        <f>VLOOKUP(A395,dataset_2!$A$2:$G$611,4,0)</f>
        <v>0.2985</v>
      </c>
      <c r="N395" s="10">
        <f>VLOOKUP(A395,dataset_2!$A$2:$G$611,5,0)</f>
        <v>13</v>
      </c>
      <c r="O395" s="10">
        <f>VLOOKUP(A395,dataset_2!$A$2:$G$611,6,0)</f>
        <v>48</v>
      </c>
      <c r="P395" s="10">
        <f>VLOOKUP(A395,dataset_2!$A$2:$G$611,7,0)</f>
        <v>61</v>
      </c>
      <c r="Q395" s="10"/>
      <c r="R395" s="10" t="str">
        <f t="shared" si="1"/>
        <v>OK</v>
      </c>
      <c r="S395" s="10">
        <f t="shared" si="2"/>
        <v>4</v>
      </c>
      <c r="T395" s="10" t="str">
        <f t="shared" si="3"/>
        <v>OK</v>
      </c>
      <c r="U395" s="10">
        <f t="shared" si="4"/>
        <v>1</v>
      </c>
      <c r="V395" s="10"/>
      <c r="W395" s="10"/>
      <c r="X395" s="10"/>
      <c r="Y395" s="10"/>
      <c r="Z395" s="10"/>
    </row>
    <row r="396" ht="13.5" customHeight="1">
      <c r="A396" s="10">
        <f>dataset_1!A60</f>
        <v>59</v>
      </c>
      <c r="B396" s="11">
        <f>dataset_1!B60</f>
        <v>40546</v>
      </c>
      <c r="C396" s="10">
        <f>dataset_1!C60</f>
        <v>1</v>
      </c>
      <c r="D396" s="10">
        <f>dataset_1!D60</f>
        <v>0</v>
      </c>
      <c r="E396" s="10">
        <f>dataset_1!E60</f>
        <v>1</v>
      </c>
      <c r="F396" s="10">
        <f>dataset_1!F60</f>
        <v>13</v>
      </c>
      <c r="G396" s="10" t="b">
        <f>dataset_1!G60</f>
        <v>0</v>
      </c>
      <c r="H396" s="10">
        <f>dataset_1!H60</f>
        <v>1</v>
      </c>
      <c r="I396" s="10">
        <f>dataset_1!I60</f>
        <v>1</v>
      </c>
      <c r="J396" s="10">
        <f>dataset_1!J60</f>
        <v>0.24</v>
      </c>
      <c r="K396" s="10" t="str">
        <f>VLOOKUP(A396,dataset_2!$A$2:$G$611,2,0)</f>
        <v/>
      </c>
      <c r="L396" s="10">
        <f>VLOOKUP(A396,dataset_2!$A$2:$G$611,3,0)</f>
        <v>0.35</v>
      </c>
      <c r="M396" s="10">
        <f>VLOOKUP(A396,dataset_2!$A$2:$G$611,4,0)</f>
        <v>0.2836</v>
      </c>
      <c r="N396" s="10">
        <f>VLOOKUP(A396,dataset_2!$A$2:$G$611,5,0)</f>
        <v>8</v>
      </c>
      <c r="O396" s="10">
        <f>VLOOKUP(A396,dataset_2!$A$2:$G$611,6,0)</f>
        <v>53</v>
      </c>
      <c r="P396" s="10">
        <f>VLOOKUP(A396,dataset_2!$A$2:$G$611,7,0)</f>
        <v>61</v>
      </c>
      <c r="Q396" s="10"/>
      <c r="R396" s="10" t="str">
        <f t="shared" si="1"/>
        <v>CHECK</v>
      </c>
      <c r="S396" s="10">
        <f t="shared" si="2"/>
        <v>4</v>
      </c>
      <c r="T396" s="10" t="str">
        <f t="shared" si="3"/>
        <v>OK</v>
      </c>
      <c r="U396" s="10">
        <f t="shared" si="4"/>
        <v>1</v>
      </c>
      <c r="V396" s="10"/>
      <c r="W396" s="10"/>
      <c r="X396" s="10"/>
      <c r="Y396" s="10"/>
      <c r="Z396" s="10"/>
    </row>
    <row r="397" ht="13.5" customHeight="1">
      <c r="A397" s="10">
        <f>dataset_1!A173</f>
        <v>172</v>
      </c>
      <c r="B397" s="11">
        <f>dataset_1!B173</f>
        <v>40551</v>
      </c>
      <c r="C397" s="10">
        <f>dataset_1!C173</f>
        <v>1</v>
      </c>
      <c r="D397" s="10">
        <f>dataset_1!D173</f>
        <v>0</v>
      </c>
      <c r="E397" s="10">
        <f>dataset_1!E173</f>
        <v>1</v>
      </c>
      <c r="F397" s="10">
        <f>dataset_1!F173</f>
        <v>10</v>
      </c>
      <c r="G397" s="10" t="b">
        <f>dataset_1!G173</f>
        <v>0</v>
      </c>
      <c r="H397" s="10">
        <f>dataset_1!H173</f>
        <v>6</v>
      </c>
      <c r="I397" s="10">
        <f>dataset_1!I173</f>
        <v>2</v>
      </c>
      <c r="J397" s="10">
        <f>dataset_1!J173</f>
        <v>0.18</v>
      </c>
      <c r="K397" s="10">
        <f>VLOOKUP(A397,dataset_2!$A$2:$G$611,2,0)</f>
        <v>0.197</v>
      </c>
      <c r="L397" s="10">
        <f>VLOOKUP(A397,dataset_2!$A$2:$G$611,3,0)</f>
        <v>0.8</v>
      </c>
      <c r="M397" s="10">
        <f>VLOOKUP(A397,dataset_2!$A$2:$G$611,4,0)</f>
        <v>0.1642</v>
      </c>
      <c r="N397" s="10">
        <f>VLOOKUP(A397,dataset_2!$A$2:$G$611,5,0)</f>
        <v>5</v>
      </c>
      <c r="O397" s="10">
        <f>VLOOKUP(A397,dataset_2!$A$2:$G$611,6,0)</f>
        <v>56</v>
      </c>
      <c r="P397" s="10">
        <f>VLOOKUP(A397,dataset_2!$A$2:$G$611,7,0)</f>
        <v>61</v>
      </c>
      <c r="Q397" s="10"/>
      <c r="R397" s="10" t="str">
        <f t="shared" si="1"/>
        <v>OK</v>
      </c>
      <c r="S397" s="10">
        <f t="shared" si="2"/>
        <v>3</v>
      </c>
      <c r="T397" s="10" t="str">
        <f t="shared" si="3"/>
        <v>OK</v>
      </c>
      <c r="U397" s="10">
        <f t="shared" si="4"/>
        <v>1</v>
      </c>
      <c r="V397" s="10"/>
      <c r="W397" s="10"/>
      <c r="X397" s="10"/>
      <c r="Y397" s="10"/>
      <c r="Z397" s="10"/>
    </row>
    <row r="398" ht="13.5" customHeight="1">
      <c r="A398" s="10">
        <f>dataset_1!A314</f>
        <v>313</v>
      </c>
      <c r="B398" s="11">
        <f>dataset_1!B314</f>
        <v>40557</v>
      </c>
      <c r="C398" s="10">
        <f>dataset_1!C314</f>
        <v>1</v>
      </c>
      <c r="D398" s="10">
        <f>dataset_1!D314</f>
        <v>0</v>
      </c>
      <c r="E398" s="10">
        <f>dataset_1!E314</f>
        <v>1</v>
      </c>
      <c r="F398" s="10">
        <f>dataset_1!F314</f>
        <v>12</v>
      </c>
      <c r="G398" s="10" t="b">
        <f>dataset_1!G314</f>
        <v>0</v>
      </c>
      <c r="H398" s="10">
        <f>dataset_1!H314</f>
        <v>5</v>
      </c>
      <c r="I398" s="10">
        <f>dataset_1!I314</f>
        <v>1</v>
      </c>
      <c r="J398" s="10">
        <f>dataset_1!J314</f>
        <v>0.2</v>
      </c>
      <c r="K398" s="10">
        <f>VLOOKUP(A398,dataset_2!$A$2:$G$611,2,0)</f>
        <v>0.197</v>
      </c>
      <c r="L398" s="10">
        <f>VLOOKUP(A398,dataset_2!$A$2:$G$611,3,0)</f>
        <v>0.44</v>
      </c>
      <c r="M398" s="10">
        <f>VLOOKUP(A398,dataset_2!$A$2:$G$611,4,0)</f>
        <v>0.2537</v>
      </c>
      <c r="N398" s="10">
        <f>VLOOKUP(A398,dataset_2!$A$2:$G$611,5,0)</f>
        <v>2</v>
      </c>
      <c r="O398" s="10">
        <f>VLOOKUP(A398,dataset_2!$A$2:$G$611,6,0)</f>
        <v>59</v>
      </c>
      <c r="P398" s="10">
        <f>VLOOKUP(A398,dataset_2!$A$2:$G$611,7,0)</f>
        <v>61</v>
      </c>
      <c r="Q398" s="10"/>
      <c r="R398" s="10" t="str">
        <f t="shared" si="1"/>
        <v>OK</v>
      </c>
      <c r="S398" s="10">
        <f t="shared" si="2"/>
        <v>3</v>
      </c>
      <c r="T398" s="10" t="str">
        <f t="shared" si="3"/>
        <v>OK</v>
      </c>
      <c r="U398" s="10">
        <f t="shared" si="4"/>
        <v>1</v>
      </c>
      <c r="V398" s="10"/>
      <c r="W398" s="10"/>
      <c r="X398" s="10"/>
      <c r="Y398" s="10"/>
      <c r="Z398" s="10"/>
    </row>
    <row r="399" ht="13.5" customHeight="1">
      <c r="A399" s="10">
        <f>dataset_1!A369</f>
        <v>368</v>
      </c>
      <c r="B399" s="11">
        <f>dataset_1!B369</f>
        <v>40559</v>
      </c>
      <c r="C399" s="10">
        <f>dataset_1!C369</f>
        <v>1</v>
      </c>
      <c r="D399" s="10">
        <f>dataset_1!D369</f>
        <v>0</v>
      </c>
      <c r="E399" s="10">
        <f>dataset_1!E369</f>
        <v>1</v>
      </c>
      <c r="F399" s="10">
        <f>dataset_1!F369</f>
        <v>19</v>
      </c>
      <c r="G399" s="10" t="b">
        <f>dataset_1!G369</f>
        <v>0</v>
      </c>
      <c r="H399" s="10">
        <f>dataset_1!H369</f>
        <v>0</v>
      </c>
      <c r="I399" s="10">
        <f>dataset_1!I369</f>
        <v>1</v>
      </c>
      <c r="J399" s="10">
        <f>dataset_1!J369</f>
        <v>0.18</v>
      </c>
      <c r="K399" s="10">
        <f>VLOOKUP(A399,dataset_2!$A$2:$G$611,2,0)</f>
        <v>0.197</v>
      </c>
      <c r="L399" s="10">
        <f>VLOOKUP(A399,dataset_2!$A$2:$G$611,3,0)</f>
        <v>0.47</v>
      </c>
      <c r="M399" s="10">
        <f>VLOOKUP(A399,dataset_2!$A$2:$G$611,4,0)</f>
        <v>0.1343</v>
      </c>
      <c r="N399" s="10">
        <f>VLOOKUP(A399,dataset_2!$A$2:$G$611,5,0)</f>
        <v>14</v>
      </c>
      <c r="O399" s="10">
        <f>VLOOKUP(A399,dataset_2!$A$2:$G$611,6,0)</f>
        <v>47</v>
      </c>
      <c r="P399" s="10">
        <f>VLOOKUP(A399,dataset_2!$A$2:$G$611,7,0)</f>
        <v>61</v>
      </c>
      <c r="Q399" s="10"/>
      <c r="R399" s="10" t="str">
        <f t="shared" si="1"/>
        <v>OK</v>
      </c>
      <c r="S399" s="10">
        <f t="shared" si="2"/>
        <v>3</v>
      </c>
      <c r="T399" s="10" t="str">
        <f t="shared" si="3"/>
        <v>OK</v>
      </c>
      <c r="U399" s="10">
        <f t="shared" si="4"/>
        <v>1</v>
      </c>
      <c r="V399" s="10"/>
      <c r="W399" s="10"/>
      <c r="X399" s="10"/>
      <c r="Y399" s="10"/>
      <c r="Z399" s="10"/>
    </row>
    <row r="400" ht="13.5" customHeight="1">
      <c r="A400" s="10">
        <f>dataset_1!A402</f>
        <v>401</v>
      </c>
      <c r="B400" s="11">
        <f>dataset_1!B402</f>
        <v>40561</v>
      </c>
      <c r="C400" s="10">
        <f>dataset_1!C402</f>
        <v>1</v>
      </c>
      <c r="D400" s="10">
        <f>dataset_1!D402</f>
        <v>0</v>
      </c>
      <c r="E400" s="10">
        <f>dataset_1!E402</f>
        <v>1</v>
      </c>
      <c r="F400" s="10">
        <f>dataset_1!F402</f>
        <v>16</v>
      </c>
      <c r="G400" s="10" t="b">
        <f>dataset_1!G402</f>
        <v>0</v>
      </c>
      <c r="H400" s="10">
        <f>dataset_1!H402</f>
        <v>2</v>
      </c>
      <c r="I400" s="10">
        <f>dataset_1!I402</f>
        <v>2</v>
      </c>
      <c r="J400" s="10">
        <f>dataset_1!J402</f>
        <v>0.22</v>
      </c>
      <c r="K400" s="10">
        <f>VLOOKUP(A400,dataset_2!$A$2:$G$611,2,0)</f>
        <v>0.2273</v>
      </c>
      <c r="L400" s="10">
        <f>VLOOKUP(A400,dataset_2!$A$2:$G$611,3,0)</f>
        <v>0.87</v>
      </c>
      <c r="M400" s="10">
        <f>VLOOKUP(A400,dataset_2!$A$2:$G$611,4,0)</f>
        <v>0.194</v>
      </c>
      <c r="N400" s="10">
        <f>VLOOKUP(A400,dataset_2!$A$2:$G$611,5,0)</f>
        <v>0</v>
      </c>
      <c r="O400" s="10">
        <f>VLOOKUP(A400,dataset_2!$A$2:$G$611,6,0)</f>
        <v>61</v>
      </c>
      <c r="P400" s="10">
        <f>VLOOKUP(A400,dataset_2!$A$2:$G$611,7,0)</f>
        <v>61</v>
      </c>
      <c r="Q400" s="10"/>
      <c r="R400" s="10" t="str">
        <f t="shared" si="1"/>
        <v>OK</v>
      </c>
      <c r="S400" s="10">
        <f t="shared" si="2"/>
        <v>3</v>
      </c>
      <c r="T400" s="10" t="str">
        <f t="shared" si="3"/>
        <v>OK</v>
      </c>
      <c r="U400" s="10">
        <f t="shared" si="4"/>
        <v>1</v>
      </c>
      <c r="V400" s="10"/>
      <c r="W400" s="10"/>
      <c r="X400" s="10"/>
      <c r="Y400" s="10"/>
      <c r="Z400" s="10"/>
    </row>
    <row r="401" ht="13.5" customHeight="1">
      <c r="A401" s="10">
        <f>dataset_1!A560</f>
        <v>559</v>
      </c>
      <c r="B401" s="11">
        <f>dataset_1!B560</f>
        <v>40568</v>
      </c>
      <c r="C401" s="10">
        <f>dataset_1!C560</f>
        <v>1</v>
      </c>
      <c r="D401" s="10">
        <f>dataset_1!D560</f>
        <v>0</v>
      </c>
      <c r="E401" s="10">
        <f>dataset_1!E560</f>
        <v>1</v>
      </c>
      <c r="F401" s="10">
        <f>dataset_1!F560</f>
        <v>11</v>
      </c>
      <c r="G401" s="10" t="b">
        <f>dataset_1!G560</f>
        <v>0</v>
      </c>
      <c r="H401" s="10">
        <f>dataset_1!H560</f>
        <v>2</v>
      </c>
      <c r="I401" s="10">
        <f>dataset_1!I560</f>
        <v>2</v>
      </c>
      <c r="J401" s="10">
        <f>dataset_1!J560</f>
        <v>0.24</v>
      </c>
      <c r="K401" s="10">
        <f>VLOOKUP(A401,dataset_2!$A$2:$G$611,2,0)</f>
        <v>0.2424</v>
      </c>
      <c r="L401" s="10">
        <f>VLOOKUP(A401,dataset_2!$A$2:$G$611,3,0)</f>
        <v>0.6</v>
      </c>
      <c r="M401" s="10">
        <f>VLOOKUP(A401,dataset_2!$A$2:$G$611,4,0)</f>
        <v>0.1343</v>
      </c>
      <c r="N401" s="10">
        <f>VLOOKUP(A401,dataset_2!$A$2:$G$611,5,0)</f>
        <v>6</v>
      </c>
      <c r="O401" s="10">
        <f>VLOOKUP(A401,dataset_2!$A$2:$G$611,6,0)</f>
        <v>55</v>
      </c>
      <c r="P401" s="10">
        <f>VLOOKUP(A401,dataset_2!$A$2:$G$611,7,0)</f>
        <v>61</v>
      </c>
      <c r="Q401" s="10"/>
      <c r="R401" s="10" t="str">
        <f t="shared" si="1"/>
        <v>OK</v>
      </c>
      <c r="S401" s="10">
        <f t="shared" si="2"/>
        <v>3</v>
      </c>
      <c r="T401" s="10" t="str">
        <f t="shared" si="3"/>
        <v>OK</v>
      </c>
      <c r="U401" s="10">
        <f t="shared" si="4"/>
        <v>1</v>
      </c>
      <c r="V401" s="10"/>
      <c r="W401" s="10"/>
      <c r="X401" s="10"/>
      <c r="Y401" s="10"/>
      <c r="Z401" s="10"/>
    </row>
    <row r="402" ht="13.5" customHeight="1">
      <c r="A402" s="3">
        <v>722.0</v>
      </c>
      <c r="B402" s="12">
        <v>40576.0</v>
      </c>
      <c r="C402" s="3">
        <v>1.0</v>
      </c>
      <c r="D402" s="3">
        <v>0.0</v>
      </c>
      <c r="E402" s="3">
        <v>2.0</v>
      </c>
      <c r="F402" s="3">
        <v>10.0</v>
      </c>
      <c r="G402" s="3" t="b">
        <f t="shared" ref="G402:G404" si="47">FALSE()</f>
        <v>0</v>
      </c>
      <c r="H402" s="3">
        <v>3.0</v>
      </c>
      <c r="I402" s="3">
        <v>2.0</v>
      </c>
      <c r="J402" s="3">
        <v>0.22</v>
      </c>
      <c r="K402" s="3">
        <v>0.2727</v>
      </c>
      <c r="L402" s="3">
        <v>1.0</v>
      </c>
      <c r="M402" s="3">
        <v>0.0</v>
      </c>
      <c r="N402" s="3">
        <v>2.0</v>
      </c>
      <c r="O402" s="3">
        <v>59.0</v>
      </c>
      <c r="P402" s="3">
        <v>61.0</v>
      </c>
      <c r="Q402" s="10"/>
      <c r="R402" s="10" t="str">
        <f t="shared" si="1"/>
        <v>OK</v>
      </c>
      <c r="S402" s="10">
        <f t="shared" si="2"/>
        <v>3</v>
      </c>
      <c r="T402" s="10" t="str">
        <f t="shared" si="3"/>
        <v>OK</v>
      </c>
      <c r="U402" s="10">
        <f t="shared" si="4"/>
        <v>1</v>
      </c>
      <c r="V402" s="10"/>
      <c r="W402" s="10"/>
      <c r="X402" s="10"/>
      <c r="Y402" s="10"/>
      <c r="Z402" s="10"/>
    </row>
    <row r="403" ht="13.5" customHeight="1">
      <c r="A403" s="3">
        <v>889.0</v>
      </c>
      <c r="B403" s="12">
        <v>40583.0</v>
      </c>
      <c r="C403" s="3">
        <v>1.0</v>
      </c>
      <c r="D403" s="3">
        <v>0.0</v>
      </c>
      <c r="E403" s="3">
        <v>2.0</v>
      </c>
      <c r="F403" s="3">
        <v>12.0</v>
      </c>
      <c r="G403" s="3" t="b">
        <f t="shared" si="47"/>
        <v>0</v>
      </c>
      <c r="H403" s="3">
        <v>3.0</v>
      </c>
      <c r="I403" s="3">
        <v>2.0</v>
      </c>
      <c r="J403" s="3">
        <v>0.18</v>
      </c>
      <c r="K403" s="3">
        <v>0.1818</v>
      </c>
      <c r="L403" s="3">
        <v>0.4</v>
      </c>
      <c r="M403" s="3">
        <v>0.2239</v>
      </c>
      <c r="N403" s="3">
        <v>4.0</v>
      </c>
      <c r="O403" s="3">
        <v>57.0</v>
      </c>
      <c r="P403" s="3">
        <v>61.0</v>
      </c>
      <c r="Q403" s="10"/>
      <c r="R403" s="10" t="str">
        <f t="shared" si="1"/>
        <v>OK</v>
      </c>
      <c r="S403" s="10">
        <f t="shared" si="2"/>
        <v>3</v>
      </c>
      <c r="T403" s="10" t="str">
        <f t="shared" si="3"/>
        <v>OK</v>
      </c>
      <c r="U403" s="10">
        <f t="shared" si="4"/>
        <v>1</v>
      </c>
      <c r="V403" s="10"/>
      <c r="W403" s="10"/>
      <c r="X403" s="10"/>
      <c r="Y403" s="10"/>
      <c r="Z403" s="10"/>
    </row>
    <row r="404" ht="13.5" customHeight="1">
      <c r="A404" s="3">
        <v>988.0</v>
      </c>
      <c r="B404" s="12">
        <v>40587.0</v>
      </c>
      <c r="C404" s="3">
        <v>1.0</v>
      </c>
      <c r="D404" s="3">
        <v>0.0</v>
      </c>
      <c r="E404" s="3">
        <v>2.0</v>
      </c>
      <c r="F404" s="3">
        <v>19.0</v>
      </c>
      <c r="G404" s="3" t="b">
        <f t="shared" si="47"/>
        <v>0</v>
      </c>
      <c r="H404" s="3">
        <v>0.0</v>
      </c>
      <c r="I404" s="3">
        <v>1.0</v>
      </c>
      <c r="J404" s="3">
        <v>0.4</v>
      </c>
      <c r="K404" s="3">
        <v>0.4091</v>
      </c>
      <c r="L404" s="3">
        <v>0.35</v>
      </c>
      <c r="M404" s="3">
        <v>0.2836</v>
      </c>
      <c r="N404" s="3">
        <v>11.0</v>
      </c>
      <c r="O404" s="3">
        <v>50.0</v>
      </c>
      <c r="P404" s="3">
        <v>61.0</v>
      </c>
      <c r="Q404" s="10"/>
      <c r="R404" s="10" t="str">
        <f t="shared" si="1"/>
        <v>OK</v>
      </c>
      <c r="S404" s="10">
        <f t="shared" si="2"/>
        <v>3</v>
      </c>
      <c r="T404" s="10" t="str">
        <f t="shared" si="3"/>
        <v>OK</v>
      </c>
      <c r="U404" s="10">
        <f t="shared" si="4"/>
        <v>1</v>
      </c>
      <c r="V404" s="10"/>
      <c r="W404" s="10"/>
      <c r="X404" s="10"/>
      <c r="Y404" s="10"/>
      <c r="Z404" s="10"/>
    </row>
    <row r="405" ht="13.5" customHeight="1">
      <c r="A405" s="10">
        <f>dataset_1!A294</f>
        <v>293</v>
      </c>
      <c r="B405" s="11">
        <f>dataset_1!B294</f>
        <v>40556</v>
      </c>
      <c r="C405" s="10">
        <f>dataset_1!C294</f>
        <v>1</v>
      </c>
      <c r="D405" s="10">
        <f>dataset_1!D294</f>
        <v>0</v>
      </c>
      <c r="E405" s="10">
        <f>dataset_1!E294</f>
        <v>1</v>
      </c>
      <c r="F405" s="10">
        <f>dataset_1!F294</f>
        <v>15</v>
      </c>
      <c r="G405" s="10" t="b">
        <f>dataset_1!G294</f>
        <v>0</v>
      </c>
      <c r="H405" s="10">
        <f>dataset_1!H294</f>
        <v>4</v>
      </c>
      <c r="I405" s="10">
        <f>dataset_1!I294</f>
        <v>1</v>
      </c>
      <c r="J405" s="10">
        <f>dataset_1!J294</f>
        <v>0.24</v>
      </c>
      <c r="K405" s="10">
        <f>VLOOKUP(A405,dataset_2!$A$2:$G$611,2,0)</f>
        <v>0.2121</v>
      </c>
      <c r="L405" s="10">
        <f>VLOOKUP(A405,dataset_2!$A$2:$G$611,3,0)</f>
        <v>0.38</v>
      </c>
      <c r="M405" s="10">
        <f>VLOOKUP(A405,dataset_2!$A$2:$G$611,4,0)</f>
        <v>0.2985</v>
      </c>
      <c r="N405" s="10">
        <f>VLOOKUP(A405,dataset_2!$A$2:$G$611,5,0)</f>
        <v>5</v>
      </c>
      <c r="O405" s="10">
        <f>VLOOKUP(A405,dataset_2!$A$2:$G$611,6,0)</f>
        <v>55</v>
      </c>
      <c r="P405" s="10">
        <f>VLOOKUP(A405,dataset_2!$A$2:$G$611,7,0)</f>
        <v>60</v>
      </c>
      <c r="Q405" s="10"/>
      <c r="R405" s="10" t="str">
        <f t="shared" si="1"/>
        <v>OK</v>
      </c>
      <c r="S405" s="10">
        <f t="shared" si="2"/>
        <v>3</v>
      </c>
      <c r="T405" s="10" t="str">
        <f t="shared" si="3"/>
        <v>OK</v>
      </c>
      <c r="U405" s="10">
        <f t="shared" si="4"/>
        <v>1</v>
      </c>
      <c r="V405" s="10"/>
      <c r="W405" s="10"/>
      <c r="X405" s="10"/>
      <c r="Y405" s="10"/>
      <c r="Z405" s="10"/>
    </row>
    <row r="406" ht="13.5" customHeight="1">
      <c r="A406" s="10">
        <f>dataset_1!A393</f>
        <v>392</v>
      </c>
      <c r="B406" s="11">
        <f>dataset_1!B393</f>
        <v>40560</v>
      </c>
      <c r="C406" s="10">
        <f>dataset_1!C393</f>
        <v>1</v>
      </c>
      <c r="D406" s="10">
        <f>dataset_1!D393</f>
        <v>0</v>
      </c>
      <c r="E406" s="10">
        <f>dataset_1!E393</f>
        <v>1</v>
      </c>
      <c r="F406" s="10">
        <f>dataset_1!F393</f>
        <v>19</v>
      </c>
      <c r="G406" s="10" t="b">
        <f>dataset_1!G393</f>
        <v>1</v>
      </c>
      <c r="H406" s="10">
        <f>dataset_1!H393</f>
        <v>1</v>
      </c>
      <c r="I406" s="10">
        <f>dataset_1!I393</f>
        <v>3</v>
      </c>
      <c r="J406" s="10">
        <f>dataset_1!J393</f>
        <v>0.18</v>
      </c>
      <c r="K406" s="10">
        <f>VLOOKUP(A406,dataset_2!$A$2:$G$611,2,0)</f>
        <v>0.1818</v>
      </c>
      <c r="L406" s="10">
        <f>VLOOKUP(A406,dataset_2!$A$2:$G$611,3,0)</f>
        <v>0.59</v>
      </c>
      <c r="M406" s="10">
        <f>VLOOKUP(A406,dataset_2!$A$2:$G$611,4,0)</f>
        <v>0.194</v>
      </c>
      <c r="N406" s="10">
        <f>VLOOKUP(A406,dataset_2!$A$2:$G$611,5,0)</f>
        <v>2</v>
      </c>
      <c r="O406" s="10">
        <f>VLOOKUP(A406,dataset_2!$A$2:$G$611,6,0)</f>
        <v>58</v>
      </c>
      <c r="P406" s="10">
        <f>VLOOKUP(A406,dataset_2!$A$2:$G$611,7,0)</f>
        <v>60</v>
      </c>
      <c r="Q406" s="10"/>
      <c r="R406" s="10" t="str">
        <f t="shared" si="1"/>
        <v>OK</v>
      </c>
      <c r="S406" s="10">
        <f t="shared" si="2"/>
        <v>3</v>
      </c>
      <c r="T406" s="10" t="str">
        <f t="shared" si="3"/>
        <v>OK</v>
      </c>
      <c r="U406" s="10">
        <f t="shared" si="4"/>
        <v>1</v>
      </c>
      <c r="V406" s="10"/>
      <c r="W406" s="10"/>
      <c r="X406" s="10"/>
      <c r="Y406" s="10"/>
      <c r="Z406" s="10"/>
    </row>
    <row r="407" ht="13.5" customHeight="1">
      <c r="A407" s="10">
        <f>dataset_1!A539</f>
        <v>538</v>
      </c>
      <c r="B407" s="11">
        <f>dataset_1!B539</f>
        <v>40567</v>
      </c>
      <c r="C407" s="10">
        <f>dataset_1!C539</f>
        <v>1</v>
      </c>
      <c r="D407" s="10">
        <f>dataset_1!D539</f>
        <v>0</v>
      </c>
      <c r="E407" s="10">
        <f>dataset_1!E539</f>
        <v>1</v>
      </c>
      <c r="F407" s="10">
        <f>dataset_1!F539</f>
        <v>13</v>
      </c>
      <c r="G407" s="10" t="b">
        <f>dataset_1!G539</f>
        <v>0</v>
      </c>
      <c r="H407" s="10">
        <f>dataset_1!H539</f>
        <v>1</v>
      </c>
      <c r="I407" s="10">
        <f>dataset_1!I539</f>
        <v>2</v>
      </c>
      <c r="J407" s="10">
        <f>dataset_1!J539</f>
        <v>0.14</v>
      </c>
      <c r="K407" s="10">
        <f>VLOOKUP(A407,dataset_2!$A$2:$G$611,2,0)</f>
        <v>0.1364</v>
      </c>
      <c r="L407" s="10">
        <f>VLOOKUP(A407,dataset_2!$A$2:$G$611,3,0)</f>
        <v>0.43</v>
      </c>
      <c r="M407" s="10">
        <f>VLOOKUP(A407,dataset_2!$A$2:$G$611,4,0)</f>
        <v>0.2239</v>
      </c>
      <c r="N407" s="10">
        <f>VLOOKUP(A407,dataset_2!$A$2:$G$611,5,0)</f>
        <v>6</v>
      </c>
      <c r="O407" s="10">
        <f>VLOOKUP(A407,dataset_2!$A$2:$G$611,6,0)</f>
        <v>54</v>
      </c>
      <c r="P407" s="10">
        <f>VLOOKUP(A407,dataset_2!$A$2:$G$611,7,0)</f>
        <v>60</v>
      </c>
      <c r="Q407" s="10"/>
      <c r="R407" s="10" t="str">
        <f t="shared" si="1"/>
        <v>OK</v>
      </c>
      <c r="S407" s="10">
        <f t="shared" si="2"/>
        <v>3</v>
      </c>
      <c r="T407" s="10" t="str">
        <f t="shared" si="3"/>
        <v>OK</v>
      </c>
      <c r="U407" s="10">
        <f t="shared" si="4"/>
        <v>1</v>
      </c>
      <c r="V407" s="10"/>
      <c r="W407" s="10"/>
      <c r="X407" s="10"/>
      <c r="Y407" s="10"/>
      <c r="Z407" s="10"/>
    </row>
    <row r="408" ht="13.5" customHeight="1">
      <c r="A408" s="10">
        <f>dataset_1!A603</f>
        <v>602</v>
      </c>
      <c r="B408" s="11">
        <f>dataset_1!B603</f>
        <v>40571</v>
      </c>
      <c r="C408" s="10">
        <f>dataset_1!C603</f>
        <v>1</v>
      </c>
      <c r="D408" s="10">
        <f>dataset_1!D603</f>
        <v>0</v>
      </c>
      <c r="E408" s="10">
        <f>dataset_1!E603</f>
        <v>1</v>
      </c>
      <c r="F408" s="10">
        <f>dataset_1!F603</f>
        <v>7</v>
      </c>
      <c r="G408" s="10" t="b">
        <f>dataset_1!G603</f>
        <v>0</v>
      </c>
      <c r="H408" s="10">
        <f>dataset_1!H603</f>
        <v>5</v>
      </c>
      <c r="I408" s="10">
        <f>dataset_1!I603</f>
        <v>2</v>
      </c>
      <c r="J408" s="10">
        <f>dataset_1!J603</f>
        <v>0.16</v>
      </c>
      <c r="K408" s="10">
        <f>VLOOKUP(A408,dataset_2!$A$2:$G$611,2,0)</f>
        <v>0.197</v>
      </c>
      <c r="L408" s="10">
        <f>VLOOKUP(A408,dataset_2!$A$2:$G$611,3,0)</f>
        <v>0.86</v>
      </c>
      <c r="M408" s="10">
        <f>VLOOKUP(A408,dataset_2!$A$2:$G$611,4,0)</f>
        <v>0.0896</v>
      </c>
      <c r="N408" s="10">
        <f>VLOOKUP(A408,dataset_2!$A$2:$G$611,5,0)</f>
        <v>2</v>
      </c>
      <c r="O408" s="10">
        <f>VLOOKUP(A408,dataset_2!$A$2:$G$611,6,0)</f>
        <v>58</v>
      </c>
      <c r="P408" s="10">
        <f>VLOOKUP(A408,dataset_2!$A$2:$G$611,7,0)</f>
        <v>60</v>
      </c>
      <c r="Q408" s="10"/>
      <c r="R408" s="10" t="str">
        <f t="shared" si="1"/>
        <v>OK</v>
      </c>
      <c r="S408" s="10">
        <f t="shared" si="2"/>
        <v>3</v>
      </c>
      <c r="T408" s="10" t="str">
        <f t="shared" si="3"/>
        <v>OK</v>
      </c>
      <c r="U408" s="10">
        <f t="shared" si="4"/>
        <v>1</v>
      </c>
      <c r="V408" s="10"/>
      <c r="W408" s="10"/>
      <c r="X408" s="10"/>
      <c r="Y408" s="10"/>
      <c r="Z408" s="10"/>
    </row>
    <row r="409" ht="13.5" customHeight="1">
      <c r="A409" s="3">
        <v>750.0</v>
      </c>
      <c r="B409" s="12">
        <v>40577.0</v>
      </c>
      <c r="C409" s="3">
        <v>1.0</v>
      </c>
      <c r="D409" s="3">
        <v>0.0</v>
      </c>
      <c r="E409" s="3">
        <v>2.0</v>
      </c>
      <c r="F409" s="3">
        <v>15.0</v>
      </c>
      <c r="G409" s="3" t="b">
        <f t="shared" ref="G409:G411" si="48">FALSE()</f>
        <v>0</v>
      </c>
      <c r="H409" s="3">
        <v>4.0</v>
      </c>
      <c r="I409" s="3">
        <v>1.0</v>
      </c>
      <c r="J409" s="3">
        <v>0.22</v>
      </c>
      <c r="K409" s="3">
        <v>0.197</v>
      </c>
      <c r="L409" s="3">
        <v>0.37</v>
      </c>
      <c r="M409" s="3">
        <v>0.3284</v>
      </c>
      <c r="N409" s="3">
        <v>4.0</v>
      </c>
      <c r="O409" s="3">
        <v>56.0</v>
      </c>
      <c r="P409" s="3">
        <v>60.0</v>
      </c>
      <c r="Q409" s="10"/>
      <c r="R409" s="10" t="str">
        <f t="shared" si="1"/>
        <v>OK</v>
      </c>
      <c r="S409" s="10">
        <f t="shared" si="2"/>
        <v>3</v>
      </c>
      <c r="T409" s="10" t="str">
        <f t="shared" si="3"/>
        <v>OK</v>
      </c>
      <c r="U409" s="10">
        <f t="shared" si="4"/>
        <v>1</v>
      </c>
      <c r="V409" s="10"/>
      <c r="W409" s="10"/>
      <c r="X409" s="10"/>
      <c r="Y409" s="10"/>
      <c r="Z409" s="10"/>
    </row>
    <row r="410" ht="13.5" customHeight="1">
      <c r="A410" s="3">
        <v>797.0</v>
      </c>
      <c r="B410" s="12">
        <v>40579.0</v>
      </c>
      <c r="C410" s="3">
        <v>1.0</v>
      </c>
      <c r="D410" s="3">
        <v>0.0</v>
      </c>
      <c r="E410" s="3">
        <v>2.0</v>
      </c>
      <c r="F410" s="3">
        <v>15.0</v>
      </c>
      <c r="G410" s="3" t="b">
        <f t="shared" si="48"/>
        <v>0</v>
      </c>
      <c r="H410" s="3">
        <v>6.0</v>
      </c>
      <c r="I410" s="3">
        <v>3.0</v>
      </c>
      <c r="J410" s="3">
        <v>0.22</v>
      </c>
      <c r="K410" s="3">
        <v>0.2727</v>
      </c>
      <c r="L410" s="3">
        <v>1.0</v>
      </c>
      <c r="M410" s="3">
        <v>0.0</v>
      </c>
      <c r="N410" s="3">
        <v>11.0</v>
      </c>
      <c r="O410" s="3">
        <v>49.0</v>
      </c>
      <c r="P410" s="3">
        <v>60.0</v>
      </c>
      <c r="Q410" s="10"/>
      <c r="R410" s="10" t="str">
        <f t="shared" si="1"/>
        <v>OK</v>
      </c>
      <c r="S410" s="10">
        <f t="shared" si="2"/>
        <v>3</v>
      </c>
      <c r="T410" s="10" t="str">
        <f t="shared" si="3"/>
        <v>OK</v>
      </c>
      <c r="U410" s="10">
        <f t="shared" si="4"/>
        <v>1</v>
      </c>
      <c r="V410" s="10"/>
      <c r="W410" s="10"/>
      <c r="X410" s="10"/>
      <c r="Y410" s="10"/>
      <c r="Z410" s="10"/>
    </row>
    <row r="411" ht="13.5" customHeight="1">
      <c r="A411" s="3">
        <v>844.0</v>
      </c>
      <c r="B411" s="12">
        <v>40581.0</v>
      </c>
      <c r="C411" s="3">
        <v>1.0</v>
      </c>
      <c r="D411" s="3">
        <v>0.0</v>
      </c>
      <c r="E411" s="3">
        <v>2.0</v>
      </c>
      <c r="F411" s="3">
        <v>14.0</v>
      </c>
      <c r="G411" s="3" t="b">
        <f t="shared" si="48"/>
        <v>0</v>
      </c>
      <c r="H411" s="3">
        <v>1.0</v>
      </c>
      <c r="I411" s="3">
        <v>2.0</v>
      </c>
      <c r="J411" s="3">
        <v>0.36</v>
      </c>
      <c r="K411" s="3">
        <v>0.3636</v>
      </c>
      <c r="L411" s="3">
        <v>0.57</v>
      </c>
      <c r="M411" s="3">
        <v>0.0896</v>
      </c>
      <c r="N411" s="3">
        <v>8.0</v>
      </c>
      <c r="O411" s="3">
        <v>52.0</v>
      </c>
      <c r="P411" s="3">
        <v>60.0</v>
      </c>
      <c r="Q411" s="10"/>
      <c r="R411" s="10" t="str">
        <f t="shared" si="1"/>
        <v>OK</v>
      </c>
      <c r="S411" s="10">
        <f t="shared" si="2"/>
        <v>3</v>
      </c>
      <c r="T411" s="10" t="str">
        <f t="shared" si="3"/>
        <v>OK</v>
      </c>
      <c r="U411" s="10">
        <f t="shared" si="4"/>
        <v>1</v>
      </c>
      <c r="V411" s="10"/>
      <c r="W411" s="10"/>
      <c r="X411" s="10"/>
      <c r="Y411" s="10"/>
      <c r="Z411" s="10"/>
    </row>
    <row r="412" ht="13.5" customHeight="1">
      <c r="A412" s="10">
        <f>dataset_1!A39</f>
        <v>38</v>
      </c>
      <c r="B412" s="11">
        <f>dataset_1!B39</f>
        <v>40545</v>
      </c>
      <c r="C412" s="10">
        <f>dataset_1!C39</f>
        <v>1</v>
      </c>
      <c r="D412" s="10">
        <f>dataset_1!D39</f>
        <v>0</v>
      </c>
      <c r="E412" s="10">
        <f>dataset_1!E39</f>
        <v>1</v>
      </c>
      <c r="F412" s="10">
        <f>dataset_1!F39</f>
        <v>14</v>
      </c>
      <c r="G412" s="10" t="b">
        <f>dataset_1!G39</f>
        <v>0</v>
      </c>
      <c r="H412" s="10">
        <f>dataset_1!H39</f>
        <v>0</v>
      </c>
      <c r="I412" s="10">
        <f>dataset_1!I39</f>
        <v>3</v>
      </c>
      <c r="J412" s="10">
        <f>dataset_1!J39</f>
        <v>0.36</v>
      </c>
      <c r="K412" s="10" t="str">
        <f>VLOOKUP(A412,dataset_2!$A$2:$G$611,2,0)</f>
        <v/>
      </c>
      <c r="L412" s="10">
        <f>VLOOKUP(A412,dataset_2!$A$2:$G$611,3,0)</f>
        <v>0.76</v>
      </c>
      <c r="M412" s="10">
        <f>VLOOKUP(A412,dataset_2!$A$2:$G$611,4,0)</f>
        <v>0.194</v>
      </c>
      <c r="N412" s="10">
        <f>VLOOKUP(A412,dataset_2!$A$2:$G$611,5,0)</f>
        <v>4</v>
      </c>
      <c r="O412" s="10">
        <f>VLOOKUP(A412,dataset_2!$A$2:$G$611,6,0)</f>
        <v>55</v>
      </c>
      <c r="P412" s="10">
        <f>VLOOKUP(A412,dataset_2!$A$2:$G$611,7,0)</f>
        <v>59</v>
      </c>
      <c r="Q412" s="10"/>
      <c r="R412" s="10" t="str">
        <f t="shared" si="1"/>
        <v>CHECK</v>
      </c>
      <c r="S412" s="10">
        <f t="shared" si="2"/>
        <v>3</v>
      </c>
      <c r="T412" s="10" t="str">
        <f t="shared" si="3"/>
        <v>OK</v>
      </c>
      <c r="U412" s="10">
        <f t="shared" si="4"/>
        <v>1</v>
      </c>
      <c r="V412" s="10"/>
      <c r="W412" s="10"/>
      <c r="X412" s="10"/>
      <c r="Y412" s="10"/>
      <c r="Z412" s="10"/>
    </row>
    <row r="413" ht="13.5" customHeight="1">
      <c r="A413" s="10">
        <f>dataset_1!A127</f>
        <v>126</v>
      </c>
      <c r="B413" s="11">
        <f>dataset_1!B127</f>
        <v>40549</v>
      </c>
      <c r="C413" s="10">
        <f>dataset_1!C127</f>
        <v>1</v>
      </c>
      <c r="D413" s="10">
        <f>dataset_1!D127</f>
        <v>0</v>
      </c>
      <c r="E413" s="10">
        <f>dataset_1!E127</f>
        <v>1</v>
      </c>
      <c r="F413" s="10">
        <f>dataset_1!F127</f>
        <v>11</v>
      </c>
      <c r="G413" s="10" t="b">
        <f>dataset_1!G127</f>
        <v>0</v>
      </c>
      <c r="H413" s="10">
        <f>dataset_1!H127</f>
        <v>4</v>
      </c>
      <c r="I413" s="10">
        <f>dataset_1!I127</f>
        <v>1</v>
      </c>
      <c r="J413" s="10">
        <f>dataset_1!J127</f>
        <v>0.22</v>
      </c>
      <c r="K413" s="10">
        <f>VLOOKUP(A413,dataset_2!$A$2:$G$611,2,0)</f>
        <v>0.2576</v>
      </c>
      <c r="L413" s="10">
        <f>VLOOKUP(A413,dataset_2!$A$2:$G$611,3,0)</f>
        <v>0.44</v>
      </c>
      <c r="M413" s="10">
        <f>VLOOKUP(A413,dataset_2!$A$2:$G$611,4,0)</f>
        <v>0.0896</v>
      </c>
      <c r="N413" s="10">
        <f>VLOOKUP(A413,dataset_2!$A$2:$G$611,5,0)</f>
        <v>2</v>
      </c>
      <c r="O413" s="10">
        <f>VLOOKUP(A413,dataset_2!$A$2:$G$611,6,0)</f>
        <v>57</v>
      </c>
      <c r="P413" s="10">
        <f>VLOOKUP(A413,dataset_2!$A$2:$G$611,7,0)</f>
        <v>59</v>
      </c>
      <c r="Q413" s="10"/>
      <c r="R413" s="10" t="str">
        <f t="shared" si="1"/>
        <v>OK</v>
      </c>
      <c r="S413" s="10">
        <f t="shared" si="2"/>
        <v>2</v>
      </c>
      <c r="T413" s="10" t="str">
        <f t="shared" si="3"/>
        <v>OK</v>
      </c>
      <c r="U413" s="10">
        <f t="shared" si="4"/>
        <v>1</v>
      </c>
      <c r="V413" s="10"/>
      <c r="W413" s="10"/>
      <c r="X413" s="10"/>
      <c r="Y413" s="10"/>
      <c r="Z413" s="10"/>
    </row>
    <row r="414" ht="13.5" customHeight="1">
      <c r="A414" s="10">
        <f>dataset_1!A151</f>
        <v>150</v>
      </c>
      <c r="B414" s="11">
        <f>dataset_1!B151</f>
        <v>40550</v>
      </c>
      <c r="C414" s="10">
        <f>dataset_1!C151</f>
        <v>1</v>
      </c>
      <c r="D414" s="10">
        <f>dataset_1!D151</f>
        <v>0</v>
      </c>
      <c r="E414" s="10">
        <f>dataset_1!E151</f>
        <v>1</v>
      </c>
      <c r="F414" s="10">
        <f>dataset_1!F151</f>
        <v>12</v>
      </c>
      <c r="G414" s="10" t="b">
        <f>dataset_1!G151</f>
        <v>0</v>
      </c>
      <c r="H414" s="10">
        <f>dataset_1!H151</f>
        <v>5</v>
      </c>
      <c r="I414" s="10">
        <f>dataset_1!I151</f>
        <v>2</v>
      </c>
      <c r="J414" s="10">
        <f>dataset_1!J151</f>
        <v>0.2</v>
      </c>
      <c r="K414" s="10">
        <f>VLOOKUP(A414,dataset_2!$A$2:$G$611,2,0)</f>
        <v>0.197</v>
      </c>
      <c r="L414" s="10">
        <f>VLOOKUP(A414,dataset_2!$A$2:$G$611,3,0)</f>
        <v>0.37</v>
      </c>
      <c r="M414" s="10">
        <f>VLOOKUP(A414,dataset_2!$A$2:$G$611,4,0)</f>
        <v>0.2537</v>
      </c>
      <c r="N414" s="10">
        <f>VLOOKUP(A414,dataset_2!$A$2:$G$611,5,0)</f>
        <v>9</v>
      </c>
      <c r="O414" s="10">
        <f>VLOOKUP(A414,dataset_2!$A$2:$G$611,6,0)</f>
        <v>50</v>
      </c>
      <c r="P414" s="10">
        <f>VLOOKUP(A414,dataset_2!$A$2:$G$611,7,0)</f>
        <v>59</v>
      </c>
      <c r="Q414" s="10"/>
      <c r="R414" s="10" t="str">
        <f t="shared" si="1"/>
        <v>OK</v>
      </c>
      <c r="S414" s="10">
        <f t="shared" si="2"/>
        <v>2</v>
      </c>
      <c r="T414" s="10" t="str">
        <f t="shared" si="3"/>
        <v>OK</v>
      </c>
      <c r="U414" s="10">
        <f t="shared" si="4"/>
        <v>1</v>
      </c>
      <c r="V414" s="10"/>
      <c r="W414" s="10"/>
      <c r="X414" s="10"/>
      <c r="Y414" s="10"/>
      <c r="Z414" s="10"/>
    </row>
    <row r="415" ht="13.5" customHeight="1">
      <c r="A415" s="10">
        <f>dataset_1!A336</f>
        <v>335</v>
      </c>
      <c r="B415" s="11">
        <f>dataset_1!B336</f>
        <v>40558</v>
      </c>
      <c r="C415" s="10">
        <f>dataset_1!C336</f>
        <v>1</v>
      </c>
      <c r="D415" s="10">
        <f>dataset_1!D336</f>
        <v>0</v>
      </c>
      <c r="E415" s="10">
        <f>dataset_1!E336</f>
        <v>1</v>
      </c>
      <c r="F415" s="10">
        <f>dataset_1!F336</f>
        <v>10</v>
      </c>
      <c r="G415" s="10" t="b">
        <f>dataset_1!G336</f>
        <v>0</v>
      </c>
      <c r="H415" s="10">
        <f>dataset_1!H336</f>
        <v>6</v>
      </c>
      <c r="I415" s="10">
        <f>dataset_1!I336</f>
        <v>1</v>
      </c>
      <c r="J415" s="10">
        <f>dataset_1!J336</f>
        <v>0.18</v>
      </c>
      <c r="K415" s="10">
        <f>VLOOKUP(A415,dataset_2!$A$2:$G$611,2,0)</f>
        <v>0.197</v>
      </c>
      <c r="L415" s="10">
        <f>VLOOKUP(A415,dataset_2!$A$2:$G$611,3,0)</f>
        <v>0.59</v>
      </c>
      <c r="M415" s="10">
        <f>VLOOKUP(A415,dataset_2!$A$2:$G$611,4,0)</f>
        <v>0.1642</v>
      </c>
      <c r="N415" s="10">
        <f>VLOOKUP(A415,dataset_2!$A$2:$G$611,5,0)</f>
        <v>2</v>
      </c>
      <c r="O415" s="10">
        <f>VLOOKUP(A415,dataset_2!$A$2:$G$611,6,0)</f>
        <v>57</v>
      </c>
      <c r="P415" s="10">
        <f>VLOOKUP(A415,dataset_2!$A$2:$G$611,7,0)</f>
        <v>59</v>
      </c>
      <c r="Q415" s="10"/>
      <c r="R415" s="10" t="str">
        <f t="shared" si="1"/>
        <v>OK</v>
      </c>
      <c r="S415" s="10">
        <f t="shared" si="2"/>
        <v>2</v>
      </c>
      <c r="T415" s="10" t="str">
        <f t="shared" si="3"/>
        <v>OK</v>
      </c>
      <c r="U415" s="10">
        <f t="shared" si="4"/>
        <v>1</v>
      </c>
      <c r="V415" s="10"/>
      <c r="W415" s="10"/>
      <c r="X415" s="10"/>
      <c r="Y415" s="10"/>
      <c r="Z415" s="10"/>
    </row>
    <row r="416" ht="13.5" customHeight="1">
      <c r="A416" s="10">
        <f>dataset_1!A430</f>
        <v>429</v>
      </c>
      <c r="B416" s="11">
        <f>dataset_1!B430</f>
        <v>40562</v>
      </c>
      <c r="C416" s="10">
        <f>dataset_1!C430</f>
        <v>1</v>
      </c>
      <c r="D416" s="10">
        <f>dataset_1!D430</f>
        <v>0</v>
      </c>
      <c r="E416" s="10">
        <f>dataset_1!E430</f>
        <v>1</v>
      </c>
      <c r="F416" s="10">
        <f>dataset_1!F430</f>
        <v>21</v>
      </c>
      <c r="G416" s="10" t="b">
        <f>dataset_1!G430</f>
        <v>0</v>
      </c>
      <c r="H416" s="10">
        <f>dataset_1!H430</f>
        <v>3</v>
      </c>
      <c r="I416" s="10">
        <f>dataset_1!I430</f>
        <v>1</v>
      </c>
      <c r="J416" s="10">
        <f>dataset_1!J430</f>
        <v>0.32</v>
      </c>
      <c r="K416" s="10">
        <f>VLOOKUP(A416,dataset_2!$A$2:$G$611,2,0)</f>
        <v>0.2879</v>
      </c>
      <c r="L416" s="10">
        <f>VLOOKUP(A416,dataset_2!$A$2:$G$611,3,0)</f>
        <v>0.49</v>
      </c>
      <c r="M416" s="10">
        <f>VLOOKUP(A416,dataset_2!$A$2:$G$611,4,0)</f>
        <v>0.4179</v>
      </c>
      <c r="N416" s="10">
        <f>VLOOKUP(A416,dataset_2!$A$2:$G$611,5,0)</f>
        <v>4</v>
      </c>
      <c r="O416" s="10">
        <f>VLOOKUP(A416,dataset_2!$A$2:$G$611,6,0)</f>
        <v>55</v>
      </c>
      <c r="P416" s="10">
        <f>VLOOKUP(A416,dataset_2!$A$2:$G$611,7,0)</f>
        <v>59</v>
      </c>
      <c r="Q416" s="10"/>
      <c r="R416" s="10" t="str">
        <f t="shared" si="1"/>
        <v>OK</v>
      </c>
      <c r="S416" s="10">
        <f t="shared" si="2"/>
        <v>2</v>
      </c>
      <c r="T416" s="10" t="str">
        <f t="shared" si="3"/>
        <v>OK</v>
      </c>
      <c r="U416" s="10">
        <f t="shared" si="4"/>
        <v>1</v>
      </c>
      <c r="V416" s="10"/>
      <c r="W416" s="10"/>
      <c r="X416" s="10"/>
      <c r="Y416" s="10"/>
      <c r="Z416" s="10"/>
    </row>
    <row r="417" ht="13.5" customHeight="1">
      <c r="A417" s="10">
        <f>dataset_1!A431</f>
        <v>430</v>
      </c>
      <c r="B417" s="11">
        <f>dataset_1!B431</f>
        <v>40562</v>
      </c>
      <c r="C417" s="10">
        <f>dataset_1!C431</f>
        <v>1</v>
      </c>
      <c r="D417" s="10">
        <f>dataset_1!D431</f>
        <v>0</v>
      </c>
      <c r="E417" s="10">
        <f>dataset_1!E431</f>
        <v>1</v>
      </c>
      <c r="F417" s="10">
        <f>dataset_1!F431</f>
        <v>22</v>
      </c>
      <c r="G417" s="10" t="b">
        <f>dataset_1!G431</f>
        <v>0</v>
      </c>
      <c r="H417" s="10">
        <f>dataset_1!H431</f>
        <v>3</v>
      </c>
      <c r="I417" s="10">
        <f>dataset_1!I431</f>
        <v>1</v>
      </c>
      <c r="J417" s="10">
        <f>dataset_1!J431</f>
        <v>0.3</v>
      </c>
      <c r="K417" s="10">
        <f>VLOOKUP(A417,dataset_2!$A$2:$G$611,2,0)</f>
        <v>0.303</v>
      </c>
      <c r="L417" s="10">
        <f>VLOOKUP(A417,dataset_2!$A$2:$G$611,3,0)</f>
        <v>0.52</v>
      </c>
      <c r="M417" s="10">
        <f>VLOOKUP(A417,dataset_2!$A$2:$G$611,4,0)</f>
        <v>0.1642</v>
      </c>
      <c r="N417" s="10">
        <f>VLOOKUP(A417,dataset_2!$A$2:$G$611,5,0)</f>
        <v>6</v>
      </c>
      <c r="O417" s="10">
        <f>VLOOKUP(A417,dataset_2!$A$2:$G$611,6,0)</f>
        <v>53</v>
      </c>
      <c r="P417" s="10">
        <f>VLOOKUP(A417,dataset_2!$A$2:$G$611,7,0)</f>
        <v>59</v>
      </c>
      <c r="Q417" s="10"/>
      <c r="R417" s="10" t="str">
        <f t="shared" si="1"/>
        <v>OK</v>
      </c>
      <c r="S417" s="10">
        <f t="shared" si="2"/>
        <v>2</v>
      </c>
      <c r="T417" s="10" t="str">
        <f t="shared" si="3"/>
        <v>OK</v>
      </c>
      <c r="U417" s="10">
        <f t="shared" si="4"/>
        <v>1</v>
      </c>
      <c r="V417" s="10"/>
      <c r="W417" s="10"/>
      <c r="X417" s="10"/>
      <c r="Y417" s="10"/>
      <c r="Z417" s="10"/>
    </row>
    <row r="418" ht="13.5" customHeight="1">
      <c r="A418" s="10">
        <f>dataset_1!A468</f>
        <v>467</v>
      </c>
      <c r="B418" s="11">
        <f>dataset_1!B468</f>
        <v>40564</v>
      </c>
      <c r="C418" s="10">
        <f>dataset_1!C468</f>
        <v>1</v>
      </c>
      <c r="D418" s="10">
        <f>dataset_1!D468</f>
        <v>0</v>
      </c>
      <c r="E418" s="10">
        <f>dataset_1!E468</f>
        <v>1</v>
      </c>
      <c r="F418" s="10">
        <f>dataset_1!F468</f>
        <v>11</v>
      </c>
      <c r="G418" s="10" t="b">
        <f>dataset_1!G468</f>
        <v>0</v>
      </c>
      <c r="H418" s="10">
        <f>dataset_1!H468</f>
        <v>5</v>
      </c>
      <c r="I418" s="10">
        <f>dataset_1!I468</f>
        <v>1</v>
      </c>
      <c r="J418" s="10">
        <f>dataset_1!J468</f>
        <v>0.22</v>
      </c>
      <c r="K418" s="10">
        <f>VLOOKUP(A418,dataset_2!$A$2:$G$611,2,0)</f>
        <v>0.1818</v>
      </c>
      <c r="L418" s="10">
        <f>VLOOKUP(A418,dataset_2!$A$2:$G$611,3,0)</f>
        <v>0.41</v>
      </c>
      <c r="M418" s="10">
        <f>VLOOKUP(A418,dataset_2!$A$2:$G$611,4,0)</f>
        <v>0.4627</v>
      </c>
      <c r="N418" s="10">
        <f>VLOOKUP(A418,dataset_2!$A$2:$G$611,5,0)</f>
        <v>6</v>
      </c>
      <c r="O418" s="10">
        <f>VLOOKUP(A418,dataset_2!$A$2:$G$611,6,0)</f>
        <v>53</v>
      </c>
      <c r="P418" s="10">
        <f>VLOOKUP(A418,dataset_2!$A$2:$G$611,7,0)</f>
        <v>59</v>
      </c>
      <c r="Q418" s="10"/>
      <c r="R418" s="10" t="str">
        <f t="shared" si="1"/>
        <v>OK</v>
      </c>
      <c r="S418" s="10">
        <f t="shared" si="2"/>
        <v>2</v>
      </c>
      <c r="T418" s="10" t="str">
        <f t="shared" si="3"/>
        <v>OK</v>
      </c>
      <c r="U418" s="10">
        <f t="shared" si="4"/>
        <v>1</v>
      </c>
      <c r="V418" s="10"/>
      <c r="W418" s="10"/>
      <c r="X418" s="10"/>
      <c r="Y418" s="10"/>
      <c r="Z418" s="10"/>
    </row>
    <row r="419" ht="13.5" customHeight="1">
      <c r="A419" s="10">
        <f>dataset_1!A499</f>
        <v>498</v>
      </c>
      <c r="B419" s="11">
        <f>dataset_1!B499</f>
        <v>40565</v>
      </c>
      <c r="C419" s="10">
        <f>dataset_1!C499</f>
        <v>1</v>
      </c>
      <c r="D419" s="10">
        <f>dataset_1!D499</f>
        <v>0</v>
      </c>
      <c r="E419" s="10">
        <f>dataset_1!E499</f>
        <v>1</v>
      </c>
      <c r="F419" s="10">
        <f>dataset_1!F499</f>
        <v>19</v>
      </c>
      <c r="G419" s="10" t="b">
        <f>dataset_1!G499</f>
        <v>0</v>
      </c>
      <c r="H419" s="10">
        <f>dataset_1!H499</f>
        <v>6</v>
      </c>
      <c r="I419" s="10">
        <f>dataset_1!I499</f>
        <v>1</v>
      </c>
      <c r="J419" s="10">
        <f>dataset_1!J499</f>
        <v>0.08</v>
      </c>
      <c r="K419" s="10">
        <f>VLOOKUP(A419,dataset_2!$A$2:$G$611,2,0)</f>
        <v>0.1061</v>
      </c>
      <c r="L419" s="10">
        <f>VLOOKUP(A419,dataset_2!$A$2:$G$611,3,0)</f>
        <v>0.35</v>
      </c>
      <c r="M419" s="10">
        <f>VLOOKUP(A419,dataset_2!$A$2:$G$611,4,0)</f>
        <v>0.1343</v>
      </c>
      <c r="N419" s="10">
        <f>VLOOKUP(A419,dataset_2!$A$2:$G$611,5,0)</f>
        <v>6</v>
      </c>
      <c r="O419" s="10">
        <f>VLOOKUP(A419,dataset_2!$A$2:$G$611,6,0)</f>
        <v>53</v>
      </c>
      <c r="P419" s="10">
        <f>VLOOKUP(A419,dataset_2!$A$2:$G$611,7,0)</f>
        <v>59</v>
      </c>
      <c r="Q419" s="10"/>
      <c r="R419" s="10" t="str">
        <f t="shared" si="1"/>
        <v>OK</v>
      </c>
      <c r="S419" s="10">
        <f t="shared" si="2"/>
        <v>2</v>
      </c>
      <c r="T419" s="10" t="str">
        <f t="shared" si="3"/>
        <v>OK</v>
      </c>
      <c r="U419" s="10">
        <f t="shared" si="4"/>
        <v>1</v>
      </c>
      <c r="V419" s="10"/>
      <c r="W419" s="10"/>
      <c r="X419" s="10"/>
      <c r="Y419" s="10"/>
      <c r="Z419" s="10"/>
    </row>
    <row r="420" ht="13.5" customHeight="1">
      <c r="A420" s="10">
        <f>dataset_1!A547</f>
        <v>546</v>
      </c>
      <c r="B420" s="11">
        <f>dataset_1!B547</f>
        <v>40567</v>
      </c>
      <c r="C420" s="10">
        <f>dataset_1!C547</f>
        <v>1</v>
      </c>
      <c r="D420" s="10">
        <f>dataset_1!D547</f>
        <v>0</v>
      </c>
      <c r="E420" s="10">
        <f>dataset_1!E547</f>
        <v>1</v>
      </c>
      <c r="F420" s="10">
        <f>dataset_1!F547</f>
        <v>21</v>
      </c>
      <c r="G420" s="10" t="b">
        <f>dataset_1!G547</f>
        <v>0</v>
      </c>
      <c r="H420" s="10">
        <f>dataset_1!H547</f>
        <v>1</v>
      </c>
      <c r="I420" s="10">
        <f>dataset_1!I547</f>
        <v>1</v>
      </c>
      <c r="J420" s="10">
        <f>dataset_1!J547</f>
        <v>0.14</v>
      </c>
      <c r="K420" s="10">
        <f>VLOOKUP(A420,dataset_2!$A$2:$G$611,2,0)</f>
        <v>0.1515</v>
      </c>
      <c r="L420" s="10">
        <f>VLOOKUP(A420,dataset_2!$A$2:$G$611,3,0)</f>
        <v>0.63</v>
      </c>
      <c r="M420" s="10">
        <f>VLOOKUP(A420,dataset_2!$A$2:$G$611,4,0)</f>
        <v>0.1642</v>
      </c>
      <c r="N420" s="10">
        <f>VLOOKUP(A420,dataset_2!$A$2:$G$611,5,0)</f>
        <v>6</v>
      </c>
      <c r="O420" s="10">
        <f>VLOOKUP(A420,dataset_2!$A$2:$G$611,6,0)</f>
        <v>53</v>
      </c>
      <c r="P420" s="10">
        <f>VLOOKUP(A420,dataset_2!$A$2:$G$611,7,0)</f>
        <v>59</v>
      </c>
      <c r="Q420" s="10"/>
      <c r="R420" s="10" t="str">
        <f t="shared" si="1"/>
        <v>OK</v>
      </c>
      <c r="S420" s="10">
        <f t="shared" si="2"/>
        <v>2</v>
      </c>
      <c r="T420" s="10" t="str">
        <f t="shared" si="3"/>
        <v>OK</v>
      </c>
      <c r="U420" s="10">
        <f t="shared" si="4"/>
        <v>1</v>
      </c>
      <c r="V420" s="10"/>
      <c r="W420" s="10"/>
      <c r="X420" s="10"/>
      <c r="Y420" s="10"/>
      <c r="Z420" s="10"/>
    </row>
    <row r="421" ht="13.5" customHeight="1">
      <c r="A421" s="10">
        <f>dataset_1!A593</f>
        <v>592</v>
      </c>
      <c r="B421" s="11">
        <f>dataset_1!B593</f>
        <v>40570</v>
      </c>
      <c r="C421" s="10">
        <f>dataset_1!C593</f>
        <v>1</v>
      </c>
      <c r="D421" s="10">
        <f>dataset_1!D593</f>
        <v>0</v>
      </c>
      <c r="E421" s="10">
        <f>dataset_1!E593</f>
        <v>1</v>
      </c>
      <c r="F421" s="10">
        <f>dataset_1!F593</f>
        <v>20</v>
      </c>
      <c r="G421" s="10" t="b">
        <f>dataset_1!G593</f>
        <v>0</v>
      </c>
      <c r="H421" s="10">
        <f>dataset_1!H593</f>
        <v>4</v>
      </c>
      <c r="I421" s="10">
        <f>dataset_1!I593</f>
        <v>1</v>
      </c>
      <c r="J421" s="10">
        <f>dataset_1!J593</f>
        <v>0.18</v>
      </c>
      <c r="K421" s="10">
        <f>VLOOKUP(A421,dataset_2!$A$2:$G$611,2,0)</f>
        <v>0.2121</v>
      </c>
      <c r="L421" s="10">
        <f>VLOOKUP(A421,dataset_2!$A$2:$G$611,3,0)</f>
        <v>0.74</v>
      </c>
      <c r="M421" s="10">
        <f>VLOOKUP(A421,dataset_2!$A$2:$G$611,4,0)</f>
        <v>0.0896</v>
      </c>
      <c r="N421" s="10">
        <f>VLOOKUP(A421,dataset_2!$A$2:$G$611,5,0)</f>
        <v>4</v>
      </c>
      <c r="O421" s="10">
        <f>VLOOKUP(A421,dataset_2!$A$2:$G$611,6,0)</f>
        <v>55</v>
      </c>
      <c r="P421" s="10">
        <f>VLOOKUP(A421,dataset_2!$A$2:$G$611,7,0)</f>
        <v>59</v>
      </c>
      <c r="Q421" s="10"/>
      <c r="R421" s="10" t="str">
        <f t="shared" si="1"/>
        <v>OK</v>
      </c>
      <c r="S421" s="10">
        <f t="shared" si="2"/>
        <v>2</v>
      </c>
      <c r="T421" s="10" t="str">
        <f t="shared" si="3"/>
        <v>OK</v>
      </c>
      <c r="U421" s="10">
        <f t="shared" si="4"/>
        <v>1</v>
      </c>
      <c r="V421" s="10"/>
      <c r="W421" s="10"/>
      <c r="X421" s="10"/>
      <c r="Y421" s="10"/>
      <c r="Z421" s="10"/>
    </row>
    <row r="422" ht="13.5" customHeight="1">
      <c r="A422" s="3">
        <v>652.0</v>
      </c>
      <c r="B422" s="12">
        <v>40573.0</v>
      </c>
      <c r="C422" s="3">
        <v>1.0</v>
      </c>
      <c r="D422" s="3">
        <v>0.0</v>
      </c>
      <c r="E422" s="3">
        <v>1.0</v>
      </c>
      <c r="F422" s="3">
        <v>11.0</v>
      </c>
      <c r="G422" s="3" t="b">
        <f t="shared" ref="G422:G424" si="49">FALSE()</f>
        <v>0</v>
      </c>
      <c r="H422" s="3">
        <v>0.0</v>
      </c>
      <c r="I422" s="3">
        <v>1.0</v>
      </c>
      <c r="J422" s="3">
        <v>0.22</v>
      </c>
      <c r="K422" s="3">
        <v>0.2727</v>
      </c>
      <c r="L422" s="3">
        <v>0.75</v>
      </c>
      <c r="M422" s="3">
        <v>0.0</v>
      </c>
      <c r="N422" s="3">
        <v>9.0</v>
      </c>
      <c r="O422" s="3">
        <v>50.0</v>
      </c>
      <c r="P422" s="3">
        <v>59.0</v>
      </c>
      <c r="Q422" s="10"/>
      <c r="R422" s="10" t="str">
        <f t="shared" si="1"/>
        <v>OK</v>
      </c>
      <c r="S422" s="10">
        <f t="shared" si="2"/>
        <v>2</v>
      </c>
      <c r="T422" s="10" t="str">
        <f t="shared" si="3"/>
        <v>OK</v>
      </c>
      <c r="U422" s="10">
        <f t="shared" si="4"/>
        <v>1</v>
      </c>
      <c r="V422" s="10"/>
      <c r="W422" s="10"/>
      <c r="X422" s="10"/>
      <c r="Y422" s="10"/>
      <c r="Z422" s="10"/>
    </row>
    <row r="423" ht="13.5" customHeight="1">
      <c r="A423" s="3">
        <v>805.0</v>
      </c>
      <c r="B423" s="12">
        <v>40579.0</v>
      </c>
      <c r="C423" s="3">
        <v>1.0</v>
      </c>
      <c r="D423" s="3">
        <v>0.0</v>
      </c>
      <c r="E423" s="3">
        <v>2.0</v>
      </c>
      <c r="F423" s="3">
        <v>23.0</v>
      </c>
      <c r="G423" s="3" t="b">
        <f t="shared" si="49"/>
        <v>0</v>
      </c>
      <c r="H423" s="3">
        <v>6.0</v>
      </c>
      <c r="I423" s="3">
        <v>1.0</v>
      </c>
      <c r="J423" s="3">
        <v>0.26</v>
      </c>
      <c r="K423" s="3">
        <v>0.2576</v>
      </c>
      <c r="L423" s="3">
        <v>0.93</v>
      </c>
      <c r="M423" s="3">
        <v>0.2239</v>
      </c>
      <c r="N423" s="3">
        <v>7.0</v>
      </c>
      <c r="O423" s="3">
        <v>52.0</v>
      </c>
      <c r="P423" s="3">
        <v>59.0</v>
      </c>
      <c r="Q423" s="10"/>
      <c r="R423" s="10" t="str">
        <f t="shared" si="1"/>
        <v>OK</v>
      </c>
      <c r="S423" s="10">
        <f t="shared" si="2"/>
        <v>2</v>
      </c>
      <c r="T423" s="10" t="str">
        <f t="shared" si="3"/>
        <v>OK</v>
      </c>
      <c r="U423" s="10">
        <f t="shared" si="4"/>
        <v>1</v>
      </c>
      <c r="V423" s="10"/>
      <c r="W423" s="10"/>
      <c r="X423" s="10"/>
      <c r="Y423" s="10"/>
      <c r="Z423" s="10"/>
    </row>
    <row r="424" ht="13.5" customHeight="1">
      <c r="A424" s="3">
        <v>887.0</v>
      </c>
      <c r="B424" s="12">
        <v>40583.0</v>
      </c>
      <c r="C424" s="3">
        <v>1.0</v>
      </c>
      <c r="D424" s="3">
        <v>0.0</v>
      </c>
      <c r="E424" s="3">
        <v>2.0</v>
      </c>
      <c r="F424" s="3">
        <v>10.0</v>
      </c>
      <c r="G424" s="3" t="b">
        <f t="shared" si="49"/>
        <v>0</v>
      </c>
      <c r="H424" s="3">
        <v>3.0</v>
      </c>
      <c r="I424" s="3">
        <v>1.0</v>
      </c>
      <c r="J424" s="3">
        <v>0.14</v>
      </c>
      <c r="K424" s="3">
        <v>0.1818</v>
      </c>
      <c r="L424" s="3">
        <v>0.36</v>
      </c>
      <c r="M424" s="3">
        <v>0.0</v>
      </c>
      <c r="N424" s="3">
        <v>8.0</v>
      </c>
      <c r="O424" s="3">
        <v>51.0</v>
      </c>
      <c r="P424" s="3">
        <v>59.0</v>
      </c>
      <c r="Q424" s="10"/>
      <c r="R424" s="10" t="str">
        <f t="shared" si="1"/>
        <v>OK</v>
      </c>
      <c r="S424" s="10">
        <f t="shared" si="2"/>
        <v>2</v>
      </c>
      <c r="T424" s="10" t="str">
        <f t="shared" si="3"/>
        <v>OK</v>
      </c>
      <c r="U424" s="10">
        <f t="shared" si="4"/>
        <v>1</v>
      </c>
      <c r="V424" s="10"/>
      <c r="W424" s="10"/>
      <c r="X424" s="10"/>
      <c r="Y424" s="10"/>
      <c r="Z424" s="10"/>
    </row>
    <row r="425" ht="13.5" customHeight="1">
      <c r="A425" s="10">
        <f>dataset_1!A513</f>
        <v>512</v>
      </c>
      <c r="B425" s="11">
        <f>dataset_1!B513</f>
        <v>40566</v>
      </c>
      <c r="C425" s="10">
        <f>dataset_1!C513</f>
        <v>1</v>
      </c>
      <c r="D425" s="10">
        <f>dataset_1!D513</f>
        <v>0</v>
      </c>
      <c r="E425" s="10">
        <f>dataset_1!E513</f>
        <v>1</v>
      </c>
      <c r="F425" s="10">
        <f>dataset_1!F513</f>
        <v>10</v>
      </c>
      <c r="G425" s="10" t="b">
        <f>dataset_1!G513</f>
        <v>0</v>
      </c>
      <c r="H425" s="10">
        <f>dataset_1!H513</f>
        <v>0</v>
      </c>
      <c r="I425" s="10">
        <f>dataset_1!I513</f>
        <v>1</v>
      </c>
      <c r="J425" s="10">
        <f>dataset_1!J513</f>
        <v>0.14</v>
      </c>
      <c r="K425" s="10">
        <f>VLOOKUP(A425,dataset_2!$A$2:$G$611,2,0)</f>
        <v>0.1061</v>
      </c>
      <c r="L425" s="10">
        <f>VLOOKUP(A425,dataset_2!$A$2:$G$611,3,0)</f>
        <v>0.46</v>
      </c>
      <c r="M425" s="10">
        <f>VLOOKUP(A425,dataset_2!$A$2:$G$611,4,0)</f>
        <v>0.3881</v>
      </c>
      <c r="N425" s="10">
        <f>VLOOKUP(A425,dataset_2!$A$2:$G$611,5,0)</f>
        <v>7</v>
      </c>
      <c r="O425" s="10">
        <f>VLOOKUP(A425,dataset_2!$A$2:$G$611,6,0)</f>
        <v>51</v>
      </c>
      <c r="P425" s="10">
        <f>VLOOKUP(A425,dataset_2!$A$2:$G$611,7,0)</f>
        <v>58</v>
      </c>
      <c r="Q425" s="10"/>
      <c r="R425" s="10" t="str">
        <f t="shared" si="1"/>
        <v>OK</v>
      </c>
      <c r="S425" s="10">
        <f t="shared" si="2"/>
        <v>2</v>
      </c>
      <c r="T425" s="10" t="str">
        <f t="shared" si="3"/>
        <v>OK</v>
      </c>
      <c r="U425" s="10">
        <f t="shared" si="4"/>
        <v>1</v>
      </c>
      <c r="V425" s="10"/>
      <c r="W425" s="10"/>
      <c r="X425" s="10"/>
      <c r="Y425" s="10"/>
      <c r="Z425" s="10"/>
    </row>
    <row r="426" ht="13.5" customHeight="1">
      <c r="A426" s="10">
        <f>dataset_1!A580</f>
        <v>579</v>
      </c>
      <c r="B426" s="11">
        <f>dataset_1!B580</f>
        <v>40569</v>
      </c>
      <c r="C426" s="10">
        <f>dataset_1!C580</f>
        <v>1</v>
      </c>
      <c r="D426" s="10">
        <f>dataset_1!D580</f>
        <v>0</v>
      </c>
      <c r="E426" s="10">
        <f>dataset_1!E580</f>
        <v>1</v>
      </c>
      <c r="F426" s="10">
        <f>dataset_1!F580</f>
        <v>9</v>
      </c>
      <c r="G426" s="10" t="b">
        <f>dataset_1!G580</f>
        <v>0</v>
      </c>
      <c r="H426" s="10">
        <f>dataset_1!H580</f>
        <v>3</v>
      </c>
      <c r="I426" s="10">
        <f>dataset_1!I580</f>
        <v>3</v>
      </c>
      <c r="J426" s="10">
        <f>dataset_1!J580</f>
        <v>0.22</v>
      </c>
      <c r="K426" s="10">
        <f>VLOOKUP(A426,dataset_2!$A$2:$G$611,2,0)</f>
        <v>0.2121</v>
      </c>
      <c r="L426" s="10">
        <f>VLOOKUP(A426,dataset_2!$A$2:$G$611,3,0)</f>
        <v>0.87</v>
      </c>
      <c r="M426" s="10">
        <f>VLOOKUP(A426,dataset_2!$A$2:$G$611,4,0)</f>
        <v>0.2985</v>
      </c>
      <c r="N426" s="10">
        <f>VLOOKUP(A426,dataset_2!$A$2:$G$611,5,0)</f>
        <v>3</v>
      </c>
      <c r="O426" s="10">
        <f>VLOOKUP(A426,dataset_2!$A$2:$G$611,6,0)</f>
        <v>55</v>
      </c>
      <c r="P426" s="10">
        <f>VLOOKUP(A426,dataset_2!$A$2:$G$611,7,0)</f>
        <v>58</v>
      </c>
      <c r="Q426" s="10"/>
      <c r="R426" s="10" t="str">
        <f t="shared" si="1"/>
        <v>OK</v>
      </c>
      <c r="S426" s="10">
        <f t="shared" si="2"/>
        <v>2</v>
      </c>
      <c r="T426" s="10" t="str">
        <f t="shared" si="3"/>
        <v>OK</v>
      </c>
      <c r="U426" s="10">
        <f t="shared" si="4"/>
        <v>1</v>
      </c>
      <c r="V426" s="10"/>
      <c r="W426" s="10"/>
      <c r="X426" s="10"/>
      <c r="Y426" s="10"/>
      <c r="Z426" s="10"/>
    </row>
    <row r="427" ht="13.5" customHeight="1">
      <c r="A427" s="3">
        <v>616.0</v>
      </c>
      <c r="B427" s="12">
        <v>40571.0</v>
      </c>
      <c r="C427" s="3">
        <v>1.0</v>
      </c>
      <c r="D427" s="3">
        <v>0.0</v>
      </c>
      <c r="E427" s="3">
        <v>1.0</v>
      </c>
      <c r="F427" s="3">
        <v>21.0</v>
      </c>
      <c r="G427" s="3" t="b">
        <f t="shared" ref="G427:G429" si="50">FALSE()</f>
        <v>0</v>
      </c>
      <c r="H427" s="3">
        <v>5.0</v>
      </c>
      <c r="I427" s="3">
        <v>2.0</v>
      </c>
      <c r="J427" s="3">
        <v>0.22</v>
      </c>
      <c r="K427" s="3">
        <v>0.2273</v>
      </c>
      <c r="L427" s="3">
        <v>0.75</v>
      </c>
      <c r="M427" s="3">
        <v>0.1343</v>
      </c>
      <c r="N427" s="3">
        <v>1.0</v>
      </c>
      <c r="O427" s="3">
        <v>57.0</v>
      </c>
      <c r="P427" s="3">
        <v>58.0</v>
      </c>
      <c r="Q427" s="10"/>
      <c r="R427" s="10" t="str">
        <f t="shared" si="1"/>
        <v>OK</v>
      </c>
      <c r="S427" s="10">
        <f t="shared" si="2"/>
        <v>2</v>
      </c>
      <c r="T427" s="10" t="str">
        <f t="shared" si="3"/>
        <v>OK</v>
      </c>
      <c r="U427" s="10">
        <f t="shared" si="4"/>
        <v>1</v>
      </c>
      <c r="V427" s="10"/>
      <c r="W427" s="10"/>
      <c r="X427" s="10"/>
      <c r="Y427" s="10"/>
      <c r="Z427" s="10"/>
    </row>
    <row r="428" ht="13.5" customHeight="1">
      <c r="A428" s="3">
        <v>637.0</v>
      </c>
      <c r="B428" s="12">
        <v>40572.0</v>
      </c>
      <c r="C428" s="3">
        <v>1.0</v>
      </c>
      <c r="D428" s="3">
        <v>0.0</v>
      </c>
      <c r="E428" s="3">
        <v>1.0</v>
      </c>
      <c r="F428" s="3">
        <v>19.0</v>
      </c>
      <c r="G428" s="3" t="b">
        <f t="shared" si="50"/>
        <v>0</v>
      </c>
      <c r="H428" s="3">
        <v>6.0</v>
      </c>
      <c r="I428" s="3">
        <v>2.0</v>
      </c>
      <c r="J428" s="3">
        <v>0.22</v>
      </c>
      <c r="K428" s="3">
        <v>0.2121</v>
      </c>
      <c r="L428" s="3">
        <v>0.69</v>
      </c>
      <c r="M428" s="3">
        <v>0.2537</v>
      </c>
      <c r="N428" s="3">
        <v>6.0</v>
      </c>
      <c r="O428" s="3">
        <v>52.0</v>
      </c>
      <c r="P428" s="3">
        <v>58.0</v>
      </c>
      <c r="Q428" s="10"/>
      <c r="R428" s="10" t="str">
        <f t="shared" si="1"/>
        <v>OK</v>
      </c>
      <c r="S428" s="10">
        <f t="shared" si="2"/>
        <v>2</v>
      </c>
      <c r="T428" s="10" t="str">
        <f t="shared" si="3"/>
        <v>OK</v>
      </c>
      <c r="U428" s="10">
        <f t="shared" si="4"/>
        <v>1</v>
      </c>
      <c r="V428" s="10"/>
      <c r="W428" s="10"/>
      <c r="X428" s="10"/>
      <c r="Y428" s="10"/>
      <c r="Z428" s="10"/>
    </row>
    <row r="429" ht="13.5" customHeight="1">
      <c r="A429" s="3">
        <v>891.0</v>
      </c>
      <c r="B429" s="12">
        <v>40583.0</v>
      </c>
      <c r="C429" s="3">
        <v>1.0</v>
      </c>
      <c r="D429" s="3">
        <v>0.0</v>
      </c>
      <c r="E429" s="3">
        <v>2.0</v>
      </c>
      <c r="F429" s="3">
        <v>14.0</v>
      </c>
      <c r="G429" s="3" t="b">
        <f t="shared" si="50"/>
        <v>0</v>
      </c>
      <c r="H429" s="3">
        <v>3.0</v>
      </c>
      <c r="I429" s="3">
        <v>1.0</v>
      </c>
      <c r="J429" s="3">
        <v>0.2</v>
      </c>
      <c r="K429" s="3">
        <v>0.1818</v>
      </c>
      <c r="L429" s="3">
        <v>0.34</v>
      </c>
      <c r="M429" s="3">
        <v>0.2985</v>
      </c>
      <c r="N429" s="3">
        <v>2.0</v>
      </c>
      <c r="O429" s="3">
        <v>56.0</v>
      </c>
      <c r="P429" s="3">
        <v>58.0</v>
      </c>
      <c r="Q429" s="10"/>
      <c r="R429" s="10" t="str">
        <f t="shared" si="1"/>
        <v>OK</v>
      </c>
      <c r="S429" s="10">
        <f t="shared" si="2"/>
        <v>2</v>
      </c>
      <c r="T429" s="10" t="str">
        <f t="shared" si="3"/>
        <v>OK</v>
      </c>
      <c r="U429" s="10">
        <f t="shared" si="4"/>
        <v>1</v>
      </c>
      <c r="V429" s="10"/>
      <c r="W429" s="10"/>
      <c r="X429" s="10"/>
      <c r="Y429" s="10"/>
      <c r="Z429" s="10"/>
    </row>
    <row r="430" ht="13.5" customHeight="1">
      <c r="A430" s="10">
        <f>dataset_1!A81</f>
        <v>80</v>
      </c>
      <c r="B430" s="11">
        <f>dataset_1!B81</f>
        <v>40547</v>
      </c>
      <c r="C430" s="10">
        <f>dataset_1!C81</f>
        <v>1</v>
      </c>
      <c r="D430" s="10">
        <f>dataset_1!D81</f>
        <v>0</v>
      </c>
      <c r="E430" s="10">
        <f>dataset_1!E81</f>
        <v>1</v>
      </c>
      <c r="F430" s="10">
        <f>dataset_1!F81</f>
        <v>11</v>
      </c>
      <c r="G430" s="10" t="b">
        <f>dataset_1!G81</f>
        <v>0</v>
      </c>
      <c r="H430" s="10">
        <f>dataset_1!H81</f>
        <v>2</v>
      </c>
      <c r="I430" s="10">
        <f>dataset_1!I81</f>
        <v>1</v>
      </c>
      <c r="J430" s="10">
        <f>dataset_1!J81</f>
        <v>0.22</v>
      </c>
      <c r="K430" s="10">
        <f>VLOOKUP(A430,dataset_2!$A$2:$G$611,2,0)</f>
        <v>0.2121</v>
      </c>
      <c r="L430" s="10">
        <f>VLOOKUP(A430,dataset_2!$A$2:$G$611,3,0)</f>
        <v>0.51</v>
      </c>
      <c r="M430" s="10">
        <f>VLOOKUP(A430,dataset_2!$A$2:$G$611,4,0)</f>
        <v>0.2985</v>
      </c>
      <c r="N430" s="10">
        <f>VLOOKUP(A430,dataset_2!$A$2:$G$611,5,0)</f>
        <v>7</v>
      </c>
      <c r="O430" s="10">
        <f>VLOOKUP(A430,dataset_2!$A$2:$G$611,6,0)</f>
        <v>50</v>
      </c>
      <c r="P430" s="10">
        <f>VLOOKUP(A430,dataset_2!$A$2:$G$611,7,0)</f>
        <v>57</v>
      </c>
      <c r="Q430" s="10"/>
      <c r="R430" s="10" t="str">
        <f t="shared" si="1"/>
        <v>OK</v>
      </c>
      <c r="S430" s="10">
        <f t="shared" si="2"/>
        <v>2</v>
      </c>
      <c r="T430" s="10" t="str">
        <f t="shared" si="3"/>
        <v>OK</v>
      </c>
      <c r="U430" s="10">
        <f t="shared" si="4"/>
        <v>1</v>
      </c>
      <c r="V430" s="10"/>
      <c r="W430" s="10"/>
      <c r="X430" s="10"/>
      <c r="Y430" s="10"/>
      <c r="Z430" s="10"/>
    </row>
    <row r="431" ht="13.5" customHeight="1">
      <c r="A431" s="10">
        <f>dataset_1!A103</f>
        <v>102</v>
      </c>
      <c r="B431" s="11">
        <f>dataset_1!B103</f>
        <v>40548</v>
      </c>
      <c r="C431" s="10">
        <f>dataset_1!C103</f>
        <v>1</v>
      </c>
      <c r="D431" s="10">
        <f>dataset_1!D103</f>
        <v>0</v>
      </c>
      <c r="E431" s="10">
        <f>dataset_1!E103</f>
        <v>1</v>
      </c>
      <c r="F431" s="10">
        <f>dataset_1!F103</f>
        <v>10</v>
      </c>
      <c r="G431" s="10" t="b">
        <f>dataset_1!G103</f>
        <v>0</v>
      </c>
      <c r="H431" s="10">
        <f>dataset_1!H103</f>
        <v>3</v>
      </c>
      <c r="I431" s="10">
        <f>dataset_1!I103</f>
        <v>1</v>
      </c>
      <c r="J431" s="10">
        <f>dataset_1!J103</f>
        <v>0.22</v>
      </c>
      <c r="K431" s="10">
        <f>VLOOKUP(A431,dataset_2!$A$2:$G$611,2,0)</f>
        <v>0.197</v>
      </c>
      <c r="L431" s="10">
        <f>VLOOKUP(A431,dataset_2!$A$2:$G$611,3,0)</f>
        <v>0.37</v>
      </c>
      <c r="M431" s="10">
        <f>VLOOKUP(A431,dataset_2!$A$2:$G$611,4,0)</f>
        <v>0.3284</v>
      </c>
      <c r="N431" s="10">
        <f>VLOOKUP(A431,dataset_2!$A$2:$G$611,5,0)</f>
        <v>4</v>
      </c>
      <c r="O431" s="10">
        <f>VLOOKUP(A431,dataset_2!$A$2:$G$611,6,0)</f>
        <v>53</v>
      </c>
      <c r="P431" s="10">
        <f>VLOOKUP(A431,dataset_2!$A$2:$G$611,7,0)</f>
        <v>57</v>
      </c>
      <c r="Q431" s="10"/>
      <c r="R431" s="10" t="str">
        <f t="shared" si="1"/>
        <v>OK</v>
      </c>
      <c r="S431" s="10">
        <f t="shared" si="2"/>
        <v>2</v>
      </c>
      <c r="T431" s="10" t="str">
        <f t="shared" si="3"/>
        <v>OK</v>
      </c>
      <c r="U431" s="10">
        <f t="shared" si="4"/>
        <v>1</v>
      </c>
      <c r="V431" s="10"/>
      <c r="W431" s="10"/>
      <c r="X431" s="10"/>
      <c r="Y431" s="10"/>
      <c r="Z431" s="10"/>
    </row>
    <row r="432" ht="13.5" customHeight="1">
      <c r="A432" s="10">
        <f>dataset_1!A245</f>
        <v>244</v>
      </c>
      <c r="B432" s="11">
        <f>dataset_1!B245</f>
        <v>40554</v>
      </c>
      <c r="C432" s="10">
        <f>dataset_1!C245</f>
        <v>1</v>
      </c>
      <c r="D432" s="10">
        <f>dataset_1!D245</f>
        <v>0</v>
      </c>
      <c r="E432" s="10">
        <f>dataset_1!E245</f>
        <v>1</v>
      </c>
      <c r="F432" s="10">
        <f>dataset_1!F245</f>
        <v>12</v>
      </c>
      <c r="G432" s="10" t="b">
        <f>dataset_1!G245</f>
        <v>0</v>
      </c>
      <c r="H432" s="10">
        <f>dataset_1!H245</f>
        <v>2</v>
      </c>
      <c r="I432" s="10">
        <f>dataset_1!I245</f>
        <v>2</v>
      </c>
      <c r="J432" s="10">
        <f>dataset_1!J245</f>
        <v>0.2</v>
      </c>
      <c r="K432" s="10">
        <f>VLOOKUP(A432,dataset_2!$A$2:$G$611,2,0)</f>
        <v>0.2273</v>
      </c>
      <c r="L432" s="10">
        <f>VLOOKUP(A432,dataset_2!$A$2:$G$611,3,0)</f>
        <v>0.51</v>
      </c>
      <c r="M432" s="10">
        <f>VLOOKUP(A432,dataset_2!$A$2:$G$611,4,0)</f>
        <v>0.1045</v>
      </c>
      <c r="N432" s="10">
        <f>VLOOKUP(A432,dataset_2!$A$2:$G$611,5,0)</f>
        <v>2</v>
      </c>
      <c r="O432" s="10">
        <f>VLOOKUP(A432,dataset_2!$A$2:$G$611,6,0)</f>
        <v>55</v>
      </c>
      <c r="P432" s="10">
        <f>VLOOKUP(A432,dataset_2!$A$2:$G$611,7,0)</f>
        <v>57</v>
      </c>
      <c r="Q432" s="10"/>
      <c r="R432" s="10" t="str">
        <f t="shared" si="1"/>
        <v>OK</v>
      </c>
      <c r="S432" s="10">
        <f t="shared" si="2"/>
        <v>2</v>
      </c>
      <c r="T432" s="10" t="str">
        <f t="shared" si="3"/>
        <v>OK</v>
      </c>
      <c r="U432" s="10">
        <f t="shared" si="4"/>
        <v>1</v>
      </c>
      <c r="V432" s="10"/>
      <c r="W432" s="10"/>
      <c r="X432" s="10"/>
      <c r="Y432" s="10"/>
      <c r="Z432" s="10"/>
    </row>
    <row r="433" ht="13.5" customHeight="1">
      <c r="A433" s="10">
        <f>dataset_1!A276</f>
        <v>275</v>
      </c>
      <c r="B433" s="11">
        <f>dataset_1!B276</f>
        <v>40555</v>
      </c>
      <c r="C433" s="10">
        <f>dataset_1!C276</f>
        <v>1</v>
      </c>
      <c r="D433" s="10">
        <f>dataset_1!D276</f>
        <v>0</v>
      </c>
      <c r="E433" s="10">
        <f>dataset_1!E276</f>
        <v>1</v>
      </c>
      <c r="F433" s="10">
        <f>dataset_1!F276</f>
        <v>21</v>
      </c>
      <c r="G433" s="10" t="b">
        <f>dataset_1!G276</f>
        <v>0</v>
      </c>
      <c r="H433" s="10">
        <f>dataset_1!H276</f>
        <v>3</v>
      </c>
      <c r="I433" s="10">
        <f>dataset_1!I276</f>
        <v>1</v>
      </c>
      <c r="J433" s="10">
        <f>dataset_1!J276</f>
        <v>0.16</v>
      </c>
      <c r="K433" s="10">
        <f>VLOOKUP(A433,dataset_2!$A$2:$G$611,2,0)</f>
        <v>0.1364</v>
      </c>
      <c r="L433" s="10">
        <f>VLOOKUP(A433,dataset_2!$A$2:$G$611,3,0)</f>
        <v>0.55</v>
      </c>
      <c r="M433" s="10">
        <f>VLOOKUP(A433,dataset_2!$A$2:$G$611,4,0)</f>
        <v>0.3284</v>
      </c>
      <c r="N433" s="10">
        <f>VLOOKUP(A433,dataset_2!$A$2:$G$611,5,0)</f>
        <v>0</v>
      </c>
      <c r="O433" s="10">
        <f>VLOOKUP(A433,dataset_2!$A$2:$G$611,6,0)</f>
        <v>57</v>
      </c>
      <c r="P433" s="10">
        <f>VLOOKUP(A433,dataset_2!$A$2:$G$611,7,0)</f>
        <v>57</v>
      </c>
      <c r="Q433" s="10"/>
      <c r="R433" s="10" t="str">
        <f t="shared" si="1"/>
        <v>OK</v>
      </c>
      <c r="S433" s="10">
        <f t="shared" si="2"/>
        <v>2</v>
      </c>
      <c r="T433" s="10" t="str">
        <f t="shared" si="3"/>
        <v>OK</v>
      </c>
      <c r="U433" s="10">
        <f t="shared" si="4"/>
        <v>1</v>
      </c>
      <c r="V433" s="10"/>
      <c r="W433" s="10"/>
      <c r="X433" s="10"/>
      <c r="Y433" s="10"/>
      <c r="Z433" s="10"/>
    </row>
    <row r="434" ht="13.5" customHeight="1">
      <c r="A434" s="10">
        <f>dataset_1!A347</f>
        <v>346</v>
      </c>
      <c r="B434" s="11">
        <f>dataset_1!B347</f>
        <v>40558</v>
      </c>
      <c r="C434" s="10">
        <f>dataset_1!C347</f>
        <v>1</v>
      </c>
      <c r="D434" s="10">
        <f>dataset_1!D347</f>
        <v>0</v>
      </c>
      <c r="E434" s="10">
        <f>dataset_1!E347</f>
        <v>1</v>
      </c>
      <c r="F434" s="10">
        <f>dataset_1!F347</f>
        <v>21</v>
      </c>
      <c r="G434" s="10" t="b">
        <f>dataset_1!G347</f>
        <v>0</v>
      </c>
      <c r="H434" s="10">
        <f>dataset_1!H347</f>
        <v>6</v>
      </c>
      <c r="I434" s="10">
        <f>dataset_1!I347</f>
        <v>2</v>
      </c>
      <c r="J434" s="10">
        <f>dataset_1!J347</f>
        <v>0.32</v>
      </c>
      <c r="K434" s="10">
        <f>VLOOKUP(A434,dataset_2!$A$2:$G$611,2,0)</f>
        <v>0.303</v>
      </c>
      <c r="L434" s="10">
        <f>VLOOKUP(A434,dataset_2!$A$2:$G$611,3,0)</f>
        <v>0.39</v>
      </c>
      <c r="M434" s="10">
        <f>VLOOKUP(A434,dataset_2!$A$2:$G$611,4,0)</f>
        <v>0.2239</v>
      </c>
      <c r="N434" s="10">
        <f>VLOOKUP(A434,dataset_2!$A$2:$G$611,5,0)</f>
        <v>6</v>
      </c>
      <c r="O434" s="10">
        <f>VLOOKUP(A434,dataset_2!$A$2:$G$611,6,0)</f>
        <v>51</v>
      </c>
      <c r="P434" s="10">
        <f>VLOOKUP(A434,dataset_2!$A$2:$G$611,7,0)</f>
        <v>57</v>
      </c>
      <c r="Q434" s="10"/>
      <c r="R434" s="10" t="str">
        <f t="shared" si="1"/>
        <v>OK</v>
      </c>
      <c r="S434" s="10">
        <f t="shared" si="2"/>
        <v>2</v>
      </c>
      <c r="T434" s="10" t="str">
        <f t="shared" si="3"/>
        <v>OK</v>
      </c>
      <c r="U434" s="10">
        <f t="shared" si="4"/>
        <v>1</v>
      </c>
      <c r="V434" s="10"/>
      <c r="W434" s="10"/>
      <c r="X434" s="10"/>
      <c r="Y434" s="10"/>
      <c r="Z434" s="10"/>
    </row>
    <row r="435" ht="13.5" customHeight="1">
      <c r="A435" s="10">
        <f>dataset_1!A370</f>
        <v>369</v>
      </c>
      <c r="B435" s="11">
        <f>dataset_1!B370</f>
        <v>40559</v>
      </c>
      <c r="C435" s="10">
        <f>dataset_1!C370</f>
        <v>1</v>
      </c>
      <c r="D435" s="10">
        <f>dataset_1!D370</f>
        <v>0</v>
      </c>
      <c r="E435" s="10">
        <f>dataset_1!E370</f>
        <v>1</v>
      </c>
      <c r="F435" s="10">
        <f>dataset_1!F370</f>
        <v>20</v>
      </c>
      <c r="G435" s="10" t="b">
        <f>dataset_1!G370</f>
        <v>0</v>
      </c>
      <c r="H435" s="10">
        <f>dataset_1!H370</f>
        <v>0</v>
      </c>
      <c r="I435" s="10">
        <f>dataset_1!I370</f>
        <v>1</v>
      </c>
      <c r="J435" s="10">
        <f>dataset_1!J370</f>
        <v>0.18</v>
      </c>
      <c r="K435" s="10">
        <f>VLOOKUP(A435,dataset_2!$A$2:$G$611,2,0)</f>
        <v>0.197</v>
      </c>
      <c r="L435" s="10">
        <f>VLOOKUP(A435,dataset_2!$A$2:$G$611,3,0)</f>
        <v>0.47</v>
      </c>
      <c r="M435" s="10">
        <f>VLOOKUP(A435,dataset_2!$A$2:$G$611,4,0)</f>
        <v>0.1642</v>
      </c>
      <c r="N435" s="10">
        <f>VLOOKUP(A435,dataset_2!$A$2:$G$611,5,0)</f>
        <v>7</v>
      </c>
      <c r="O435" s="10">
        <f>VLOOKUP(A435,dataset_2!$A$2:$G$611,6,0)</f>
        <v>50</v>
      </c>
      <c r="P435" s="10">
        <f>VLOOKUP(A435,dataset_2!$A$2:$G$611,7,0)</f>
        <v>57</v>
      </c>
      <c r="Q435" s="10"/>
      <c r="R435" s="10" t="str">
        <f t="shared" si="1"/>
        <v>OK</v>
      </c>
      <c r="S435" s="10">
        <f t="shared" si="2"/>
        <v>2</v>
      </c>
      <c r="T435" s="10" t="str">
        <f t="shared" si="3"/>
        <v>OK</v>
      </c>
      <c r="U435" s="10">
        <f t="shared" si="4"/>
        <v>1</v>
      </c>
      <c r="V435" s="10"/>
      <c r="W435" s="10"/>
      <c r="X435" s="10"/>
      <c r="Y435" s="10"/>
      <c r="Z435" s="10"/>
    </row>
    <row r="436" ht="13.5" customHeight="1">
      <c r="A436" s="10">
        <f>dataset_1!A384</f>
        <v>383</v>
      </c>
      <c r="B436" s="11">
        <f>dataset_1!B384</f>
        <v>40560</v>
      </c>
      <c r="C436" s="10">
        <f>dataset_1!C384</f>
        <v>1</v>
      </c>
      <c r="D436" s="10">
        <f>dataset_1!D384</f>
        <v>0</v>
      </c>
      <c r="E436" s="10">
        <f>dataset_1!E384</f>
        <v>1</v>
      </c>
      <c r="F436" s="10">
        <f>dataset_1!F384</f>
        <v>10</v>
      </c>
      <c r="G436" s="10" t="b">
        <f>dataset_1!G384</f>
        <v>1</v>
      </c>
      <c r="H436" s="10">
        <f>dataset_1!H384</f>
        <v>1</v>
      </c>
      <c r="I436" s="10">
        <f>dataset_1!I384</f>
        <v>2</v>
      </c>
      <c r="J436" s="10">
        <f>dataset_1!J384</f>
        <v>0.16</v>
      </c>
      <c r="K436" s="10">
        <f>VLOOKUP(A436,dataset_2!$A$2:$G$611,2,0)</f>
        <v>0.1515</v>
      </c>
      <c r="L436" s="10">
        <f>VLOOKUP(A436,dataset_2!$A$2:$G$611,3,0)</f>
        <v>0.5</v>
      </c>
      <c r="M436" s="10">
        <f>VLOOKUP(A436,dataset_2!$A$2:$G$611,4,0)</f>
        <v>0.2537</v>
      </c>
      <c r="N436" s="10">
        <f>VLOOKUP(A436,dataset_2!$A$2:$G$611,5,0)</f>
        <v>7</v>
      </c>
      <c r="O436" s="10">
        <f>VLOOKUP(A436,dataset_2!$A$2:$G$611,6,0)</f>
        <v>50</v>
      </c>
      <c r="P436" s="10">
        <f>VLOOKUP(A436,dataset_2!$A$2:$G$611,7,0)</f>
        <v>57</v>
      </c>
      <c r="Q436" s="10"/>
      <c r="R436" s="10" t="str">
        <f t="shared" si="1"/>
        <v>OK</v>
      </c>
      <c r="S436" s="10">
        <f t="shared" si="2"/>
        <v>2</v>
      </c>
      <c r="T436" s="10" t="str">
        <f t="shared" si="3"/>
        <v>OK</v>
      </c>
      <c r="U436" s="10">
        <f t="shared" si="4"/>
        <v>1</v>
      </c>
      <c r="V436" s="10"/>
      <c r="W436" s="10"/>
      <c r="X436" s="10"/>
      <c r="Y436" s="10"/>
      <c r="Z436" s="10"/>
    </row>
    <row r="437" ht="13.5" customHeight="1">
      <c r="A437" s="10">
        <f>dataset_1!A443</f>
        <v>442</v>
      </c>
      <c r="B437" s="11">
        <f>dataset_1!B443</f>
        <v>40563</v>
      </c>
      <c r="C437" s="10">
        <f>dataset_1!C443</f>
        <v>1</v>
      </c>
      <c r="D437" s="10">
        <f>dataset_1!D443</f>
        <v>0</v>
      </c>
      <c r="E437" s="10">
        <f>dataset_1!E443</f>
        <v>1</v>
      </c>
      <c r="F437" s="10">
        <f>dataset_1!F443</f>
        <v>10</v>
      </c>
      <c r="G437" s="10" t="b">
        <f>dataset_1!G443</f>
        <v>0</v>
      </c>
      <c r="H437" s="10">
        <f>dataset_1!H443</f>
        <v>4</v>
      </c>
      <c r="I437" s="10">
        <f>dataset_1!I443</f>
        <v>1</v>
      </c>
      <c r="J437" s="10">
        <f>dataset_1!J443</f>
        <v>0.26</v>
      </c>
      <c r="K437" s="10">
        <f>VLOOKUP(A437,dataset_2!$A$2:$G$611,2,0)</f>
        <v>0.2273</v>
      </c>
      <c r="L437" s="10">
        <f>VLOOKUP(A437,dataset_2!$A$2:$G$611,3,0)</f>
        <v>0.48</v>
      </c>
      <c r="M437" s="10">
        <f>VLOOKUP(A437,dataset_2!$A$2:$G$611,4,0)</f>
        <v>0.2985</v>
      </c>
      <c r="N437" s="10">
        <f>VLOOKUP(A437,dataset_2!$A$2:$G$611,5,0)</f>
        <v>1</v>
      </c>
      <c r="O437" s="10">
        <f>VLOOKUP(A437,dataset_2!$A$2:$G$611,6,0)</f>
        <v>56</v>
      </c>
      <c r="P437" s="10">
        <f>VLOOKUP(A437,dataset_2!$A$2:$G$611,7,0)</f>
        <v>57</v>
      </c>
      <c r="Q437" s="10"/>
      <c r="R437" s="10" t="str">
        <f t="shared" si="1"/>
        <v>OK</v>
      </c>
      <c r="S437" s="10">
        <f t="shared" si="2"/>
        <v>2</v>
      </c>
      <c r="T437" s="10" t="str">
        <f t="shared" si="3"/>
        <v>OK</v>
      </c>
      <c r="U437" s="10">
        <f t="shared" si="4"/>
        <v>1</v>
      </c>
      <c r="V437" s="10"/>
      <c r="W437" s="10"/>
      <c r="X437" s="10"/>
      <c r="Y437" s="10"/>
      <c r="Z437" s="10"/>
    </row>
    <row r="438" ht="13.5" customHeight="1">
      <c r="A438" s="10">
        <f>dataset_1!A454</f>
        <v>453</v>
      </c>
      <c r="B438" s="11">
        <f>dataset_1!B454</f>
        <v>40563</v>
      </c>
      <c r="C438" s="10">
        <f>dataset_1!C454</f>
        <v>1</v>
      </c>
      <c r="D438" s="10">
        <f>dataset_1!D454</f>
        <v>0</v>
      </c>
      <c r="E438" s="10">
        <f>dataset_1!E454</f>
        <v>1</v>
      </c>
      <c r="F438" s="10">
        <f>dataset_1!F454</f>
        <v>21</v>
      </c>
      <c r="G438" s="10" t="b">
        <f>dataset_1!G454</f>
        <v>0</v>
      </c>
      <c r="H438" s="10">
        <f>dataset_1!H454</f>
        <v>4</v>
      </c>
      <c r="I438" s="10">
        <f>dataset_1!I454</f>
        <v>2</v>
      </c>
      <c r="J438" s="10">
        <f>dataset_1!J454</f>
        <v>0.24</v>
      </c>
      <c r="K438" s="10">
        <f>VLOOKUP(A438,dataset_2!$A$2:$G$611,2,0)</f>
        <v>0.2273</v>
      </c>
      <c r="L438" s="10">
        <f>VLOOKUP(A438,dataset_2!$A$2:$G$611,3,0)</f>
        <v>0.6</v>
      </c>
      <c r="M438" s="10">
        <f>VLOOKUP(A438,dataset_2!$A$2:$G$611,4,0)</f>
        <v>0.2537</v>
      </c>
      <c r="N438" s="10">
        <f>VLOOKUP(A438,dataset_2!$A$2:$G$611,5,0)</f>
        <v>3</v>
      </c>
      <c r="O438" s="10">
        <f>VLOOKUP(A438,dataset_2!$A$2:$G$611,6,0)</f>
        <v>54</v>
      </c>
      <c r="P438" s="10">
        <f>VLOOKUP(A438,dataset_2!$A$2:$G$611,7,0)</f>
        <v>57</v>
      </c>
      <c r="Q438" s="10"/>
      <c r="R438" s="10" t="str">
        <f t="shared" si="1"/>
        <v>OK</v>
      </c>
      <c r="S438" s="10">
        <f t="shared" si="2"/>
        <v>2</v>
      </c>
      <c r="T438" s="10" t="str">
        <f t="shared" si="3"/>
        <v>OK</v>
      </c>
      <c r="U438" s="10">
        <f t="shared" si="4"/>
        <v>1</v>
      </c>
      <c r="V438" s="10"/>
      <c r="W438" s="10"/>
      <c r="X438" s="10"/>
      <c r="Y438" s="10"/>
      <c r="Z438" s="10"/>
    </row>
    <row r="439" ht="13.5" customHeight="1">
      <c r="A439" s="10">
        <f>dataset_1!A541</f>
        <v>540</v>
      </c>
      <c r="B439" s="11">
        <f>dataset_1!B541</f>
        <v>40567</v>
      </c>
      <c r="C439" s="10">
        <f>dataset_1!C541</f>
        <v>1</v>
      </c>
      <c r="D439" s="10">
        <f>dataset_1!D541</f>
        <v>0</v>
      </c>
      <c r="E439" s="10">
        <f>dataset_1!E541</f>
        <v>1</v>
      </c>
      <c r="F439" s="10">
        <f>dataset_1!F541</f>
        <v>15</v>
      </c>
      <c r="G439" s="10" t="b">
        <f>dataset_1!G541</f>
        <v>0</v>
      </c>
      <c r="H439" s="10">
        <f>dataset_1!H541</f>
        <v>1</v>
      </c>
      <c r="I439" s="10">
        <f>dataset_1!I541</f>
        <v>1</v>
      </c>
      <c r="J439" s="10">
        <f>dataset_1!J541</f>
        <v>0.16</v>
      </c>
      <c r="K439" s="10">
        <f>VLOOKUP(A439,dataset_2!$A$2:$G$611,2,0)</f>
        <v>0.1667</v>
      </c>
      <c r="L439" s="10">
        <f>VLOOKUP(A439,dataset_2!$A$2:$G$611,3,0)</f>
        <v>0.4</v>
      </c>
      <c r="M439" s="10">
        <f>VLOOKUP(A439,dataset_2!$A$2:$G$611,4,0)</f>
        <v>0.1642</v>
      </c>
      <c r="N439" s="10">
        <f>VLOOKUP(A439,dataset_2!$A$2:$G$611,5,0)</f>
        <v>7</v>
      </c>
      <c r="O439" s="10">
        <f>VLOOKUP(A439,dataset_2!$A$2:$G$611,6,0)</f>
        <v>50</v>
      </c>
      <c r="P439" s="10">
        <f>VLOOKUP(A439,dataset_2!$A$2:$G$611,7,0)</f>
        <v>57</v>
      </c>
      <c r="Q439" s="10"/>
      <c r="R439" s="10" t="str">
        <f t="shared" si="1"/>
        <v>OK</v>
      </c>
      <c r="S439" s="10">
        <f t="shared" si="2"/>
        <v>2</v>
      </c>
      <c r="T439" s="10" t="str">
        <f t="shared" si="3"/>
        <v>OK</v>
      </c>
      <c r="U439" s="10">
        <f t="shared" si="4"/>
        <v>1</v>
      </c>
      <c r="V439" s="10"/>
      <c r="W439" s="10"/>
      <c r="X439" s="10"/>
      <c r="Y439" s="10"/>
      <c r="Z439" s="10"/>
    </row>
    <row r="440" ht="13.5" customHeight="1">
      <c r="A440" s="10">
        <f>dataset_1!A13</f>
        <v>12</v>
      </c>
      <c r="B440" s="11">
        <f>dataset_1!B13</f>
        <v>40544</v>
      </c>
      <c r="C440" s="10">
        <f>dataset_1!C13</f>
        <v>1</v>
      </c>
      <c r="D440" s="10">
        <f>dataset_1!D13</f>
        <v>0</v>
      </c>
      <c r="E440" s="10">
        <f>dataset_1!E13</f>
        <v>1</v>
      </c>
      <c r="F440" s="10">
        <f>dataset_1!F13</f>
        <v>11</v>
      </c>
      <c r="G440" s="10" t="b">
        <f>dataset_1!G13</f>
        <v>0</v>
      </c>
      <c r="H440" s="10">
        <f>dataset_1!H13</f>
        <v>6</v>
      </c>
      <c r="I440" s="10">
        <f>dataset_1!I13</f>
        <v>1</v>
      </c>
      <c r="J440" s="10">
        <f>dataset_1!J13</f>
        <v>0.36</v>
      </c>
      <c r="K440" s="10">
        <f>VLOOKUP(A440,dataset_2!$A$2:$G$611,2,0)</f>
        <v>0.3333</v>
      </c>
      <c r="L440" s="10">
        <f>VLOOKUP(A440,dataset_2!$A$2:$G$611,3,0)</f>
        <v>0.81</v>
      </c>
      <c r="M440" s="10">
        <f>VLOOKUP(A440,dataset_2!$A$2:$G$611,4,0)</f>
        <v>0.2836</v>
      </c>
      <c r="N440" s="10">
        <f>VLOOKUP(A440,dataset_2!$A$2:$G$611,5,0)</f>
        <v>26</v>
      </c>
      <c r="O440" s="10">
        <f>VLOOKUP(A440,dataset_2!$A$2:$G$611,6,0)</f>
        <v>30</v>
      </c>
      <c r="P440" s="10">
        <f>VLOOKUP(A440,dataset_2!$A$2:$G$611,7,0)</f>
        <v>56</v>
      </c>
      <c r="Q440" s="10"/>
      <c r="R440" s="10" t="str">
        <f t="shared" si="1"/>
        <v>OK</v>
      </c>
      <c r="S440" s="10">
        <f t="shared" si="2"/>
        <v>2</v>
      </c>
      <c r="T440" s="10" t="str">
        <f t="shared" si="3"/>
        <v>OK</v>
      </c>
      <c r="U440" s="10">
        <f t="shared" si="4"/>
        <v>1</v>
      </c>
      <c r="V440" s="10"/>
      <c r="W440" s="10"/>
      <c r="X440" s="10"/>
      <c r="Y440" s="10"/>
      <c r="Z440" s="10"/>
    </row>
    <row r="441" ht="13.5" customHeight="1">
      <c r="A441" s="10">
        <f>dataset_1!A275</f>
        <v>274</v>
      </c>
      <c r="B441" s="11">
        <f>dataset_1!B275</f>
        <v>40555</v>
      </c>
      <c r="C441" s="10">
        <f>dataset_1!C275</f>
        <v>1</v>
      </c>
      <c r="D441" s="10">
        <f>dataset_1!D275</f>
        <v>0</v>
      </c>
      <c r="E441" s="10">
        <f>dataset_1!E275</f>
        <v>1</v>
      </c>
      <c r="F441" s="10">
        <f>dataset_1!F275</f>
        <v>20</v>
      </c>
      <c r="G441" s="10" t="b">
        <f>dataset_1!G275</f>
        <v>0</v>
      </c>
      <c r="H441" s="10">
        <f>dataset_1!H275</f>
        <v>3</v>
      </c>
      <c r="I441" s="10">
        <f>dataset_1!I275</f>
        <v>1</v>
      </c>
      <c r="J441" s="10">
        <f>dataset_1!J275</f>
        <v>0.16</v>
      </c>
      <c r="K441" s="10">
        <f>VLOOKUP(A441,dataset_2!$A$2:$G$611,2,0)</f>
        <v>0.1364</v>
      </c>
      <c r="L441" s="10">
        <f>VLOOKUP(A441,dataset_2!$A$2:$G$611,3,0)</f>
        <v>0.5</v>
      </c>
      <c r="M441" s="10">
        <f>VLOOKUP(A441,dataset_2!$A$2:$G$611,4,0)</f>
        <v>0.3284</v>
      </c>
      <c r="N441" s="10">
        <f>VLOOKUP(A441,dataset_2!$A$2:$G$611,5,0)</f>
        <v>2</v>
      </c>
      <c r="O441" s="10">
        <f>VLOOKUP(A441,dataset_2!$A$2:$G$611,6,0)</f>
        <v>54</v>
      </c>
      <c r="P441" s="10">
        <f>VLOOKUP(A441,dataset_2!$A$2:$G$611,7,0)</f>
        <v>56</v>
      </c>
      <c r="Q441" s="10"/>
      <c r="R441" s="10" t="str">
        <f t="shared" si="1"/>
        <v>OK</v>
      </c>
      <c r="S441" s="10">
        <f t="shared" si="2"/>
        <v>2</v>
      </c>
      <c r="T441" s="10" t="str">
        <f t="shared" si="3"/>
        <v>OK</v>
      </c>
      <c r="U441" s="10">
        <f t="shared" si="4"/>
        <v>1</v>
      </c>
      <c r="V441" s="10"/>
      <c r="W441" s="10"/>
      <c r="X441" s="10"/>
      <c r="Y441" s="10"/>
      <c r="Z441" s="10"/>
    </row>
    <row r="442" ht="13.5" customHeight="1">
      <c r="A442" s="10">
        <f>dataset_1!A455</f>
        <v>454</v>
      </c>
      <c r="B442" s="11">
        <f>dataset_1!B455</f>
        <v>40563</v>
      </c>
      <c r="C442" s="10">
        <f>dataset_1!C455</f>
        <v>1</v>
      </c>
      <c r="D442" s="10">
        <f>dataset_1!D455</f>
        <v>0</v>
      </c>
      <c r="E442" s="10">
        <f>dataset_1!E455</f>
        <v>1</v>
      </c>
      <c r="F442" s="10">
        <f>dataset_1!F455</f>
        <v>22</v>
      </c>
      <c r="G442" s="10" t="b">
        <f>dataset_1!G455</f>
        <v>0</v>
      </c>
      <c r="H442" s="10">
        <f>dataset_1!H455</f>
        <v>4</v>
      </c>
      <c r="I442" s="10">
        <f>dataset_1!I455</f>
        <v>2</v>
      </c>
      <c r="J442" s="10">
        <f>dataset_1!J455</f>
        <v>0.24</v>
      </c>
      <c r="K442" s="10">
        <f>VLOOKUP(A442,dataset_2!$A$2:$G$611,2,0)</f>
        <v>0.2121</v>
      </c>
      <c r="L442" s="10">
        <f>VLOOKUP(A442,dataset_2!$A$2:$G$611,3,0)</f>
        <v>0.65</v>
      </c>
      <c r="M442" s="10">
        <f>VLOOKUP(A442,dataset_2!$A$2:$G$611,4,0)</f>
        <v>0.2836</v>
      </c>
      <c r="N442" s="10">
        <f>VLOOKUP(A442,dataset_2!$A$2:$G$611,5,0)</f>
        <v>0</v>
      </c>
      <c r="O442" s="10">
        <f>VLOOKUP(A442,dataset_2!$A$2:$G$611,6,0)</f>
        <v>56</v>
      </c>
      <c r="P442" s="10">
        <f>VLOOKUP(A442,dataset_2!$A$2:$G$611,7,0)</f>
        <v>56</v>
      </c>
      <c r="Q442" s="10"/>
      <c r="R442" s="10" t="str">
        <f t="shared" si="1"/>
        <v>OK</v>
      </c>
      <c r="S442" s="10">
        <f t="shared" si="2"/>
        <v>2</v>
      </c>
      <c r="T442" s="10" t="str">
        <f t="shared" si="3"/>
        <v>OK</v>
      </c>
      <c r="U442" s="10">
        <f t="shared" si="4"/>
        <v>1</v>
      </c>
      <c r="V442" s="10"/>
      <c r="W442" s="10"/>
      <c r="X442" s="10"/>
      <c r="Y442" s="10"/>
      <c r="Z442" s="10"/>
    </row>
    <row r="443" ht="13.5" customHeight="1">
      <c r="A443" s="3">
        <v>686.0</v>
      </c>
      <c r="B443" s="12">
        <v>40574.0</v>
      </c>
      <c r="C443" s="3">
        <v>1.0</v>
      </c>
      <c r="D443" s="3">
        <v>0.0</v>
      </c>
      <c r="E443" s="3">
        <v>1.0</v>
      </c>
      <c r="F443" s="3">
        <v>21.0</v>
      </c>
      <c r="G443" s="3" t="b">
        <f t="shared" ref="G443:G445" si="51">FALSE()</f>
        <v>0</v>
      </c>
      <c r="H443" s="3">
        <v>1.0</v>
      </c>
      <c r="I443" s="3">
        <v>3.0</v>
      </c>
      <c r="J443" s="3">
        <v>0.16</v>
      </c>
      <c r="K443" s="3">
        <v>0.197</v>
      </c>
      <c r="L443" s="3">
        <v>0.59</v>
      </c>
      <c r="M443" s="3">
        <v>0.0896</v>
      </c>
      <c r="N443" s="3">
        <v>3.0</v>
      </c>
      <c r="O443" s="3">
        <v>53.0</v>
      </c>
      <c r="P443" s="3">
        <v>56.0</v>
      </c>
      <c r="Q443" s="10"/>
      <c r="R443" s="10" t="str">
        <f t="shared" si="1"/>
        <v>OK</v>
      </c>
      <c r="S443" s="10">
        <f t="shared" si="2"/>
        <v>2</v>
      </c>
      <c r="T443" s="10" t="str">
        <f t="shared" si="3"/>
        <v>OK</v>
      </c>
      <c r="U443" s="10">
        <f t="shared" si="4"/>
        <v>1</v>
      </c>
      <c r="V443" s="10"/>
      <c r="W443" s="10"/>
      <c r="X443" s="10"/>
      <c r="Y443" s="10"/>
      <c r="Z443" s="10"/>
    </row>
    <row r="444" ht="13.5" customHeight="1">
      <c r="A444" s="3">
        <v>803.0</v>
      </c>
      <c r="B444" s="12">
        <v>40579.0</v>
      </c>
      <c r="C444" s="3">
        <v>1.0</v>
      </c>
      <c r="D444" s="3">
        <v>0.0</v>
      </c>
      <c r="E444" s="3">
        <v>2.0</v>
      </c>
      <c r="F444" s="3">
        <v>21.0</v>
      </c>
      <c r="G444" s="3" t="b">
        <f t="shared" si="51"/>
        <v>0</v>
      </c>
      <c r="H444" s="3">
        <v>6.0</v>
      </c>
      <c r="I444" s="3">
        <v>1.0</v>
      </c>
      <c r="J444" s="3">
        <v>0.26</v>
      </c>
      <c r="K444" s="3">
        <v>0.2576</v>
      </c>
      <c r="L444" s="3">
        <v>1.0</v>
      </c>
      <c r="M444" s="3">
        <v>0.194</v>
      </c>
      <c r="N444" s="3">
        <v>3.0</v>
      </c>
      <c r="O444" s="3">
        <v>53.0</v>
      </c>
      <c r="P444" s="3">
        <v>56.0</v>
      </c>
      <c r="Q444" s="10"/>
      <c r="R444" s="10" t="str">
        <f t="shared" si="1"/>
        <v>OK</v>
      </c>
      <c r="S444" s="10">
        <f t="shared" si="2"/>
        <v>2</v>
      </c>
      <c r="T444" s="10" t="str">
        <f t="shared" si="3"/>
        <v>OK</v>
      </c>
      <c r="U444" s="10">
        <f t="shared" si="4"/>
        <v>1</v>
      </c>
      <c r="V444" s="10"/>
      <c r="W444" s="10"/>
      <c r="X444" s="10"/>
      <c r="Y444" s="10"/>
      <c r="Z444" s="10"/>
    </row>
    <row r="445" ht="13.5" customHeight="1">
      <c r="A445" s="3">
        <v>874.0</v>
      </c>
      <c r="B445" s="12">
        <v>40582.0</v>
      </c>
      <c r="C445" s="3">
        <v>1.0</v>
      </c>
      <c r="D445" s="3">
        <v>0.0</v>
      </c>
      <c r="E445" s="3">
        <v>2.0</v>
      </c>
      <c r="F445" s="3">
        <v>20.0</v>
      </c>
      <c r="G445" s="3" t="b">
        <f t="shared" si="51"/>
        <v>0</v>
      </c>
      <c r="H445" s="3">
        <v>2.0</v>
      </c>
      <c r="I445" s="3">
        <v>1.0</v>
      </c>
      <c r="J445" s="3">
        <v>0.16</v>
      </c>
      <c r="K445" s="3">
        <v>0.1364</v>
      </c>
      <c r="L445" s="3">
        <v>0.4</v>
      </c>
      <c r="M445" s="3">
        <v>0.3284</v>
      </c>
      <c r="N445" s="3">
        <v>3.0</v>
      </c>
      <c r="O445" s="3">
        <v>53.0</v>
      </c>
      <c r="P445" s="3">
        <v>56.0</v>
      </c>
      <c r="Q445" s="10"/>
      <c r="R445" s="10" t="str">
        <f t="shared" si="1"/>
        <v>OK</v>
      </c>
      <c r="S445" s="10">
        <f t="shared" si="2"/>
        <v>2</v>
      </c>
      <c r="T445" s="10" t="str">
        <f t="shared" si="3"/>
        <v>OK</v>
      </c>
      <c r="U445" s="10">
        <f t="shared" si="4"/>
        <v>1</v>
      </c>
      <c r="V445" s="10"/>
      <c r="W445" s="10"/>
      <c r="X445" s="10"/>
      <c r="Y445" s="10"/>
      <c r="Z445" s="10"/>
    </row>
    <row r="446" ht="13.5" customHeight="1">
      <c r="A446" s="10">
        <f>dataset_1!A181</f>
        <v>180</v>
      </c>
      <c r="B446" s="11">
        <f>dataset_1!B181</f>
        <v>40551</v>
      </c>
      <c r="C446" s="10">
        <f>dataset_1!C181</f>
        <v>1</v>
      </c>
      <c r="D446" s="10">
        <f>dataset_1!D181</f>
        <v>0</v>
      </c>
      <c r="E446" s="10">
        <f>dataset_1!E181</f>
        <v>1</v>
      </c>
      <c r="F446" s="10">
        <f>dataset_1!F181</f>
        <v>18</v>
      </c>
      <c r="G446" s="10" t="b">
        <f>dataset_1!G181</f>
        <v>0</v>
      </c>
      <c r="H446" s="10">
        <f>dataset_1!H181</f>
        <v>6</v>
      </c>
      <c r="I446" s="10">
        <f>dataset_1!I181</f>
        <v>1</v>
      </c>
      <c r="J446" s="10">
        <f>dataset_1!J181</f>
        <v>0.14</v>
      </c>
      <c r="K446" s="10">
        <f>VLOOKUP(A446,dataset_2!$A$2:$G$611,2,0)</f>
        <v>0.1212</v>
      </c>
      <c r="L446" s="10">
        <f>VLOOKUP(A446,dataset_2!$A$2:$G$611,3,0)</f>
        <v>0.39</v>
      </c>
      <c r="M446" s="10">
        <f>VLOOKUP(A446,dataset_2!$A$2:$G$611,4,0)</f>
        <v>0.2985</v>
      </c>
      <c r="N446" s="10">
        <f>VLOOKUP(A446,dataset_2!$A$2:$G$611,5,0)</f>
        <v>3</v>
      </c>
      <c r="O446" s="10">
        <f>VLOOKUP(A446,dataset_2!$A$2:$G$611,6,0)</f>
        <v>52</v>
      </c>
      <c r="P446" s="10">
        <f>VLOOKUP(A446,dataset_2!$A$2:$G$611,7,0)</f>
        <v>55</v>
      </c>
      <c r="Q446" s="10"/>
      <c r="R446" s="10" t="str">
        <f t="shared" si="1"/>
        <v>OK</v>
      </c>
      <c r="S446" s="10">
        <f t="shared" si="2"/>
        <v>2</v>
      </c>
      <c r="T446" s="10" t="str">
        <f t="shared" si="3"/>
        <v>OK</v>
      </c>
      <c r="U446" s="10">
        <f t="shared" si="4"/>
        <v>1</v>
      </c>
      <c r="V446" s="10"/>
      <c r="W446" s="10"/>
      <c r="X446" s="10"/>
      <c r="Y446" s="10"/>
      <c r="Z446" s="10"/>
    </row>
    <row r="447" ht="13.5" customHeight="1">
      <c r="A447" s="10">
        <f>dataset_1!A267</f>
        <v>266</v>
      </c>
      <c r="B447" s="11">
        <f>dataset_1!B267</f>
        <v>40555</v>
      </c>
      <c r="C447" s="10">
        <f>dataset_1!C267</f>
        <v>1</v>
      </c>
      <c r="D447" s="10">
        <f>dataset_1!D267</f>
        <v>0</v>
      </c>
      <c r="E447" s="10">
        <f>dataset_1!E267</f>
        <v>1</v>
      </c>
      <c r="F447" s="10">
        <f>dataset_1!F267</f>
        <v>12</v>
      </c>
      <c r="G447" s="10" t="b">
        <f>dataset_1!G267</f>
        <v>0</v>
      </c>
      <c r="H447" s="10">
        <f>dataset_1!H267</f>
        <v>3</v>
      </c>
      <c r="I447" s="10">
        <f>dataset_1!I267</f>
        <v>1</v>
      </c>
      <c r="J447" s="10">
        <f>dataset_1!J267</f>
        <v>0.2</v>
      </c>
      <c r="K447" s="10">
        <f>VLOOKUP(A447,dataset_2!$A$2:$G$611,2,0)</f>
        <v>0.1515</v>
      </c>
      <c r="L447" s="10">
        <f>VLOOKUP(A447,dataset_2!$A$2:$G$611,3,0)</f>
        <v>0.47</v>
      </c>
      <c r="M447" s="10">
        <f>VLOOKUP(A447,dataset_2!$A$2:$G$611,4,0)</f>
        <v>0.5821</v>
      </c>
      <c r="N447" s="10">
        <f>VLOOKUP(A447,dataset_2!$A$2:$G$611,5,0)</f>
        <v>3</v>
      </c>
      <c r="O447" s="10">
        <f>VLOOKUP(A447,dataset_2!$A$2:$G$611,6,0)</f>
        <v>52</v>
      </c>
      <c r="P447" s="10">
        <f>VLOOKUP(A447,dataset_2!$A$2:$G$611,7,0)</f>
        <v>55</v>
      </c>
      <c r="Q447" s="10"/>
      <c r="R447" s="10" t="str">
        <f t="shared" si="1"/>
        <v>OK</v>
      </c>
      <c r="S447" s="10">
        <f t="shared" si="2"/>
        <v>2</v>
      </c>
      <c r="T447" s="10" t="str">
        <f t="shared" si="3"/>
        <v>OK</v>
      </c>
      <c r="U447" s="10">
        <f t="shared" si="4"/>
        <v>1</v>
      </c>
      <c r="V447" s="10"/>
      <c r="W447" s="10"/>
      <c r="X447" s="10"/>
      <c r="Y447" s="10"/>
      <c r="Z447" s="10"/>
    </row>
    <row r="448" ht="13.5" customHeight="1">
      <c r="A448" s="10">
        <f>dataset_1!A520</f>
        <v>519</v>
      </c>
      <c r="B448" s="11">
        <f>dataset_1!B520</f>
        <v>40566</v>
      </c>
      <c r="C448" s="10">
        <f>dataset_1!C520</f>
        <v>1</v>
      </c>
      <c r="D448" s="10">
        <f>dataset_1!D520</f>
        <v>0</v>
      </c>
      <c r="E448" s="10">
        <f>dataset_1!E520</f>
        <v>1</v>
      </c>
      <c r="F448" s="10">
        <f>dataset_1!F520</f>
        <v>17</v>
      </c>
      <c r="G448" s="10" t="b">
        <f>dataset_1!G520</f>
        <v>0</v>
      </c>
      <c r="H448" s="10">
        <f>dataset_1!H520</f>
        <v>0</v>
      </c>
      <c r="I448" s="10">
        <f>dataset_1!I520</f>
        <v>1</v>
      </c>
      <c r="J448" s="10">
        <f>dataset_1!J520</f>
        <v>0.14</v>
      </c>
      <c r="K448" s="10">
        <f>VLOOKUP(A448,dataset_2!$A$2:$G$611,2,0)</f>
        <v>0.1061</v>
      </c>
      <c r="L448" s="10">
        <f>VLOOKUP(A448,dataset_2!$A$2:$G$611,3,0)</f>
        <v>0.26</v>
      </c>
      <c r="M448" s="10">
        <f>VLOOKUP(A448,dataset_2!$A$2:$G$611,4,0)</f>
        <v>0.3881</v>
      </c>
      <c r="N448" s="10">
        <f>VLOOKUP(A448,dataset_2!$A$2:$G$611,5,0)</f>
        <v>5</v>
      </c>
      <c r="O448" s="10">
        <f>VLOOKUP(A448,dataset_2!$A$2:$G$611,6,0)</f>
        <v>50</v>
      </c>
      <c r="P448" s="10">
        <f>VLOOKUP(A448,dataset_2!$A$2:$G$611,7,0)</f>
        <v>55</v>
      </c>
      <c r="Q448" s="10"/>
      <c r="R448" s="10" t="str">
        <f t="shared" si="1"/>
        <v>OK</v>
      </c>
      <c r="S448" s="10">
        <f t="shared" si="2"/>
        <v>2</v>
      </c>
      <c r="T448" s="10" t="str">
        <f t="shared" si="3"/>
        <v>OK</v>
      </c>
      <c r="U448" s="10">
        <f t="shared" si="4"/>
        <v>1</v>
      </c>
      <c r="V448" s="10"/>
      <c r="W448" s="10"/>
      <c r="X448" s="10"/>
      <c r="Y448" s="10"/>
      <c r="Z448" s="10"/>
    </row>
    <row r="449" ht="13.5" customHeight="1">
      <c r="A449" s="10">
        <f>dataset_1!A559</f>
        <v>558</v>
      </c>
      <c r="B449" s="11">
        <f>dataset_1!B559</f>
        <v>40568</v>
      </c>
      <c r="C449" s="10">
        <f>dataset_1!C559</f>
        <v>1</v>
      </c>
      <c r="D449" s="10">
        <f>dataset_1!D559</f>
        <v>0</v>
      </c>
      <c r="E449" s="10">
        <f>dataset_1!E559</f>
        <v>1</v>
      </c>
      <c r="F449" s="10">
        <f>dataset_1!F559</f>
        <v>10</v>
      </c>
      <c r="G449" s="10" t="b">
        <f>dataset_1!G559</f>
        <v>0</v>
      </c>
      <c r="H449" s="10">
        <f>dataset_1!H559</f>
        <v>2</v>
      </c>
      <c r="I449" s="10">
        <f>dataset_1!I559</f>
        <v>2</v>
      </c>
      <c r="J449" s="10">
        <f>dataset_1!J559</f>
        <v>0.22</v>
      </c>
      <c r="K449" s="10">
        <f>VLOOKUP(A449,dataset_2!$A$2:$G$611,2,0)</f>
        <v>0.2424</v>
      </c>
      <c r="L449" s="10">
        <f>VLOOKUP(A449,dataset_2!$A$2:$G$611,3,0)</f>
        <v>0.6</v>
      </c>
      <c r="M449" s="10">
        <f>VLOOKUP(A449,dataset_2!$A$2:$G$611,4,0)</f>
        <v>0.1045</v>
      </c>
      <c r="N449" s="10">
        <f>VLOOKUP(A449,dataset_2!$A$2:$G$611,5,0)</f>
        <v>6</v>
      </c>
      <c r="O449" s="10">
        <f>VLOOKUP(A449,dataset_2!$A$2:$G$611,6,0)</f>
        <v>49</v>
      </c>
      <c r="P449" s="10">
        <f>VLOOKUP(A449,dataset_2!$A$2:$G$611,7,0)</f>
        <v>55</v>
      </c>
      <c r="Q449" s="10"/>
      <c r="R449" s="10" t="str">
        <f t="shared" si="1"/>
        <v>OK</v>
      </c>
      <c r="S449" s="10">
        <f t="shared" si="2"/>
        <v>2</v>
      </c>
      <c r="T449" s="10" t="str">
        <f t="shared" si="3"/>
        <v>OK</v>
      </c>
      <c r="U449" s="10">
        <f t="shared" si="4"/>
        <v>1</v>
      </c>
      <c r="V449" s="10"/>
      <c r="W449" s="10"/>
      <c r="X449" s="10"/>
      <c r="Y449" s="10"/>
      <c r="Z449" s="10"/>
    </row>
    <row r="450" ht="13.5" customHeight="1">
      <c r="A450" s="3">
        <v>628.0</v>
      </c>
      <c r="B450" s="12">
        <v>40572.0</v>
      </c>
      <c r="C450" s="3">
        <v>1.0</v>
      </c>
      <c r="D450" s="3">
        <v>0.0</v>
      </c>
      <c r="E450" s="3">
        <v>1.0</v>
      </c>
      <c r="F450" s="3">
        <v>10.0</v>
      </c>
      <c r="G450" s="3" t="b">
        <f t="shared" ref="G450:G454" si="52">FALSE()</f>
        <v>0</v>
      </c>
      <c r="H450" s="3">
        <v>6.0</v>
      </c>
      <c r="I450" s="3">
        <v>2.0</v>
      </c>
      <c r="J450" s="3">
        <v>0.18</v>
      </c>
      <c r="K450" s="3">
        <v>0.2121</v>
      </c>
      <c r="L450" s="3">
        <v>0.64</v>
      </c>
      <c r="M450" s="3">
        <v>0.1045</v>
      </c>
      <c r="N450" s="3">
        <v>4.0</v>
      </c>
      <c r="O450" s="3">
        <v>51.0</v>
      </c>
      <c r="P450" s="3">
        <v>55.0</v>
      </c>
      <c r="Q450" s="10"/>
      <c r="R450" s="10" t="str">
        <f t="shared" si="1"/>
        <v>OK</v>
      </c>
      <c r="S450" s="10">
        <f t="shared" si="2"/>
        <v>2</v>
      </c>
      <c r="T450" s="10" t="str">
        <f t="shared" si="3"/>
        <v>OK</v>
      </c>
      <c r="U450" s="10">
        <f t="shared" si="4"/>
        <v>1</v>
      </c>
      <c r="V450" s="10"/>
      <c r="W450" s="10"/>
      <c r="X450" s="10"/>
      <c r="Y450" s="10"/>
      <c r="Z450" s="10"/>
    </row>
    <row r="451" ht="13.5" customHeight="1">
      <c r="A451" s="3">
        <v>660.0</v>
      </c>
      <c r="B451" s="12">
        <v>40573.0</v>
      </c>
      <c r="C451" s="3">
        <v>1.0</v>
      </c>
      <c r="D451" s="3">
        <v>0.0</v>
      </c>
      <c r="E451" s="3">
        <v>1.0</v>
      </c>
      <c r="F451" s="3">
        <v>19.0</v>
      </c>
      <c r="G451" s="3" t="b">
        <f t="shared" si="52"/>
        <v>0</v>
      </c>
      <c r="H451" s="3">
        <v>0.0</v>
      </c>
      <c r="I451" s="3">
        <v>1.0</v>
      </c>
      <c r="J451" s="3">
        <v>0.26</v>
      </c>
      <c r="K451" s="3">
        <v>0.2576</v>
      </c>
      <c r="L451" s="3">
        <v>0.65</v>
      </c>
      <c r="M451" s="3">
        <v>0.194</v>
      </c>
      <c r="N451" s="3">
        <v>9.0</v>
      </c>
      <c r="O451" s="3">
        <v>46.0</v>
      </c>
      <c r="P451" s="3">
        <v>55.0</v>
      </c>
      <c r="Q451" s="10"/>
      <c r="R451" s="10" t="str">
        <f t="shared" si="1"/>
        <v>OK</v>
      </c>
      <c r="S451" s="10">
        <f t="shared" si="2"/>
        <v>2</v>
      </c>
      <c r="T451" s="10" t="str">
        <f t="shared" si="3"/>
        <v>OK</v>
      </c>
      <c r="U451" s="10">
        <f t="shared" si="4"/>
        <v>1</v>
      </c>
      <c r="V451" s="10"/>
      <c r="W451" s="10"/>
      <c r="X451" s="10"/>
      <c r="Y451" s="10"/>
      <c r="Z451" s="10"/>
    </row>
    <row r="452" ht="13.5" customHeight="1">
      <c r="A452" s="3">
        <v>700.0</v>
      </c>
      <c r="B452" s="12">
        <v>40575.0</v>
      </c>
      <c r="C452" s="3">
        <v>1.0</v>
      </c>
      <c r="D452" s="3">
        <v>0.0</v>
      </c>
      <c r="E452" s="3">
        <v>2.0</v>
      </c>
      <c r="F452" s="3">
        <v>12.0</v>
      </c>
      <c r="G452" s="3" t="b">
        <f t="shared" si="52"/>
        <v>0</v>
      </c>
      <c r="H452" s="3">
        <v>2.0</v>
      </c>
      <c r="I452" s="3">
        <v>2.0</v>
      </c>
      <c r="J452" s="3">
        <v>0.2</v>
      </c>
      <c r="K452" s="3">
        <v>0.2576</v>
      </c>
      <c r="L452" s="3">
        <v>0.86</v>
      </c>
      <c r="M452" s="3">
        <v>0.0</v>
      </c>
      <c r="N452" s="3">
        <v>2.0</v>
      </c>
      <c r="O452" s="3">
        <v>53.0</v>
      </c>
      <c r="P452" s="3">
        <v>55.0</v>
      </c>
      <c r="Q452" s="10"/>
      <c r="R452" s="10" t="str">
        <f t="shared" si="1"/>
        <v>OK</v>
      </c>
      <c r="S452" s="10">
        <f t="shared" si="2"/>
        <v>2</v>
      </c>
      <c r="T452" s="10" t="str">
        <f t="shared" si="3"/>
        <v>OK</v>
      </c>
      <c r="U452" s="10">
        <f t="shared" si="4"/>
        <v>1</v>
      </c>
      <c r="V452" s="10"/>
      <c r="W452" s="10"/>
      <c r="X452" s="10"/>
      <c r="Y452" s="10"/>
      <c r="Z452" s="10"/>
    </row>
    <row r="453" ht="13.5" customHeight="1">
      <c r="A453" s="3">
        <v>796.0</v>
      </c>
      <c r="B453" s="12">
        <v>40579.0</v>
      </c>
      <c r="C453" s="3">
        <v>1.0</v>
      </c>
      <c r="D453" s="3">
        <v>0.0</v>
      </c>
      <c r="E453" s="3">
        <v>2.0</v>
      </c>
      <c r="F453" s="3">
        <v>14.0</v>
      </c>
      <c r="G453" s="3" t="b">
        <f t="shared" si="52"/>
        <v>0</v>
      </c>
      <c r="H453" s="3">
        <v>6.0</v>
      </c>
      <c r="I453" s="3">
        <v>3.0</v>
      </c>
      <c r="J453" s="3">
        <v>0.22</v>
      </c>
      <c r="K453" s="3">
        <v>0.2727</v>
      </c>
      <c r="L453" s="3">
        <v>1.0</v>
      </c>
      <c r="M453" s="3">
        <v>0.0</v>
      </c>
      <c r="N453" s="3">
        <v>5.0</v>
      </c>
      <c r="O453" s="3">
        <v>50.0</v>
      </c>
      <c r="P453" s="3">
        <v>55.0</v>
      </c>
      <c r="Q453" s="10"/>
      <c r="R453" s="10" t="str">
        <f t="shared" si="1"/>
        <v>OK</v>
      </c>
      <c r="S453" s="10">
        <f t="shared" si="2"/>
        <v>2</v>
      </c>
      <c r="T453" s="10" t="str">
        <f t="shared" si="3"/>
        <v>OK</v>
      </c>
      <c r="U453" s="10">
        <f t="shared" si="4"/>
        <v>1</v>
      </c>
      <c r="V453" s="10"/>
      <c r="W453" s="10"/>
      <c r="X453" s="10"/>
      <c r="Y453" s="10"/>
      <c r="Z453" s="10"/>
    </row>
    <row r="454" ht="13.5" customHeight="1">
      <c r="A454" s="3">
        <v>840.0</v>
      </c>
      <c r="B454" s="12">
        <v>40581.0</v>
      </c>
      <c r="C454" s="3">
        <v>1.0</v>
      </c>
      <c r="D454" s="3">
        <v>0.0</v>
      </c>
      <c r="E454" s="3">
        <v>2.0</v>
      </c>
      <c r="F454" s="3">
        <v>10.0</v>
      </c>
      <c r="G454" s="3" t="b">
        <f t="shared" si="52"/>
        <v>0</v>
      </c>
      <c r="H454" s="3">
        <v>1.0</v>
      </c>
      <c r="I454" s="3">
        <v>1.0</v>
      </c>
      <c r="J454" s="3">
        <v>0.24</v>
      </c>
      <c r="K454" s="3">
        <v>0.2576</v>
      </c>
      <c r="L454" s="3">
        <v>0.75</v>
      </c>
      <c r="M454" s="3">
        <v>0.1045</v>
      </c>
      <c r="N454" s="3">
        <v>6.0</v>
      </c>
      <c r="O454" s="3">
        <v>49.0</v>
      </c>
      <c r="P454" s="3">
        <v>55.0</v>
      </c>
      <c r="Q454" s="10"/>
      <c r="R454" s="10" t="str">
        <f t="shared" si="1"/>
        <v>OK</v>
      </c>
      <c r="S454" s="10">
        <f t="shared" si="2"/>
        <v>2</v>
      </c>
      <c r="T454" s="10" t="str">
        <f t="shared" si="3"/>
        <v>OK</v>
      </c>
      <c r="U454" s="10">
        <f t="shared" si="4"/>
        <v>1</v>
      </c>
      <c r="V454" s="10"/>
      <c r="W454" s="10"/>
      <c r="X454" s="10"/>
      <c r="Y454" s="10"/>
      <c r="Z454" s="10"/>
    </row>
    <row r="455" ht="13.5" customHeight="1">
      <c r="A455" s="10">
        <f>dataset_1!A90</f>
        <v>89</v>
      </c>
      <c r="B455" s="11">
        <f>dataset_1!B90</f>
        <v>40547</v>
      </c>
      <c r="C455" s="10">
        <f>dataset_1!C90</f>
        <v>1</v>
      </c>
      <c r="D455" s="10">
        <f>dataset_1!D90</f>
        <v>0</v>
      </c>
      <c r="E455" s="10">
        <f>dataset_1!E90</f>
        <v>1</v>
      </c>
      <c r="F455" s="10">
        <f>dataset_1!F90</f>
        <v>20</v>
      </c>
      <c r="G455" s="10" t="b">
        <f>dataset_1!G90</f>
        <v>0</v>
      </c>
      <c r="H455" s="10">
        <f>dataset_1!H90</f>
        <v>2</v>
      </c>
      <c r="I455" s="10">
        <f>dataset_1!I90</f>
        <v>1</v>
      </c>
      <c r="J455" s="10">
        <f>dataset_1!J90</f>
        <v>0.24</v>
      </c>
      <c r="K455" s="10">
        <f>VLOOKUP(A455,dataset_2!$A$2:$G$611,2,0)</f>
        <v>0.2576</v>
      </c>
      <c r="L455" s="10">
        <f>VLOOKUP(A455,dataset_2!$A$2:$G$611,3,0)</f>
        <v>0.48</v>
      </c>
      <c r="M455" s="10">
        <f>VLOOKUP(A455,dataset_2!$A$2:$G$611,4,0)</f>
        <v>0.1045</v>
      </c>
      <c r="N455" s="10">
        <f>VLOOKUP(A455,dataset_2!$A$2:$G$611,5,0)</f>
        <v>1</v>
      </c>
      <c r="O455" s="10">
        <f>VLOOKUP(A455,dataset_2!$A$2:$G$611,6,0)</f>
        <v>53</v>
      </c>
      <c r="P455" s="10">
        <f>VLOOKUP(A455,dataset_2!$A$2:$G$611,7,0)</f>
        <v>54</v>
      </c>
      <c r="Q455" s="10"/>
      <c r="R455" s="10" t="str">
        <f t="shared" si="1"/>
        <v>OK</v>
      </c>
      <c r="S455" s="10">
        <f t="shared" si="2"/>
        <v>2</v>
      </c>
      <c r="T455" s="10" t="str">
        <f t="shared" si="3"/>
        <v>OK</v>
      </c>
      <c r="U455" s="10">
        <f t="shared" si="4"/>
        <v>1</v>
      </c>
      <c r="V455" s="10"/>
      <c r="W455" s="10"/>
      <c r="X455" s="10"/>
      <c r="Y455" s="10"/>
      <c r="Z455" s="10"/>
    </row>
    <row r="456" ht="13.5" customHeight="1">
      <c r="A456" s="10">
        <f>dataset_1!A224</f>
        <v>223</v>
      </c>
      <c r="B456" s="11">
        <f>dataset_1!B224</f>
        <v>40553</v>
      </c>
      <c r="C456" s="10">
        <f>dataset_1!C224</f>
        <v>1</v>
      </c>
      <c r="D456" s="10">
        <f>dataset_1!D224</f>
        <v>0</v>
      </c>
      <c r="E456" s="10">
        <f>dataset_1!E224</f>
        <v>1</v>
      </c>
      <c r="F456" s="10">
        <f>dataset_1!F224</f>
        <v>13</v>
      </c>
      <c r="G456" s="10" t="b">
        <f>dataset_1!G224</f>
        <v>0</v>
      </c>
      <c r="H456" s="10">
        <f>dataset_1!H224</f>
        <v>1</v>
      </c>
      <c r="I456" s="10">
        <f>dataset_1!I224</f>
        <v>2</v>
      </c>
      <c r="J456" s="10">
        <f>dataset_1!J224</f>
        <v>0.2</v>
      </c>
      <c r="K456" s="10">
        <f>VLOOKUP(A456,dataset_2!$A$2:$G$611,2,0)</f>
        <v>0.1818</v>
      </c>
      <c r="L456" s="10">
        <f>VLOOKUP(A456,dataset_2!$A$2:$G$611,3,0)</f>
        <v>0.4</v>
      </c>
      <c r="M456" s="10">
        <f>VLOOKUP(A456,dataset_2!$A$2:$G$611,4,0)</f>
        <v>0.2836</v>
      </c>
      <c r="N456" s="10">
        <f>VLOOKUP(A456,dataset_2!$A$2:$G$611,5,0)</f>
        <v>4</v>
      </c>
      <c r="O456" s="10">
        <f>VLOOKUP(A456,dataset_2!$A$2:$G$611,6,0)</f>
        <v>50</v>
      </c>
      <c r="P456" s="10">
        <f>VLOOKUP(A456,dataset_2!$A$2:$G$611,7,0)</f>
        <v>54</v>
      </c>
      <c r="Q456" s="10"/>
      <c r="R456" s="10" t="str">
        <f t="shared" si="1"/>
        <v>OK</v>
      </c>
      <c r="S456" s="10">
        <f t="shared" si="2"/>
        <v>2</v>
      </c>
      <c r="T456" s="10" t="str">
        <f t="shared" si="3"/>
        <v>OK</v>
      </c>
      <c r="U456" s="10">
        <f t="shared" si="4"/>
        <v>1</v>
      </c>
      <c r="V456" s="10"/>
      <c r="W456" s="10"/>
      <c r="X456" s="10"/>
      <c r="Y456" s="10"/>
      <c r="Z456" s="10"/>
    </row>
    <row r="457" ht="13.5" customHeight="1">
      <c r="A457" s="10">
        <f>dataset_1!A243</f>
        <v>242</v>
      </c>
      <c r="B457" s="11">
        <f>dataset_1!B243</f>
        <v>40554</v>
      </c>
      <c r="C457" s="10">
        <f>dataset_1!C243</f>
        <v>1</v>
      </c>
      <c r="D457" s="10">
        <f>dataset_1!D243</f>
        <v>0</v>
      </c>
      <c r="E457" s="10">
        <f>dataset_1!E243</f>
        <v>1</v>
      </c>
      <c r="F457" s="10">
        <f>dataset_1!F243</f>
        <v>10</v>
      </c>
      <c r="G457" s="10" t="b">
        <f>dataset_1!G243</f>
        <v>0</v>
      </c>
      <c r="H457" s="10">
        <f>dataset_1!H243</f>
        <v>2</v>
      </c>
      <c r="I457" s="10">
        <f>dataset_1!I243</f>
        <v>2</v>
      </c>
      <c r="J457" s="10">
        <f>dataset_1!J243</f>
        <v>0.2</v>
      </c>
      <c r="K457" s="10">
        <f>VLOOKUP(A457,dataset_2!$A$2:$G$611,2,0)</f>
        <v>0.2121</v>
      </c>
      <c r="L457" s="10">
        <f>VLOOKUP(A457,dataset_2!$A$2:$G$611,3,0)</f>
        <v>0.51</v>
      </c>
      <c r="M457" s="10">
        <f>VLOOKUP(A457,dataset_2!$A$2:$G$611,4,0)</f>
        <v>0.1642</v>
      </c>
      <c r="N457" s="10">
        <f>VLOOKUP(A457,dataset_2!$A$2:$G$611,5,0)</f>
        <v>3</v>
      </c>
      <c r="O457" s="10">
        <f>VLOOKUP(A457,dataset_2!$A$2:$G$611,6,0)</f>
        <v>51</v>
      </c>
      <c r="P457" s="10">
        <f>VLOOKUP(A457,dataset_2!$A$2:$G$611,7,0)</f>
        <v>54</v>
      </c>
      <c r="Q457" s="10"/>
      <c r="R457" s="10" t="str">
        <f t="shared" si="1"/>
        <v>OK</v>
      </c>
      <c r="S457" s="10">
        <f t="shared" si="2"/>
        <v>2</v>
      </c>
      <c r="T457" s="10" t="str">
        <f t="shared" si="3"/>
        <v>OK</v>
      </c>
      <c r="U457" s="10">
        <f t="shared" si="4"/>
        <v>1</v>
      </c>
      <c r="V457" s="10"/>
      <c r="W457" s="10"/>
      <c r="X457" s="10"/>
      <c r="Y457" s="10"/>
      <c r="Z457" s="10"/>
    </row>
    <row r="458" ht="13.5" customHeight="1">
      <c r="A458" s="10">
        <f>dataset_1!A262</f>
        <v>261</v>
      </c>
      <c r="B458" s="11">
        <f>dataset_1!B262</f>
        <v>40555</v>
      </c>
      <c r="C458" s="10">
        <f>dataset_1!C262</f>
        <v>1</v>
      </c>
      <c r="D458" s="10">
        <f>dataset_1!D262</f>
        <v>0</v>
      </c>
      <c r="E458" s="10">
        <f>dataset_1!E262</f>
        <v>1</v>
      </c>
      <c r="F458" s="10">
        <f>dataset_1!F262</f>
        <v>7</v>
      </c>
      <c r="G458" s="10" t="b">
        <f>dataset_1!G262</f>
        <v>0</v>
      </c>
      <c r="H458" s="10">
        <f>dataset_1!H262</f>
        <v>3</v>
      </c>
      <c r="I458" s="10">
        <f>dataset_1!I262</f>
        <v>1</v>
      </c>
      <c r="J458" s="10">
        <f>dataset_1!J262</f>
        <v>0.14</v>
      </c>
      <c r="K458" s="10">
        <f>VLOOKUP(A458,dataset_2!$A$2:$G$611,2,0)</f>
        <v>0.1515</v>
      </c>
      <c r="L458" s="10">
        <f>VLOOKUP(A458,dataset_2!$A$2:$G$611,3,0)</f>
        <v>0.69</v>
      </c>
      <c r="M458" s="10">
        <f>VLOOKUP(A458,dataset_2!$A$2:$G$611,4,0)</f>
        <v>0.1343</v>
      </c>
      <c r="N458" s="10">
        <f>VLOOKUP(A458,dataset_2!$A$2:$G$611,5,0)</f>
        <v>0</v>
      </c>
      <c r="O458" s="10">
        <f>VLOOKUP(A458,dataset_2!$A$2:$G$611,6,0)</f>
        <v>54</v>
      </c>
      <c r="P458" s="10">
        <f>VLOOKUP(A458,dataset_2!$A$2:$G$611,7,0)</f>
        <v>54</v>
      </c>
      <c r="Q458" s="10"/>
      <c r="R458" s="10" t="str">
        <f t="shared" si="1"/>
        <v>OK</v>
      </c>
      <c r="S458" s="10">
        <f t="shared" si="2"/>
        <v>2</v>
      </c>
      <c r="T458" s="10" t="str">
        <f t="shared" si="3"/>
        <v>OK</v>
      </c>
      <c r="U458" s="10">
        <f t="shared" si="4"/>
        <v>1</v>
      </c>
      <c r="V458" s="10"/>
      <c r="W458" s="10"/>
      <c r="X458" s="10"/>
      <c r="Y458" s="10"/>
      <c r="Z458" s="10"/>
    </row>
    <row r="459" ht="13.5" customHeight="1">
      <c r="A459" s="10">
        <f>dataset_1!A498</f>
        <v>497</v>
      </c>
      <c r="B459" s="11">
        <f>dataset_1!B498</f>
        <v>40565</v>
      </c>
      <c r="C459" s="10">
        <f>dataset_1!C498</f>
        <v>1</v>
      </c>
      <c r="D459" s="10">
        <f>dataset_1!D498</f>
        <v>0</v>
      </c>
      <c r="E459" s="10">
        <f>dataset_1!E498</f>
        <v>1</v>
      </c>
      <c r="F459" s="10">
        <f>dataset_1!F498</f>
        <v>18</v>
      </c>
      <c r="G459" s="10" t="b">
        <f>dataset_1!G498</f>
        <v>0</v>
      </c>
      <c r="H459" s="10">
        <f>dataset_1!H498</f>
        <v>6</v>
      </c>
      <c r="I459" s="10">
        <f>dataset_1!I498</f>
        <v>1</v>
      </c>
      <c r="J459" s="10">
        <f>dataset_1!J498</f>
        <v>0.08</v>
      </c>
      <c r="K459" s="10">
        <f>VLOOKUP(A459,dataset_2!$A$2:$G$611,2,0)</f>
        <v>0.0909</v>
      </c>
      <c r="L459" s="10">
        <f>VLOOKUP(A459,dataset_2!$A$2:$G$611,3,0)</f>
        <v>0.35</v>
      </c>
      <c r="M459" s="10">
        <f>VLOOKUP(A459,dataset_2!$A$2:$G$611,4,0)</f>
        <v>0.194</v>
      </c>
      <c r="N459" s="10">
        <f>VLOOKUP(A459,dataset_2!$A$2:$G$611,5,0)</f>
        <v>0</v>
      </c>
      <c r="O459" s="10">
        <f>VLOOKUP(A459,dataset_2!$A$2:$G$611,6,0)</f>
        <v>54</v>
      </c>
      <c r="P459" s="10">
        <f>VLOOKUP(A459,dataset_2!$A$2:$G$611,7,0)</f>
        <v>54</v>
      </c>
      <c r="Q459" s="10"/>
      <c r="R459" s="10" t="str">
        <f t="shared" si="1"/>
        <v>OK</v>
      </c>
      <c r="S459" s="10">
        <f t="shared" si="2"/>
        <v>2</v>
      </c>
      <c r="T459" s="10" t="str">
        <f t="shared" si="3"/>
        <v>OK</v>
      </c>
      <c r="U459" s="10">
        <f t="shared" si="4"/>
        <v>1</v>
      </c>
      <c r="V459" s="10"/>
      <c r="W459" s="10"/>
      <c r="X459" s="10"/>
      <c r="Y459" s="10"/>
      <c r="Z459" s="10"/>
    </row>
    <row r="460" ht="13.5" customHeight="1">
      <c r="A460" s="3">
        <v>678.0</v>
      </c>
      <c r="B460" s="12">
        <v>40574.0</v>
      </c>
      <c r="C460" s="3">
        <v>1.0</v>
      </c>
      <c r="D460" s="3">
        <v>0.0</v>
      </c>
      <c r="E460" s="3">
        <v>1.0</v>
      </c>
      <c r="F460" s="3">
        <v>13.0</v>
      </c>
      <c r="G460" s="3" t="b">
        <f t="shared" ref="G460:G463" si="53">FALSE()</f>
        <v>0</v>
      </c>
      <c r="H460" s="3">
        <v>1.0</v>
      </c>
      <c r="I460" s="3">
        <v>2.0</v>
      </c>
      <c r="J460" s="3">
        <v>0.16</v>
      </c>
      <c r="K460" s="3">
        <v>0.2273</v>
      </c>
      <c r="L460" s="3">
        <v>0.59</v>
      </c>
      <c r="M460" s="3">
        <v>0.0</v>
      </c>
      <c r="N460" s="3">
        <v>2.0</v>
      </c>
      <c r="O460" s="3">
        <v>52.0</v>
      </c>
      <c r="P460" s="3">
        <v>54.0</v>
      </c>
      <c r="Q460" s="10"/>
      <c r="R460" s="10" t="str">
        <f t="shared" si="1"/>
        <v>OK</v>
      </c>
      <c r="S460" s="10">
        <f t="shared" si="2"/>
        <v>2</v>
      </c>
      <c r="T460" s="10" t="str">
        <f t="shared" si="3"/>
        <v>OK</v>
      </c>
      <c r="U460" s="10">
        <f t="shared" si="4"/>
        <v>1</v>
      </c>
      <c r="V460" s="10"/>
      <c r="W460" s="10"/>
      <c r="X460" s="10"/>
      <c r="Y460" s="10"/>
      <c r="Z460" s="10"/>
    </row>
    <row r="461" ht="13.5" customHeight="1">
      <c r="A461" s="3">
        <v>702.0</v>
      </c>
      <c r="B461" s="12">
        <v>40575.0</v>
      </c>
      <c r="C461" s="3">
        <v>1.0</v>
      </c>
      <c r="D461" s="3">
        <v>0.0</v>
      </c>
      <c r="E461" s="3">
        <v>2.0</v>
      </c>
      <c r="F461" s="3">
        <v>14.0</v>
      </c>
      <c r="G461" s="3" t="b">
        <f t="shared" si="53"/>
        <v>0</v>
      </c>
      <c r="H461" s="3">
        <v>2.0</v>
      </c>
      <c r="I461" s="3">
        <v>2.0</v>
      </c>
      <c r="J461" s="3">
        <v>0.22</v>
      </c>
      <c r="K461" s="3">
        <v>0.2576</v>
      </c>
      <c r="L461" s="3">
        <v>0.8</v>
      </c>
      <c r="M461" s="3">
        <v>0.0896</v>
      </c>
      <c r="N461" s="3">
        <v>5.0</v>
      </c>
      <c r="O461" s="3">
        <v>49.0</v>
      </c>
      <c r="P461" s="3">
        <v>54.0</v>
      </c>
      <c r="Q461" s="10"/>
      <c r="R461" s="10" t="str">
        <f t="shared" si="1"/>
        <v>OK</v>
      </c>
      <c r="S461" s="10">
        <f t="shared" si="2"/>
        <v>2</v>
      </c>
      <c r="T461" s="10" t="str">
        <f t="shared" si="3"/>
        <v>OK</v>
      </c>
      <c r="U461" s="10">
        <f t="shared" si="4"/>
        <v>1</v>
      </c>
      <c r="V461" s="10"/>
      <c r="W461" s="10"/>
      <c r="X461" s="10"/>
      <c r="Y461" s="10"/>
      <c r="Z461" s="10"/>
    </row>
    <row r="462" ht="13.5" customHeight="1">
      <c r="A462" s="3">
        <v>756.0</v>
      </c>
      <c r="B462" s="12">
        <v>40577.0</v>
      </c>
      <c r="C462" s="3">
        <v>1.0</v>
      </c>
      <c r="D462" s="3">
        <v>0.0</v>
      </c>
      <c r="E462" s="3">
        <v>2.0</v>
      </c>
      <c r="F462" s="3">
        <v>21.0</v>
      </c>
      <c r="G462" s="3" t="b">
        <f t="shared" si="53"/>
        <v>0</v>
      </c>
      <c r="H462" s="3">
        <v>4.0</v>
      </c>
      <c r="I462" s="3">
        <v>1.0</v>
      </c>
      <c r="J462" s="3">
        <v>0.18</v>
      </c>
      <c r="K462" s="3">
        <v>0.2121</v>
      </c>
      <c r="L462" s="3">
        <v>0.55</v>
      </c>
      <c r="M462" s="3">
        <v>0.1045</v>
      </c>
      <c r="N462" s="3">
        <v>1.0</v>
      </c>
      <c r="O462" s="3">
        <v>53.0</v>
      </c>
      <c r="P462" s="3">
        <v>54.0</v>
      </c>
      <c r="Q462" s="10"/>
      <c r="R462" s="10" t="str">
        <f t="shared" si="1"/>
        <v>OK</v>
      </c>
      <c r="S462" s="10">
        <f t="shared" si="2"/>
        <v>2</v>
      </c>
      <c r="T462" s="10" t="str">
        <f t="shared" si="3"/>
        <v>OK</v>
      </c>
      <c r="U462" s="10">
        <f t="shared" si="4"/>
        <v>1</v>
      </c>
      <c r="V462" s="10"/>
      <c r="W462" s="10"/>
      <c r="X462" s="10"/>
      <c r="Y462" s="10"/>
      <c r="Z462" s="10"/>
    </row>
    <row r="463" ht="13.5" customHeight="1">
      <c r="A463" s="3">
        <v>875.0</v>
      </c>
      <c r="B463" s="12">
        <v>40582.0</v>
      </c>
      <c r="C463" s="3">
        <v>1.0</v>
      </c>
      <c r="D463" s="3">
        <v>0.0</v>
      </c>
      <c r="E463" s="3">
        <v>2.0</v>
      </c>
      <c r="F463" s="3">
        <v>21.0</v>
      </c>
      <c r="G463" s="3" t="b">
        <f t="shared" si="53"/>
        <v>0</v>
      </c>
      <c r="H463" s="3">
        <v>2.0</v>
      </c>
      <c r="I463" s="3">
        <v>1.0</v>
      </c>
      <c r="J463" s="3">
        <v>0.14</v>
      </c>
      <c r="K463" s="3">
        <v>0.1061</v>
      </c>
      <c r="L463" s="3">
        <v>0.33</v>
      </c>
      <c r="M463" s="3">
        <v>0.4627</v>
      </c>
      <c r="N463" s="3">
        <v>8.0</v>
      </c>
      <c r="O463" s="3">
        <v>46.0</v>
      </c>
      <c r="P463" s="3">
        <v>54.0</v>
      </c>
      <c r="Q463" s="10"/>
      <c r="R463" s="10" t="str">
        <f t="shared" si="1"/>
        <v>OK</v>
      </c>
      <c r="S463" s="10">
        <f t="shared" si="2"/>
        <v>2</v>
      </c>
      <c r="T463" s="10" t="str">
        <f t="shared" si="3"/>
        <v>OK</v>
      </c>
      <c r="U463" s="10">
        <f t="shared" si="4"/>
        <v>1</v>
      </c>
      <c r="V463" s="10"/>
      <c r="W463" s="10"/>
      <c r="X463" s="10"/>
      <c r="Y463" s="10"/>
      <c r="Z463" s="10"/>
    </row>
    <row r="464" ht="13.5" customHeight="1">
      <c r="A464" s="10">
        <f>dataset_1!A35</f>
        <v>34</v>
      </c>
      <c r="B464" s="11">
        <f>dataset_1!B35</f>
        <v>40545</v>
      </c>
      <c r="C464" s="10">
        <f>dataset_1!C35</f>
        <v>1</v>
      </c>
      <c r="D464" s="10">
        <f>dataset_1!D35</f>
        <v>0</v>
      </c>
      <c r="E464" s="10">
        <f>dataset_1!E35</f>
        <v>1</v>
      </c>
      <c r="F464" s="10">
        <f>dataset_1!F35</f>
        <v>10</v>
      </c>
      <c r="G464" s="10" t="b">
        <f>dataset_1!G35</f>
        <v>0</v>
      </c>
      <c r="H464" s="10">
        <f>dataset_1!H35</f>
        <v>0</v>
      </c>
      <c r="I464" s="10">
        <f>dataset_1!I35</f>
        <v>2</v>
      </c>
      <c r="J464" s="10">
        <f>dataset_1!J35</f>
        <v>0.36</v>
      </c>
      <c r="K464" s="10">
        <f>VLOOKUP(A464,dataset_2!$A$2:$G$611,2,0)</f>
        <v>0.3485</v>
      </c>
      <c r="L464" s="10">
        <f>VLOOKUP(A464,dataset_2!$A$2:$G$611,3,0)</f>
        <v>0.81</v>
      </c>
      <c r="M464" s="10">
        <f>VLOOKUP(A464,dataset_2!$A$2:$G$611,4,0)</f>
        <v>0.2239</v>
      </c>
      <c r="N464" s="10">
        <f>VLOOKUP(A464,dataset_2!$A$2:$G$611,5,0)</f>
        <v>7</v>
      </c>
      <c r="O464" s="10">
        <f>VLOOKUP(A464,dataset_2!$A$2:$G$611,6,0)</f>
        <v>46</v>
      </c>
      <c r="P464" s="10">
        <f>VLOOKUP(A464,dataset_2!$A$2:$G$611,7,0)</f>
        <v>53</v>
      </c>
      <c r="Q464" s="10"/>
      <c r="R464" s="10" t="str">
        <f t="shared" si="1"/>
        <v>OK</v>
      </c>
      <c r="S464" s="10">
        <f t="shared" si="2"/>
        <v>2</v>
      </c>
      <c r="T464" s="10" t="str">
        <f t="shared" si="3"/>
        <v>OK</v>
      </c>
      <c r="U464" s="10">
        <f t="shared" si="4"/>
        <v>1</v>
      </c>
      <c r="V464" s="10"/>
      <c r="W464" s="10"/>
      <c r="X464" s="10"/>
      <c r="Y464" s="10"/>
      <c r="Z464" s="10"/>
    </row>
    <row r="465" ht="13.5" customHeight="1">
      <c r="A465" s="10">
        <f>dataset_1!A43</f>
        <v>42</v>
      </c>
      <c r="B465" s="11">
        <f>dataset_1!B43</f>
        <v>40545</v>
      </c>
      <c r="C465" s="10">
        <f>dataset_1!C43</f>
        <v>1</v>
      </c>
      <c r="D465" s="10">
        <f>dataset_1!D43</f>
        <v>0</v>
      </c>
      <c r="E465" s="10">
        <f>dataset_1!E43</f>
        <v>1</v>
      </c>
      <c r="F465" s="10">
        <f>dataset_1!F43</f>
        <v>18</v>
      </c>
      <c r="G465" s="10" t="b">
        <f>dataset_1!G43</f>
        <v>0</v>
      </c>
      <c r="H465" s="10">
        <f>dataset_1!H43</f>
        <v>0</v>
      </c>
      <c r="I465" s="10">
        <f>dataset_1!I43</f>
        <v>2</v>
      </c>
      <c r="J465" s="10">
        <f>dataset_1!J43</f>
        <v>0.36</v>
      </c>
      <c r="K465" s="10">
        <f>VLOOKUP(A465,dataset_2!$A$2:$G$611,2,0)</f>
        <v>0.3333</v>
      </c>
      <c r="L465" s="10">
        <f>VLOOKUP(A465,dataset_2!$A$2:$G$611,3,0)</f>
        <v>0.46</v>
      </c>
      <c r="M465" s="10">
        <f>VLOOKUP(A465,dataset_2!$A$2:$G$611,4,0)</f>
        <v>0.3284</v>
      </c>
      <c r="N465" s="10">
        <f>VLOOKUP(A465,dataset_2!$A$2:$G$611,5,0)</f>
        <v>10</v>
      </c>
      <c r="O465" s="10">
        <f>VLOOKUP(A465,dataset_2!$A$2:$G$611,6,0)</f>
        <v>43</v>
      </c>
      <c r="P465" s="10">
        <f>VLOOKUP(A465,dataset_2!$A$2:$G$611,7,0)</f>
        <v>53</v>
      </c>
      <c r="Q465" s="10"/>
      <c r="R465" s="10" t="str">
        <f t="shared" si="1"/>
        <v>OK</v>
      </c>
      <c r="S465" s="10">
        <f t="shared" si="2"/>
        <v>2</v>
      </c>
      <c r="T465" s="10" t="str">
        <f t="shared" si="3"/>
        <v>OK</v>
      </c>
      <c r="U465" s="10">
        <f t="shared" si="4"/>
        <v>1</v>
      </c>
      <c r="V465" s="10"/>
      <c r="W465" s="10"/>
      <c r="X465" s="10"/>
      <c r="Y465" s="10"/>
      <c r="Z465" s="10"/>
    </row>
    <row r="466" ht="13.5" customHeight="1">
      <c r="A466" s="10">
        <f>dataset_1!A313</f>
        <v>312</v>
      </c>
      <c r="B466" s="11">
        <f>dataset_1!B313</f>
        <v>40557</v>
      </c>
      <c r="C466" s="10">
        <f>dataset_1!C313</f>
        <v>1</v>
      </c>
      <c r="D466" s="10">
        <f>dataset_1!D313</f>
        <v>0</v>
      </c>
      <c r="E466" s="10">
        <f>dataset_1!E313</f>
        <v>1</v>
      </c>
      <c r="F466" s="10">
        <f>dataset_1!F313</f>
        <v>11</v>
      </c>
      <c r="G466" s="10" t="b">
        <f>dataset_1!G313</f>
        <v>0</v>
      </c>
      <c r="H466" s="10">
        <f>dataset_1!H313</f>
        <v>5</v>
      </c>
      <c r="I466" s="10">
        <f>dataset_1!I313</f>
        <v>1</v>
      </c>
      <c r="J466" s="10">
        <f>dataset_1!J313</f>
        <v>0.18</v>
      </c>
      <c r="K466" s="10">
        <f>VLOOKUP(A466,dataset_2!$A$2:$G$611,2,0)</f>
        <v>0.1667</v>
      </c>
      <c r="L466" s="10">
        <f>VLOOKUP(A466,dataset_2!$A$2:$G$611,3,0)</f>
        <v>0.51</v>
      </c>
      <c r="M466" s="10">
        <f>VLOOKUP(A466,dataset_2!$A$2:$G$611,4,0)</f>
        <v>0.2836</v>
      </c>
      <c r="N466" s="10">
        <f>VLOOKUP(A466,dataset_2!$A$2:$G$611,5,0)</f>
        <v>6</v>
      </c>
      <c r="O466" s="10">
        <f>VLOOKUP(A466,dataset_2!$A$2:$G$611,6,0)</f>
        <v>47</v>
      </c>
      <c r="P466" s="10">
        <f>VLOOKUP(A466,dataset_2!$A$2:$G$611,7,0)</f>
        <v>53</v>
      </c>
      <c r="Q466" s="10"/>
      <c r="R466" s="10" t="str">
        <f t="shared" si="1"/>
        <v>OK</v>
      </c>
      <c r="S466" s="10">
        <f t="shared" si="2"/>
        <v>2</v>
      </c>
      <c r="T466" s="10" t="str">
        <f t="shared" si="3"/>
        <v>OK</v>
      </c>
      <c r="U466" s="10">
        <f t="shared" si="4"/>
        <v>1</v>
      </c>
      <c r="V466" s="10"/>
      <c r="W466" s="10"/>
      <c r="X466" s="10"/>
      <c r="Y466" s="10"/>
      <c r="Z466" s="10"/>
    </row>
    <row r="467" ht="13.5" customHeight="1">
      <c r="A467" s="10">
        <f>dataset_1!A477</f>
        <v>476</v>
      </c>
      <c r="B467" s="11">
        <f>dataset_1!B477</f>
        <v>40564</v>
      </c>
      <c r="C467" s="10">
        <f>dataset_1!C477</f>
        <v>1</v>
      </c>
      <c r="D467" s="10">
        <f>dataset_1!D477</f>
        <v>0</v>
      </c>
      <c r="E467" s="10">
        <f>dataset_1!E477</f>
        <v>1</v>
      </c>
      <c r="F467" s="10">
        <f>dataset_1!F477</f>
        <v>20</v>
      </c>
      <c r="G467" s="10" t="b">
        <f>dataset_1!G477</f>
        <v>0</v>
      </c>
      <c r="H467" s="10">
        <f>dataset_1!H477</f>
        <v>5</v>
      </c>
      <c r="I467" s="10">
        <f>dataset_1!I477</f>
        <v>1</v>
      </c>
      <c r="J467" s="10">
        <f>dataset_1!J477</f>
        <v>0.1</v>
      </c>
      <c r="K467" s="10">
        <f>VLOOKUP(A467,dataset_2!$A$2:$G$611,2,0)</f>
        <v>0.0758</v>
      </c>
      <c r="L467" s="10">
        <f>VLOOKUP(A467,dataset_2!$A$2:$G$611,3,0)</f>
        <v>0.33</v>
      </c>
      <c r="M467" s="10">
        <f>VLOOKUP(A467,dataset_2!$A$2:$G$611,4,0)</f>
        <v>0.4179</v>
      </c>
      <c r="N467" s="10">
        <f>VLOOKUP(A467,dataset_2!$A$2:$G$611,5,0)</f>
        <v>1</v>
      </c>
      <c r="O467" s="10">
        <f>VLOOKUP(A467,dataset_2!$A$2:$G$611,6,0)</f>
        <v>52</v>
      </c>
      <c r="P467" s="10">
        <f>VLOOKUP(A467,dataset_2!$A$2:$G$611,7,0)</f>
        <v>53</v>
      </c>
      <c r="Q467" s="10"/>
      <c r="R467" s="10" t="str">
        <f t="shared" si="1"/>
        <v>OK</v>
      </c>
      <c r="S467" s="10">
        <f t="shared" si="2"/>
        <v>2</v>
      </c>
      <c r="T467" s="10" t="str">
        <f t="shared" si="3"/>
        <v>OK</v>
      </c>
      <c r="U467" s="10">
        <f t="shared" si="4"/>
        <v>1</v>
      </c>
      <c r="V467" s="10"/>
      <c r="W467" s="10"/>
      <c r="X467" s="10"/>
      <c r="Y467" s="10"/>
      <c r="Z467" s="10"/>
    </row>
    <row r="468" ht="13.5" customHeight="1">
      <c r="A468" s="10">
        <f>dataset_1!A490</f>
        <v>489</v>
      </c>
      <c r="B468" s="11">
        <f>dataset_1!B490</f>
        <v>40565</v>
      </c>
      <c r="C468" s="10">
        <f>dataset_1!C490</f>
        <v>1</v>
      </c>
      <c r="D468" s="10">
        <f>dataset_1!D490</f>
        <v>0</v>
      </c>
      <c r="E468" s="10">
        <f>dataset_1!E490</f>
        <v>1</v>
      </c>
      <c r="F468" s="10">
        <f>dataset_1!F490</f>
        <v>10</v>
      </c>
      <c r="G468" s="10" t="b">
        <f>dataset_1!G490</f>
        <v>0</v>
      </c>
      <c r="H468" s="10">
        <f>dataset_1!H490</f>
        <v>6</v>
      </c>
      <c r="I468" s="10">
        <f>dataset_1!I490</f>
        <v>2</v>
      </c>
      <c r="J468" s="10">
        <f>dataset_1!J490</f>
        <v>0.04</v>
      </c>
      <c r="K468" s="10">
        <f>VLOOKUP(A468,dataset_2!$A$2:$G$611,2,0)</f>
        <v>0.0606</v>
      </c>
      <c r="L468" s="10">
        <f>VLOOKUP(A468,dataset_2!$A$2:$G$611,3,0)</f>
        <v>0.41</v>
      </c>
      <c r="M468" s="10">
        <f>VLOOKUP(A468,dataset_2!$A$2:$G$611,4,0)</f>
        <v>0.1642</v>
      </c>
      <c r="N468" s="10">
        <f>VLOOKUP(A468,dataset_2!$A$2:$G$611,5,0)</f>
        <v>3</v>
      </c>
      <c r="O468" s="10">
        <f>VLOOKUP(A468,dataset_2!$A$2:$G$611,6,0)</f>
        <v>50</v>
      </c>
      <c r="P468" s="10">
        <f>VLOOKUP(A468,dataset_2!$A$2:$G$611,7,0)</f>
        <v>53</v>
      </c>
      <c r="Q468" s="10"/>
      <c r="R468" s="10" t="str">
        <f t="shared" si="1"/>
        <v>OK</v>
      </c>
      <c r="S468" s="10">
        <f t="shared" si="2"/>
        <v>2</v>
      </c>
      <c r="T468" s="10" t="str">
        <f t="shared" si="3"/>
        <v>OK</v>
      </c>
      <c r="U468" s="10">
        <f t="shared" si="4"/>
        <v>1</v>
      </c>
      <c r="V468" s="10"/>
      <c r="W468" s="10"/>
      <c r="X468" s="10"/>
      <c r="Y468" s="10"/>
      <c r="Z468" s="10"/>
    </row>
    <row r="469" ht="13.5" customHeight="1">
      <c r="A469" s="10">
        <f>dataset_1!A571</f>
        <v>570</v>
      </c>
      <c r="B469" s="11">
        <f>dataset_1!B571</f>
        <v>40568</v>
      </c>
      <c r="C469" s="10">
        <f>dataset_1!C571</f>
        <v>1</v>
      </c>
      <c r="D469" s="10">
        <f>dataset_1!D571</f>
        <v>0</v>
      </c>
      <c r="E469" s="10">
        <f>dataset_1!E571</f>
        <v>1</v>
      </c>
      <c r="F469" s="10">
        <f>dataset_1!F571</f>
        <v>22</v>
      </c>
      <c r="G469" s="10" t="b">
        <f>dataset_1!G571</f>
        <v>0</v>
      </c>
      <c r="H469" s="10">
        <f>dataset_1!H571</f>
        <v>2</v>
      </c>
      <c r="I469" s="10">
        <f>dataset_1!I571</f>
        <v>1</v>
      </c>
      <c r="J469" s="10">
        <f>dataset_1!J571</f>
        <v>0.22</v>
      </c>
      <c r="K469" s="10">
        <f>VLOOKUP(A469,dataset_2!$A$2:$G$611,2,0)</f>
        <v>0.2273</v>
      </c>
      <c r="L469" s="10">
        <f>VLOOKUP(A469,dataset_2!$A$2:$G$611,3,0)</f>
        <v>0.64</v>
      </c>
      <c r="M469" s="10">
        <f>VLOOKUP(A469,dataset_2!$A$2:$G$611,4,0)</f>
        <v>0.1642</v>
      </c>
      <c r="N469" s="10">
        <f>VLOOKUP(A469,dataset_2!$A$2:$G$611,5,0)</f>
        <v>4</v>
      </c>
      <c r="O469" s="10">
        <f>VLOOKUP(A469,dataset_2!$A$2:$G$611,6,0)</f>
        <v>49</v>
      </c>
      <c r="P469" s="10">
        <f>VLOOKUP(A469,dataset_2!$A$2:$G$611,7,0)</f>
        <v>53</v>
      </c>
      <c r="Q469" s="10"/>
      <c r="R469" s="10" t="str">
        <f t="shared" si="1"/>
        <v>OK</v>
      </c>
      <c r="S469" s="10">
        <f t="shared" si="2"/>
        <v>2</v>
      </c>
      <c r="T469" s="10" t="str">
        <f t="shared" si="3"/>
        <v>OK</v>
      </c>
      <c r="U469" s="10">
        <f t="shared" si="4"/>
        <v>1</v>
      </c>
      <c r="V469" s="10"/>
      <c r="W469" s="10"/>
      <c r="X469" s="10"/>
      <c r="Y469" s="10"/>
      <c r="Z469" s="10"/>
    </row>
    <row r="470" ht="13.5" customHeight="1">
      <c r="A470" s="3">
        <v>945.0</v>
      </c>
      <c r="B470" s="12">
        <v>40585.0</v>
      </c>
      <c r="C470" s="3">
        <v>1.0</v>
      </c>
      <c r="D470" s="3">
        <v>0.0</v>
      </c>
      <c r="E470" s="3">
        <v>2.0</v>
      </c>
      <c r="F470" s="3">
        <v>23.0</v>
      </c>
      <c r="G470" s="3" t="b">
        <f>FALSE()</f>
        <v>0</v>
      </c>
      <c r="H470" s="3">
        <v>5.0</v>
      </c>
      <c r="I470" s="3">
        <v>1.0</v>
      </c>
      <c r="J470" s="3">
        <v>0.18</v>
      </c>
      <c r="K470" s="3">
        <v>0.2424</v>
      </c>
      <c r="L470" s="3">
        <v>0.69</v>
      </c>
      <c r="M470" s="3">
        <v>0.0</v>
      </c>
      <c r="N470" s="3">
        <v>5.0</v>
      </c>
      <c r="O470" s="3">
        <v>48.0</v>
      </c>
      <c r="P470" s="3">
        <v>53.0</v>
      </c>
      <c r="Q470" s="10"/>
      <c r="R470" s="10" t="str">
        <f t="shared" si="1"/>
        <v>OK</v>
      </c>
      <c r="S470" s="10">
        <f t="shared" si="2"/>
        <v>2</v>
      </c>
      <c r="T470" s="10" t="str">
        <f t="shared" si="3"/>
        <v>OK</v>
      </c>
      <c r="U470" s="10">
        <f t="shared" si="4"/>
        <v>1</v>
      </c>
      <c r="V470" s="10"/>
      <c r="W470" s="10"/>
      <c r="X470" s="10"/>
      <c r="Y470" s="10"/>
      <c r="Z470" s="10"/>
    </row>
    <row r="471" ht="13.5" customHeight="1">
      <c r="A471" s="10">
        <f>dataset_1!A67</f>
        <v>66</v>
      </c>
      <c r="B471" s="11">
        <f>dataset_1!B67</f>
        <v>40546</v>
      </c>
      <c r="C471" s="10">
        <f>dataset_1!C67</f>
        <v>1</v>
      </c>
      <c r="D471" s="10">
        <f>dataset_1!D67</f>
        <v>0</v>
      </c>
      <c r="E471" s="10">
        <f>dataset_1!E67</f>
        <v>1</v>
      </c>
      <c r="F471" s="10">
        <f>dataset_1!F67</f>
        <v>20</v>
      </c>
      <c r="G471" s="10" t="b">
        <f>dataset_1!G67</f>
        <v>0</v>
      </c>
      <c r="H471" s="10">
        <f>dataset_1!H67</f>
        <v>1</v>
      </c>
      <c r="I471" s="10">
        <f>dataset_1!I67</f>
        <v>1</v>
      </c>
      <c r="J471" s="10">
        <f>dataset_1!J67</f>
        <v>0.2</v>
      </c>
      <c r="K471" s="10" t="str">
        <f>VLOOKUP(A471,dataset_2!$A$2:$G$611,2,0)</f>
        <v/>
      </c>
      <c r="L471" s="10">
        <f>VLOOKUP(A471,dataset_2!$A$2:$G$611,3,0)</f>
        <v>0.47</v>
      </c>
      <c r="M471" s="10">
        <f>VLOOKUP(A471,dataset_2!$A$2:$G$611,4,0)</f>
        <v>0.1045</v>
      </c>
      <c r="N471" s="10">
        <f>VLOOKUP(A471,dataset_2!$A$2:$G$611,5,0)</f>
        <v>3</v>
      </c>
      <c r="O471" s="10">
        <f>VLOOKUP(A471,dataset_2!$A$2:$G$611,6,0)</f>
        <v>49</v>
      </c>
      <c r="P471" s="10">
        <f>VLOOKUP(A471,dataset_2!$A$2:$G$611,7,0)</f>
        <v>52</v>
      </c>
      <c r="Q471" s="10"/>
      <c r="R471" s="10" t="str">
        <f t="shared" si="1"/>
        <v>CHECK</v>
      </c>
      <c r="S471" s="10">
        <f t="shared" si="2"/>
        <v>2</v>
      </c>
      <c r="T471" s="10" t="str">
        <f t="shared" si="3"/>
        <v>OK</v>
      </c>
      <c r="U471" s="10">
        <f t="shared" si="4"/>
        <v>1</v>
      </c>
      <c r="V471" s="10"/>
      <c r="W471" s="10"/>
      <c r="X471" s="10"/>
      <c r="Y471" s="10"/>
      <c r="Z471" s="10"/>
    </row>
    <row r="472" ht="13.5" customHeight="1">
      <c r="A472" s="10">
        <f>dataset_1!A68</f>
        <v>67</v>
      </c>
      <c r="B472" s="11">
        <f>dataset_1!B68</f>
        <v>40546</v>
      </c>
      <c r="C472" s="10">
        <f>dataset_1!C68</f>
        <v>1</v>
      </c>
      <c r="D472" s="10">
        <f>dataset_1!D68</f>
        <v>0</v>
      </c>
      <c r="E472" s="10">
        <f>dataset_1!E68</f>
        <v>1</v>
      </c>
      <c r="F472" s="10">
        <f>dataset_1!F68</f>
        <v>21</v>
      </c>
      <c r="G472" s="10" t="b">
        <f>dataset_1!G68</f>
        <v>0</v>
      </c>
      <c r="H472" s="10">
        <f>dataset_1!H68</f>
        <v>1</v>
      </c>
      <c r="I472" s="10">
        <f>dataset_1!I68</f>
        <v>1</v>
      </c>
      <c r="J472" s="10">
        <f>dataset_1!J68</f>
        <v>0.18</v>
      </c>
      <c r="K472" s="10">
        <f>VLOOKUP(A472,dataset_2!$A$2:$G$611,2,0)</f>
        <v>0.197</v>
      </c>
      <c r="L472" s="10">
        <f>VLOOKUP(A472,dataset_2!$A$2:$G$611,3,0)</f>
        <v>0.64</v>
      </c>
      <c r="M472" s="10">
        <f>VLOOKUP(A472,dataset_2!$A$2:$G$611,4,0)</f>
        <v>0.1343</v>
      </c>
      <c r="N472" s="10">
        <f>VLOOKUP(A472,dataset_2!$A$2:$G$611,5,0)</f>
        <v>3</v>
      </c>
      <c r="O472" s="10">
        <f>VLOOKUP(A472,dataset_2!$A$2:$G$611,6,0)</f>
        <v>49</v>
      </c>
      <c r="P472" s="10">
        <f>VLOOKUP(A472,dataset_2!$A$2:$G$611,7,0)</f>
        <v>52</v>
      </c>
      <c r="Q472" s="10"/>
      <c r="R472" s="10" t="str">
        <f t="shared" si="1"/>
        <v>OK</v>
      </c>
      <c r="S472" s="10">
        <f t="shared" si="2"/>
        <v>1</v>
      </c>
      <c r="T472" s="10" t="str">
        <f t="shared" si="3"/>
        <v>OK</v>
      </c>
      <c r="U472" s="10">
        <f t="shared" si="4"/>
        <v>1</v>
      </c>
      <c r="V472" s="10"/>
      <c r="W472" s="10"/>
      <c r="X472" s="10"/>
      <c r="Y472" s="10"/>
      <c r="Z472" s="10"/>
    </row>
    <row r="473" ht="13.5" customHeight="1">
      <c r="A473" s="10">
        <f>dataset_1!A138</f>
        <v>137</v>
      </c>
      <c r="B473" s="11">
        <f>dataset_1!B138</f>
        <v>40549</v>
      </c>
      <c r="C473" s="10">
        <f>dataset_1!C138</f>
        <v>1</v>
      </c>
      <c r="D473" s="10">
        <f>dataset_1!D138</f>
        <v>0</v>
      </c>
      <c r="E473" s="10">
        <f>dataset_1!E138</f>
        <v>1</v>
      </c>
      <c r="F473" s="10">
        <f>dataset_1!F138</f>
        <v>22</v>
      </c>
      <c r="G473" s="10" t="b">
        <f>dataset_1!G138</f>
        <v>0</v>
      </c>
      <c r="H473" s="10">
        <f>dataset_1!H138</f>
        <v>4</v>
      </c>
      <c r="I473" s="10">
        <f>dataset_1!I138</f>
        <v>2</v>
      </c>
      <c r="J473" s="10">
        <f>dataset_1!J138</f>
        <v>0.22</v>
      </c>
      <c r="K473" s="10">
        <f>VLOOKUP(A473,dataset_2!$A$2:$G$611,2,0)</f>
        <v>0.2121</v>
      </c>
      <c r="L473" s="10">
        <f>VLOOKUP(A473,dataset_2!$A$2:$G$611,3,0)</f>
        <v>0.51</v>
      </c>
      <c r="M473" s="10">
        <f>VLOOKUP(A473,dataset_2!$A$2:$G$611,4,0)</f>
        <v>0.2836</v>
      </c>
      <c r="N473" s="10">
        <f>VLOOKUP(A473,dataset_2!$A$2:$G$611,5,0)</f>
        <v>1</v>
      </c>
      <c r="O473" s="10">
        <f>VLOOKUP(A473,dataset_2!$A$2:$G$611,6,0)</f>
        <v>51</v>
      </c>
      <c r="P473" s="10">
        <f>VLOOKUP(A473,dataset_2!$A$2:$G$611,7,0)</f>
        <v>52</v>
      </c>
      <c r="Q473" s="10"/>
      <c r="R473" s="10" t="str">
        <f t="shared" si="1"/>
        <v>OK</v>
      </c>
      <c r="S473" s="10">
        <f t="shared" si="2"/>
        <v>1</v>
      </c>
      <c r="T473" s="10" t="str">
        <f t="shared" si="3"/>
        <v>OK</v>
      </c>
      <c r="U473" s="10">
        <f t="shared" si="4"/>
        <v>1</v>
      </c>
      <c r="V473" s="10"/>
      <c r="W473" s="10"/>
      <c r="X473" s="10"/>
      <c r="Y473" s="10"/>
      <c r="Z473" s="10"/>
    </row>
    <row r="474" ht="13.5" customHeight="1">
      <c r="A474" s="10">
        <f>dataset_1!A223</f>
        <v>222</v>
      </c>
      <c r="B474" s="11">
        <f>dataset_1!B223</f>
        <v>40553</v>
      </c>
      <c r="C474" s="10">
        <f>dataset_1!C223</f>
        <v>1</v>
      </c>
      <c r="D474" s="10">
        <f>dataset_1!D223</f>
        <v>0</v>
      </c>
      <c r="E474" s="10">
        <f>dataset_1!E223</f>
        <v>1</v>
      </c>
      <c r="F474" s="10">
        <f>dataset_1!F223</f>
        <v>12</v>
      </c>
      <c r="G474" s="10" t="b">
        <f>dataset_1!G223</f>
        <v>0</v>
      </c>
      <c r="H474" s="10">
        <f>dataset_1!H223</f>
        <v>1</v>
      </c>
      <c r="I474" s="10">
        <f>dataset_1!I223</f>
        <v>2</v>
      </c>
      <c r="J474" s="10">
        <f>dataset_1!J223</f>
        <v>0.2</v>
      </c>
      <c r="K474" s="10">
        <f>VLOOKUP(A474,dataset_2!$A$2:$G$611,2,0)</f>
        <v>0.1818</v>
      </c>
      <c r="L474" s="10">
        <f>VLOOKUP(A474,dataset_2!$A$2:$G$611,3,0)</f>
        <v>0.4</v>
      </c>
      <c r="M474" s="10">
        <f>VLOOKUP(A474,dataset_2!$A$2:$G$611,4,0)</f>
        <v>0.2836</v>
      </c>
      <c r="N474" s="10">
        <f>VLOOKUP(A474,dataset_2!$A$2:$G$611,5,0)</f>
        <v>5</v>
      </c>
      <c r="O474" s="10">
        <f>VLOOKUP(A474,dataset_2!$A$2:$G$611,6,0)</f>
        <v>47</v>
      </c>
      <c r="P474" s="10">
        <f>VLOOKUP(A474,dataset_2!$A$2:$G$611,7,0)</f>
        <v>52</v>
      </c>
      <c r="Q474" s="10"/>
      <c r="R474" s="10" t="str">
        <f t="shared" si="1"/>
        <v>OK</v>
      </c>
      <c r="S474" s="10">
        <f t="shared" si="2"/>
        <v>1</v>
      </c>
      <c r="T474" s="10" t="str">
        <f t="shared" si="3"/>
        <v>OK</v>
      </c>
      <c r="U474" s="10">
        <f t="shared" si="4"/>
        <v>1</v>
      </c>
      <c r="V474" s="10"/>
      <c r="W474" s="10"/>
      <c r="X474" s="10"/>
      <c r="Y474" s="10"/>
      <c r="Z474" s="10"/>
    </row>
    <row r="475" ht="13.5" customHeight="1">
      <c r="A475" s="10">
        <f>dataset_1!A246</f>
        <v>245</v>
      </c>
      <c r="B475" s="11">
        <f>dataset_1!B246</f>
        <v>40554</v>
      </c>
      <c r="C475" s="10">
        <f>dataset_1!C246</f>
        <v>1</v>
      </c>
      <c r="D475" s="10">
        <f>dataset_1!D246</f>
        <v>0</v>
      </c>
      <c r="E475" s="10">
        <f>dataset_1!E246</f>
        <v>1</v>
      </c>
      <c r="F475" s="10">
        <f>dataset_1!F246</f>
        <v>13</v>
      </c>
      <c r="G475" s="10" t="b">
        <f>dataset_1!G246</f>
        <v>0</v>
      </c>
      <c r="H475" s="10">
        <f>dataset_1!H246</f>
        <v>2</v>
      </c>
      <c r="I475" s="10">
        <f>dataset_1!I246</f>
        <v>2</v>
      </c>
      <c r="J475" s="10">
        <f>dataset_1!J246</f>
        <v>0.2</v>
      </c>
      <c r="K475" s="10">
        <f>VLOOKUP(A475,dataset_2!$A$2:$G$611,2,0)</f>
        <v>0.2273</v>
      </c>
      <c r="L475" s="10">
        <f>VLOOKUP(A475,dataset_2!$A$2:$G$611,3,0)</f>
        <v>0.59</v>
      </c>
      <c r="M475" s="10">
        <f>VLOOKUP(A475,dataset_2!$A$2:$G$611,4,0)</f>
        <v>0.0896</v>
      </c>
      <c r="N475" s="10">
        <f>VLOOKUP(A475,dataset_2!$A$2:$G$611,5,0)</f>
        <v>6</v>
      </c>
      <c r="O475" s="10">
        <f>VLOOKUP(A475,dataset_2!$A$2:$G$611,6,0)</f>
        <v>46</v>
      </c>
      <c r="P475" s="10">
        <f>VLOOKUP(A475,dataset_2!$A$2:$G$611,7,0)</f>
        <v>52</v>
      </c>
      <c r="Q475" s="10"/>
      <c r="R475" s="10" t="str">
        <f t="shared" si="1"/>
        <v>OK</v>
      </c>
      <c r="S475" s="10">
        <f t="shared" si="2"/>
        <v>1</v>
      </c>
      <c r="T475" s="10" t="str">
        <f t="shared" si="3"/>
        <v>OK</v>
      </c>
      <c r="U475" s="10">
        <f t="shared" si="4"/>
        <v>1</v>
      </c>
      <c r="V475" s="10"/>
      <c r="W475" s="10"/>
      <c r="X475" s="10"/>
      <c r="Y475" s="10"/>
      <c r="Z475" s="10"/>
    </row>
    <row r="476" ht="13.5" customHeight="1">
      <c r="A476" s="10">
        <f>dataset_1!A291</f>
        <v>290</v>
      </c>
      <c r="B476" s="11">
        <f>dataset_1!B291</f>
        <v>40556</v>
      </c>
      <c r="C476" s="10">
        <f>dataset_1!C291</f>
        <v>1</v>
      </c>
      <c r="D476" s="10">
        <f>dataset_1!D291</f>
        <v>0</v>
      </c>
      <c r="E476" s="10">
        <f>dataset_1!E291</f>
        <v>1</v>
      </c>
      <c r="F476" s="10">
        <f>dataset_1!F291</f>
        <v>12</v>
      </c>
      <c r="G476" s="10" t="b">
        <f>dataset_1!G291</f>
        <v>0</v>
      </c>
      <c r="H476" s="10">
        <f>dataset_1!H291</f>
        <v>4</v>
      </c>
      <c r="I476" s="10">
        <f>dataset_1!I291</f>
        <v>1</v>
      </c>
      <c r="J476" s="10">
        <f>dataset_1!J291</f>
        <v>0.2</v>
      </c>
      <c r="K476" s="10">
        <f>VLOOKUP(A476,dataset_2!$A$2:$G$611,2,0)</f>
        <v>0.1667</v>
      </c>
      <c r="L476" s="10">
        <f>VLOOKUP(A476,dataset_2!$A$2:$G$611,3,0)</f>
        <v>0.44</v>
      </c>
      <c r="M476" s="10">
        <f>VLOOKUP(A476,dataset_2!$A$2:$G$611,4,0)</f>
        <v>0.4179</v>
      </c>
      <c r="N476" s="10">
        <f>VLOOKUP(A476,dataset_2!$A$2:$G$611,5,0)</f>
        <v>3</v>
      </c>
      <c r="O476" s="10">
        <f>VLOOKUP(A476,dataset_2!$A$2:$G$611,6,0)</f>
        <v>49</v>
      </c>
      <c r="P476" s="10">
        <f>VLOOKUP(A476,dataset_2!$A$2:$G$611,7,0)</f>
        <v>52</v>
      </c>
      <c r="Q476" s="10"/>
      <c r="R476" s="10" t="str">
        <f t="shared" si="1"/>
        <v>OK</v>
      </c>
      <c r="S476" s="10">
        <f t="shared" si="2"/>
        <v>1</v>
      </c>
      <c r="T476" s="10" t="str">
        <f t="shared" si="3"/>
        <v>OK</v>
      </c>
      <c r="U476" s="10">
        <f t="shared" si="4"/>
        <v>1</v>
      </c>
      <c r="V476" s="10"/>
      <c r="W476" s="10"/>
      <c r="X476" s="10"/>
      <c r="Y476" s="10"/>
      <c r="Z476" s="10"/>
    </row>
    <row r="477" ht="13.5" customHeight="1">
      <c r="A477" s="10">
        <f>dataset_1!A323</f>
        <v>322</v>
      </c>
      <c r="B477" s="11">
        <f>dataset_1!B323</f>
        <v>40557</v>
      </c>
      <c r="C477" s="10">
        <f>dataset_1!C323</f>
        <v>1</v>
      </c>
      <c r="D477" s="10">
        <f>dataset_1!D323</f>
        <v>0</v>
      </c>
      <c r="E477" s="10">
        <f>dataset_1!E323</f>
        <v>1</v>
      </c>
      <c r="F477" s="10">
        <f>dataset_1!F323</f>
        <v>21</v>
      </c>
      <c r="G477" s="10" t="b">
        <f>dataset_1!G323</f>
        <v>0</v>
      </c>
      <c r="H477" s="10">
        <f>dataset_1!H323</f>
        <v>5</v>
      </c>
      <c r="I477" s="10">
        <f>dataset_1!I323</f>
        <v>1</v>
      </c>
      <c r="J477" s="10">
        <f>dataset_1!J323</f>
        <v>0.16</v>
      </c>
      <c r="K477" s="10">
        <f>VLOOKUP(A477,dataset_2!$A$2:$G$611,2,0)</f>
        <v>0.2273</v>
      </c>
      <c r="L477" s="10">
        <f>VLOOKUP(A477,dataset_2!$A$2:$G$611,3,0)</f>
        <v>0.69</v>
      </c>
      <c r="M477" s="10">
        <f>VLOOKUP(A477,dataset_2!$A$2:$G$611,4,0)</f>
        <v>0</v>
      </c>
      <c r="N477" s="10">
        <f>VLOOKUP(A477,dataset_2!$A$2:$G$611,5,0)</f>
        <v>4</v>
      </c>
      <c r="O477" s="10">
        <f>VLOOKUP(A477,dataset_2!$A$2:$G$611,6,0)</f>
        <v>48</v>
      </c>
      <c r="P477" s="10">
        <f>VLOOKUP(A477,dataset_2!$A$2:$G$611,7,0)</f>
        <v>52</v>
      </c>
      <c r="Q477" s="10"/>
      <c r="R477" s="10" t="str">
        <f t="shared" si="1"/>
        <v>OK</v>
      </c>
      <c r="S477" s="10">
        <f t="shared" si="2"/>
        <v>1</v>
      </c>
      <c r="T477" s="10" t="str">
        <f t="shared" si="3"/>
        <v>OK</v>
      </c>
      <c r="U477" s="10">
        <f t="shared" si="4"/>
        <v>1</v>
      </c>
      <c r="V477" s="10"/>
      <c r="W477" s="10"/>
      <c r="X477" s="10"/>
      <c r="Y477" s="10"/>
      <c r="Z477" s="10"/>
    </row>
    <row r="478" ht="13.5" customHeight="1">
      <c r="A478" s="10">
        <f>dataset_1!A420</f>
        <v>419</v>
      </c>
      <c r="B478" s="11">
        <f>dataset_1!B420</f>
        <v>40562</v>
      </c>
      <c r="C478" s="10">
        <f>dataset_1!C420</f>
        <v>1</v>
      </c>
      <c r="D478" s="10">
        <f>dataset_1!D420</f>
        <v>0</v>
      </c>
      <c r="E478" s="10">
        <f>dataset_1!E420</f>
        <v>1</v>
      </c>
      <c r="F478" s="10">
        <f>dataset_1!F420</f>
        <v>11</v>
      </c>
      <c r="G478" s="10" t="b">
        <f>dataset_1!G420</f>
        <v>0</v>
      </c>
      <c r="H478" s="10">
        <f>dataset_1!H420</f>
        <v>3</v>
      </c>
      <c r="I478" s="10">
        <f>dataset_1!I420</f>
        <v>2</v>
      </c>
      <c r="J478" s="10">
        <f>dataset_1!J420</f>
        <v>0.28</v>
      </c>
      <c r="K478" s="10">
        <f>VLOOKUP(A478,dataset_2!$A$2:$G$611,2,0)</f>
        <v>0.303</v>
      </c>
      <c r="L478" s="10">
        <f>VLOOKUP(A478,dataset_2!$A$2:$G$611,3,0)</f>
        <v>0.87</v>
      </c>
      <c r="M478" s="10">
        <f>VLOOKUP(A478,dataset_2!$A$2:$G$611,4,0)</f>
        <v>0.0896</v>
      </c>
      <c r="N478" s="10">
        <f>VLOOKUP(A478,dataset_2!$A$2:$G$611,5,0)</f>
        <v>5</v>
      </c>
      <c r="O478" s="10">
        <f>VLOOKUP(A478,dataset_2!$A$2:$G$611,6,0)</f>
        <v>47</v>
      </c>
      <c r="P478" s="10">
        <f>VLOOKUP(A478,dataset_2!$A$2:$G$611,7,0)</f>
        <v>52</v>
      </c>
      <c r="Q478" s="10"/>
      <c r="R478" s="10" t="str">
        <f t="shared" si="1"/>
        <v>OK</v>
      </c>
      <c r="S478" s="10">
        <f t="shared" si="2"/>
        <v>1</v>
      </c>
      <c r="T478" s="10" t="str">
        <f t="shared" si="3"/>
        <v>OK</v>
      </c>
      <c r="U478" s="10">
        <f t="shared" si="4"/>
        <v>1</v>
      </c>
      <c r="V478" s="10"/>
      <c r="W478" s="10"/>
      <c r="X478" s="10"/>
      <c r="Y478" s="10"/>
      <c r="Z478" s="10"/>
    </row>
    <row r="479" ht="13.5" customHeight="1">
      <c r="A479" s="3">
        <v>695.0</v>
      </c>
      <c r="B479" s="12">
        <v>40575.0</v>
      </c>
      <c r="C479" s="3">
        <v>1.0</v>
      </c>
      <c r="D479" s="3">
        <v>0.0</v>
      </c>
      <c r="E479" s="3">
        <v>2.0</v>
      </c>
      <c r="F479" s="3">
        <v>7.0</v>
      </c>
      <c r="G479" s="3" t="b">
        <f t="shared" ref="G479:G484" si="54">FALSE()</f>
        <v>0</v>
      </c>
      <c r="H479" s="3">
        <v>2.0</v>
      </c>
      <c r="I479" s="3">
        <v>3.0</v>
      </c>
      <c r="J479" s="3">
        <v>0.16</v>
      </c>
      <c r="K479" s="3">
        <v>0.2273</v>
      </c>
      <c r="L479" s="3">
        <v>0.93</v>
      </c>
      <c r="M479" s="3">
        <v>0.0</v>
      </c>
      <c r="N479" s="3">
        <v>0.0</v>
      </c>
      <c r="O479" s="3">
        <v>52.0</v>
      </c>
      <c r="P479" s="3">
        <v>52.0</v>
      </c>
      <c r="Q479" s="10"/>
      <c r="R479" s="10" t="str">
        <f t="shared" si="1"/>
        <v>OK</v>
      </c>
      <c r="S479" s="10">
        <f t="shared" si="2"/>
        <v>1</v>
      </c>
      <c r="T479" s="10" t="str">
        <f t="shared" si="3"/>
        <v>OK</v>
      </c>
      <c r="U479" s="10">
        <f t="shared" si="4"/>
        <v>1</v>
      </c>
      <c r="V479" s="10"/>
      <c r="W479" s="10"/>
      <c r="X479" s="10"/>
      <c r="Y479" s="10"/>
      <c r="Z479" s="10"/>
    </row>
    <row r="480" ht="13.5" customHeight="1">
      <c r="A480" s="3">
        <v>701.0</v>
      </c>
      <c r="B480" s="12">
        <v>40575.0</v>
      </c>
      <c r="C480" s="3">
        <v>1.0</v>
      </c>
      <c r="D480" s="3">
        <v>0.0</v>
      </c>
      <c r="E480" s="3">
        <v>2.0</v>
      </c>
      <c r="F480" s="3">
        <v>13.0</v>
      </c>
      <c r="G480" s="3" t="b">
        <f t="shared" si="54"/>
        <v>0</v>
      </c>
      <c r="H480" s="3">
        <v>2.0</v>
      </c>
      <c r="I480" s="3">
        <v>2.0</v>
      </c>
      <c r="J480" s="3">
        <v>0.2</v>
      </c>
      <c r="K480" s="3">
        <v>0.2576</v>
      </c>
      <c r="L480" s="3">
        <v>0.86</v>
      </c>
      <c r="M480" s="3">
        <v>0.0</v>
      </c>
      <c r="N480" s="3">
        <v>3.0</v>
      </c>
      <c r="O480" s="3">
        <v>49.0</v>
      </c>
      <c r="P480" s="3">
        <v>52.0</v>
      </c>
      <c r="Q480" s="10"/>
      <c r="R480" s="10" t="str">
        <f t="shared" si="1"/>
        <v>OK</v>
      </c>
      <c r="S480" s="10">
        <f t="shared" si="2"/>
        <v>1</v>
      </c>
      <c r="T480" s="10" t="str">
        <f t="shared" si="3"/>
        <v>OK</v>
      </c>
      <c r="U480" s="10">
        <f t="shared" si="4"/>
        <v>1</v>
      </c>
      <c r="V480" s="10"/>
      <c r="W480" s="10"/>
      <c r="X480" s="10"/>
      <c r="Y480" s="10"/>
      <c r="Z480" s="10"/>
    </row>
    <row r="481" ht="13.5" customHeight="1">
      <c r="A481" s="3">
        <v>703.0</v>
      </c>
      <c r="B481" s="12">
        <v>40575.0</v>
      </c>
      <c r="C481" s="3">
        <v>1.0</v>
      </c>
      <c r="D481" s="3">
        <v>0.0</v>
      </c>
      <c r="E481" s="3">
        <v>2.0</v>
      </c>
      <c r="F481" s="3">
        <v>15.0</v>
      </c>
      <c r="G481" s="3" t="b">
        <f t="shared" si="54"/>
        <v>0</v>
      </c>
      <c r="H481" s="3">
        <v>2.0</v>
      </c>
      <c r="I481" s="3">
        <v>2.0</v>
      </c>
      <c r="J481" s="3">
        <v>0.24</v>
      </c>
      <c r="K481" s="3">
        <v>0.2879</v>
      </c>
      <c r="L481" s="3">
        <v>0.75</v>
      </c>
      <c r="M481" s="3">
        <v>0.0</v>
      </c>
      <c r="N481" s="3">
        <v>7.0</v>
      </c>
      <c r="O481" s="3">
        <v>45.0</v>
      </c>
      <c r="P481" s="3">
        <v>52.0</v>
      </c>
      <c r="Q481" s="10"/>
      <c r="R481" s="10" t="str">
        <f t="shared" si="1"/>
        <v>OK</v>
      </c>
      <c r="S481" s="10">
        <f t="shared" si="2"/>
        <v>1</v>
      </c>
      <c r="T481" s="10" t="str">
        <f t="shared" si="3"/>
        <v>OK</v>
      </c>
      <c r="U481" s="10">
        <f t="shared" si="4"/>
        <v>1</v>
      </c>
      <c r="V481" s="10"/>
      <c r="W481" s="10"/>
      <c r="X481" s="10"/>
      <c r="Y481" s="10"/>
      <c r="Z481" s="10"/>
    </row>
    <row r="482" ht="13.5" customHeight="1">
      <c r="A482" s="3">
        <v>723.0</v>
      </c>
      <c r="B482" s="12">
        <v>40576.0</v>
      </c>
      <c r="C482" s="3">
        <v>1.0</v>
      </c>
      <c r="D482" s="3">
        <v>0.0</v>
      </c>
      <c r="E482" s="3">
        <v>2.0</v>
      </c>
      <c r="F482" s="3">
        <v>11.0</v>
      </c>
      <c r="G482" s="3" t="b">
        <f t="shared" si="54"/>
        <v>0</v>
      </c>
      <c r="H482" s="3">
        <v>3.0</v>
      </c>
      <c r="I482" s="3">
        <v>2.0</v>
      </c>
      <c r="J482" s="3">
        <v>0.24</v>
      </c>
      <c r="K482" s="3">
        <v>0.2273</v>
      </c>
      <c r="L482" s="3">
        <v>0.93</v>
      </c>
      <c r="M482" s="3">
        <v>0.194</v>
      </c>
      <c r="N482" s="3">
        <v>5.0</v>
      </c>
      <c r="O482" s="3">
        <v>47.0</v>
      </c>
      <c r="P482" s="3">
        <v>52.0</v>
      </c>
      <c r="Q482" s="10"/>
      <c r="R482" s="10" t="str">
        <f t="shared" si="1"/>
        <v>OK</v>
      </c>
      <c r="S482" s="10">
        <f t="shared" si="2"/>
        <v>1</v>
      </c>
      <c r="T482" s="10" t="str">
        <f t="shared" si="3"/>
        <v>OK</v>
      </c>
      <c r="U482" s="10">
        <f t="shared" si="4"/>
        <v>1</v>
      </c>
      <c r="V482" s="10"/>
      <c r="W482" s="10"/>
      <c r="X482" s="10"/>
      <c r="Y482" s="10"/>
      <c r="Z482" s="10"/>
    </row>
    <row r="483" ht="13.5" customHeight="1">
      <c r="A483" s="3">
        <v>745.0</v>
      </c>
      <c r="B483" s="12">
        <v>40577.0</v>
      </c>
      <c r="C483" s="3">
        <v>1.0</v>
      </c>
      <c r="D483" s="3">
        <v>0.0</v>
      </c>
      <c r="E483" s="3">
        <v>2.0</v>
      </c>
      <c r="F483" s="3">
        <v>10.0</v>
      </c>
      <c r="G483" s="3" t="b">
        <f t="shared" si="54"/>
        <v>0</v>
      </c>
      <c r="H483" s="3">
        <v>4.0</v>
      </c>
      <c r="I483" s="3">
        <v>1.0</v>
      </c>
      <c r="J483" s="3">
        <v>0.18</v>
      </c>
      <c r="K483" s="3">
        <v>0.1515</v>
      </c>
      <c r="L483" s="3">
        <v>0.43</v>
      </c>
      <c r="M483" s="3">
        <v>0.3284</v>
      </c>
      <c r="N483" s="3">
        <v>2.0</v>
      </c>
      <c r="O483" s="3">
        <v>50.0</v>
      </c>
      <c r="P483" s="3">
        <v>52.0</v>
      </c>
      <c r="Q483" s="10"/>
      <c r="R483" s="10" t="str">
        <f t="shared" si="1"/>
        <v>OK</v>
      </c>
      <c r="S483" s="10">
        <f t="shared" si="2"/>
        <v>1</v>
      </c>
      <c r="T483" s="10" t="str">
        <f t="shared" si="3"/>
        <v>OK</v>
      </c>
      <c r="U483" s="10">
        <f t="shared" si="4"/>
        <v>1</v>
      </c>
      <c r="V483" s="10"/>
      <c r="W483" s="10"/>
      <c r="X483" s="10"/>
      <c r="Y483" s="10"/>
      <c r="Z483" s="10"/>
    </row>
    <row r="484" ht="13.5" customHeight="1">
      <c r="A484" s="3">
        <v>794.0</v>
      </c>
      <c r="B484" s="12">
        <v>40579.0</v>
      </c>
      <c r="C484" s="3">
        <v>1.0</v>
      </c>
      <c r="D484" s="3">
        <v>0.0</v>
      </c>
      <c r="E484" s="3">
        <v>2.0</v>
      </c>
      <c r="F484" s="3">
        <v>12.0</v>
      </c>
      <c r="G484" s="3" t="b">
        <f t="shared" si="54"/>
        <v>0</v>
      </c>
      <c r="H484" s="3">
        <v>6.0</v>
      </c>
      <c r="I484" s="3">
        <v>3.0</v>
      </c>
      <c r="J484" s="3">
        <v>0.22</v>
      </c>
      <c r="K484" s="3">
        <v>0.2273</v>
      </c>
      <c r="L484" s="3">
        <v>1.0</v>
      </c>
      <c r="M484" s="3">
        <v>0.1642</v>
      </c>
      <c r="N484" s="3">
        <v>10.0</v>
      </c>
      <c r="O484" s="3">
        <v>42.0</v>
      </c>
      <c r="P484" s="3">
        <v>52.0</v>
      </c>
      <c r="Q484" s="10"/>
      <c r="R484" s="10" t="str">
        <f t="shared" si="1"/>
        <v>OK</v>
      </c>
      <c r="S484" s="10">
        <f t="shared" si="2"/>
        <v>1</v>
      </c>
      <c r="T484" s="10" t="str">
        <f t="shared" si="3"/>
        <v>OK</v>
      </c>
      <c r="U484" s="10">
        <f t="shared" si="4"/>
        <v>1</v>
      </c>
      <c r="V484" s="10"/>
      <c r="W484" s="10"/>
      <c r="X484" s="10"/>
      <c r="Y484" s="10"/>
      <c r="Z484" s="10"/>
    </row>
    <row r="485" ht="13.5" customHeight="1">
      <c r="A485" s="10">
        <f>dataset_1!A58</f>
        <v>57</v>
      </c>
      <c r="B485" s="11">
        <f>dataset_1!B58</f>
        <v>40546</v>
      </c>
      <c r="C485" s="10">
        <f>dataset_1!C58</f>
        <v>1</v>
      </c>
      <c r="D485" s="10">
        <f>dataset_1!D58</f>
        <v>0</v>
      </c>
      <c r="E485" s="10">
        <f>dataset_1!E58</f>
        <v>1</v>
      </c>
      <c r="F485" s="10">
        <f>dataset_1!F58</f>
        <v>11</v>
      </c>
      <c r="G485" s="10" t="b">
        <f>dataset_1!G58</f>
        <v>0</v>
      </c>
      <c r="H485" s="10">
        <f>dataset_1!H58</f>
        <v>1</v>
      </c>
      <c r="I485" s="10">
        <f>dataset_1!I58</f>
        <v>1</v>
      </c>
      <c r="J485" s="10">
        <f>dataset_1!J58</f>
        <v>0.2</v>
      </c>
      <c r="K485" s="10">
        <f>VLOOKUP(A485,dataset_2!$A$2:$G$611,2,0)</f>
        <v>0.1818</v>
      </c>
      <c r="L485" s="10">
        <f>VLOOKUP(A485,dataset_2!$A$2:$G$611,3,0)</f>
        <v>0.4</v>
      </c>
      <c r="M485" s="10">
        <f>VLOOKUP(A485,dataset_2!$A$2:$G$611,4,0)</f>
        <v>0.3284</v>
      </c>
      <c r="N485" s="10">
        <f>VLOOKUP(A485,dataset_2!$A$2:$G$611,5,0)</f>
        <v>10</v>
      </c>
      <c r="O485" s="10">
        <f>VLOOKUP(A485,dataset_2!$A$2:$G$611,6,0)</f>
        <v>41</v>
      </c>
      <c r="P485" s="10">
        <f>VLOOKUP(A485,dataset_2!$A$2:$G$611,7,0)</f>
        <v>51</v>
      </c>
      <c r="Q485" s="10"/>
      <c r="R485" s="10" t="str">
        <f t="shared" si="1"/>
        <v>OK</v>
      </c>
      <c r="S485" s="10">
        <f t="shared" si="2"/>
        <v>1</v>
      </c>
      <c r="T485" s="10" t="str">
        <f t="shared" si="3"/>
        <v>OK</v>
      </c>
      <c r="U485" s="10">
        <f t="shared" si="4"/>
        <v>1</v>
      </c>
      <c r="V485" s="10"/>
      <c r="W485" s="10"/>
      <c r="X485" s="10"/>
      <c r="Y485" s="10"/>
      <c r="Z485" s="10"/>
    </row>
    <row r="486" ht="13.5" customHeight="1">
      <c r="A486" s="10">
        <f>dataset_1!A159</f>
        <v>158</v>
      </c>
      <c r="B486" s="11">
        <f>dataset_1!B159</f>
        <v>40550</v>
      </c>
      <c r="C486" s="10">
        <f>dataset_1!C159</f>
        <v>1</v>
      </c>
      <c r="D486" s="10">
        <f>dataset_1!D159</f>
        <v>0</v>
      </c>
      <c r="E486" s="10">
        <f>dataset_1!E159</f>
        <v>1</v>
      </c>
      <c r="F486" s="10">
        <f>dataset_1!F159</f>
        <v>20</v>
      </c>
      <c r="G486" s="10" t="b">
        <f>dataset_1!G159</f>
        <v>0</v>
      </c>
      <c r="H486" s="10">
        <f>dataset_1!H159</f>
        <v>5</v>
      </c>
      <c r="I486" s="10">
        <f>dataset_1!I159</f>
        <v>1</v>
      </c>
      <c r="J486" s="10">
        <f>dataset_1!J159</f>
        <v>0.18</v>
      </c>
      <c r="K486" s="10">
        <f>VLOOKUP(A486,dataset_2!$A$2:$G$611,2,0)</f>
        <v>0.2121</v>
      </c>
      <c r="L486" s="10">
        <f>VLOOKUP(A486,dataset_2!$A$2:$G$611,3,0)</f>
        <v>0.47</v>
      </c>
      <c r="M486" s="10">
        <f>VLOOKUP(A486,dataset_2!$A$2:$G$611,4,0)</f>
        <v>0.1045</v>
      </c>
      <c r="N486" s="10">
        <f>VLOOKUP(A486,dataset_2!$A$2:$G$611,5,0)</f>
        <v>1</v>
      </c>
      <c r="O486" s="10">
        <f>VLOOKUP(A486,dataset_2!$A$2:$G$611,6,0)</f>
        <v>50</v>
      </c>
      <c r="P486" s="10">
        <f>VLOOKUP(A486,dataset_2!$A$2:$G$611,7,0)</f>
        <v>51</v>
      </c>
      <c r="Q486" s="10"/>
      <c r="R486" s="10" t="str">
        <f t="shared" si="1"/>
        <v>OK</v>
      </c>
      <c r="S486" s="10">
        <f t="shared" si="2"/>
        <v>1</v>
      </c>
      <c r="T486" s="10" t="str">
        <f t="shared" si="3"/>
        <v>OK</v>
      </c>
      <c r="U486" s="10">
        <f t="shared" si="4"/>
        <v>1</v>
      </c>
      <c r="V486" s="10"/>
      <c r="W486" s="10"/>
      <c r="X486" s="10"/>
      <c r="Y486" s="10"/>
      <c r="Z486" s="10"/>
    </row>
    <row r="487" ht="13.5" customHeight="1">
      <c r="A487" s="10">
        <f>dataset_1!A252</f>
        <v>251</v>
      </c>
      <c r="B487" s="11">
        <f>dataset_1!B252</f>
        <v>40554</v>
      </c>
      <c r="C487" s="10">
        <f>dataset_1!C252</f>
        <v>1</v>
      </c>
      <c r="D487" s="10">
        <f>dataset_1!D252</f>
        <v>0</v>
      </c>
      <c r="E487" s="10">
        <f>dataset_1!E252</f>
        <v>1</v>
      </c>
      <c r="F487" s="10">
        <f>dataset_1!F252</f>
        <v>19</v>
      </c>
      <c r="G487" s="10" t="b">
        <f>dataset_1!G252</f>
        <v>0</v>
      </c>
      <c r="H487" s="10">
        <f>dataset_1!H252</f>
        <v>2</v>
      </c>
      <c r="I487" s="10">
        <f>dataset_1!I252</f>
        <v>3</v>
      </c>
      <c r="J487" s="10">
        <f>dataset_1!J252</f>
        <v>0.16</v>
      </c>
      <c r="K487" s="10">
        <f>VLOOKUP(A487,dataset_2!$A$2:$G$611,2,0)</f>
        <v>0.2273</v>
      </c>
      <c r="L487" s="10">
        <f>VLOOKUP(A487,dataset_2!$A$2:$G$611,3,0)</f>
        <v>0.93</v>
      </c>
      <c r="M487" s="10">
        <f>VLOOKUP(A487,dataset_2!$A$2:$G$611,4,0)</f>
        <v>0</v>
      </c>
      <c r="N487" s="10">
        <f>VLOOKUP(A487,dataset_2!$A$2:$G$611,5,0)</f>
        <v>0</v>
      </c>
      <c r="O487" s="10">
        <f>VLOOKUP(A487,dataset_2!$A$2:$G$611,6,0)</f>
        <v>51</v>
      </c>
      <c r="P487" s="10">
        <f>VLOOKUP(A487,dataset_2!$A$2:$G$611,7,0)</f>
        <v>51</v>
      </c>
      <c r="Q487" s="10"/>
      <c r="R487" s="10" t="str">
        <f t="shared" si="1"/>
        <v>OK</v>
      </c>
      <c r="S487" s="10">
        <f t="shared" si="2"/>
        <v>1</v>
      </c>
      <c r="T487" s="10" t="str">
        <f t="shared" si="3"/>
        <v>OK</v>
      </c>
      <c r="U487" s="10">
        <f t="shared" si="4"/>
        <v>1</v>
      </c>
      <c r="V487" s="10"/>
      <c r="W487" s="10"/>
      <c r="X487" s="10"/>
      <c r="Y487" s="10"/>
      <c r="Z487" s="10"/>
    </row>
    <row r="488" ht="13.5" customHeight="1">
      <c r="A488" s="3">
        <v>699.0</v>
      </c>
      <c r="B488" s="12">
        <v>40575.0</v>
      </c>
      <c r="C488" s="3">
        <v>1.0</v>
      </c>
      <c r="D488" s="3">
        <v>0.0</v>
      </c>
      <c r="E488" s="3">
        <v>2.0</v>
      </c>
      <c r="F488" s="3">
        <v>11.0</v>
      </c>
      <c r="G488" s="3" t="b">
        <f t="shared" ref="G488:G494" si="55">FALSE()</f>
        <v>0</v>
      </c>
      <c r="H488" s="3">
        <v>2.0</v>
      </c>
      <c r="I488" s="3">
        <v>2.0</v>
      </c>
      <c r="J488" s="3">
        <v>0.18</v>
      </c>
      <c r="K488" s="3">
        <v>0.2424</v>
      </c>
      <c r="L488" s="3">
        <v>0.86</v>
      </c>
      <c r="M488" s="3">
        <v>0.0</v>
      </c>
      <c r="N488" s="3">
        <v>2.0</v>
      </c>
      <c r="O488" s="3">
        <v>49.0</v>
      </c>
      <c r="P488" s="3">
        <v>51.0</v>
      </c>
      <c r="Q488" s="10"/>
      <c r="R488" s="10" t="str">
        <f t="shared" si="1"/>
        <v>OK</v>
      </c>
      <c r="S488" s="10">
        <f t="shared" si="2"/>
        <v>1</v>
      </c>
      <c r="T488" s="10" t="str">
        <f t="shared" si="3"/>
        <v>OK</v>
      </c>
      <c r="U488" s="10">
        <f t="shared" si="4"/>
        <v>1</v>
      </c>
      <c r="V488" s="10"/>
      <c r="W488" s="10"/>
      <c r="X488" s="10"/>
      <c r="Y488" s="10"/>
      <c r="Z488" s="10"/>
    </row>
    <row r="489" ht="13.5" customHeight="1">
      <c r="A489" s="3">
        <v>748.0</v>
      </c>
      <c r="B489" s="12">
        <v>40577.0</v>
      </c>
      <c r="C489" s="3">
        <v>1.0</v>
      </c>
      <c r="D489" s="3">
        <v>0.0</v>
      </c>
      <c r="E489" s="3">
        <v>2.0</v>
      </c>
      <c r="F489" s="3">
        <v>13.0</v>
      </c>
      <c r="G489" s="3" t="b">
        <f t="shared" si="55"/>
        <v>0</v>
      </c>
      <c r="H489" s="3">
        <v>4.0</v>
      </c>
      <c r="I489" s="3">
        <v>1.0</v>
      </c>
      <c r="J489" s="3">
        <v>0.2</v>
      </c>
      <c r="K489" s="3">
        <v>0.1667</v>
      </c>
      <c r="L489" s="3">
        <v>0.4</v>
      </c>
      <c r="M489" s="3">
        <v>0.4179</v>
      </c>
      <c r="N489" s="3">
        <v>4.0</v>
      </c>
      <c r="O489" s="3">
        <v>47.0</v>
      </c>
      <c r="P489" s="3">
        <v>51.0</v>
      </c>
      <c r="Q489" s="10"/>
      <c r="R489" s="10" t="str">
        <f t="shared" si="1"/>
        <v>OK</v>
      </c>
      <c r="S489" s="10">
        <f t="shared" si="2"/>
        <v>1</v>
      </c>
      <c r="T489" s="10" t="str">
        <f t="shared" si="3"/>
        <v>OK</v>
      </c>
      <c r="U489" s="10">
        <f t="shared" si="4"/>
        <v>1</v>
      </c>
      <c r="V489" s="10"/>
      <c r="W489" s="10"/>
      <c r="X489" s="10"/>
      <c r="Y489" s="10"/>
      <c r="Z489" s="10"/>
    </row>
    <row r="490" ht="13.5" customHeight="1">
      <c r="A490" s="3">
        <v>768.0</v>
      </c>
      <c r="B490" s="12">
        <v>40578.0</v>
      </c>
      <c r="C490" s="3">
        <v>1.0</v>
      </c>
      <c r="D490" s="3">
        <v>0.0</v>
      </c>
      <c r="E490" s="3">
        <v>2.0</v>
      </c>
      <c r="F490" s="3">
        <v>10.0</v>
      </c>
      <c r="G490" s="3" t="b">
        <f t="shared" si="55"/>
        <v>0</v>
      </c>
      <c r="H490" s="3">
        <v>5.0</v>
      </c>
      <c r="I490" s="3">
        <v>2.0</v>
      </c>
      <c r="J490" s="3">
        <v>0.2</v>
      </c>
      <c r="K490" s="3">
        <v>0.2121</v>
      </c>
      <c r="L490" s="3">
        <v>0.51</v>
      </c>
      <c r="M490" s="3">
        <v>0.1343</v>
      </c>
      <c r="N490" s="3">
        <v>5.0</v>
      </c>
      <c r="O490" s="3">
        <v>46.0</v>
      </c>
      <c r="P490" s="3">
        <v>51.0</v>
      </c>
      <c r="Q490" s="10"/>
      <c r="R490" s="10" t="str">
        <f t="shared" si="1"/>
        <v>OK</v>
      </c>
      <c r="S490" s="10">
        <f t="shared" si="2"/>
        <v>1</v>
      </c>
      <c r="T490" s="10" t="str">
        <f t="shared" si="3"/>
        <v>OK</v>
      </c>
      <c r="U490" s="10">
        <f t="shared" si="4"/>
        <v>1</v>
      </c>
      <c r="V490" s="10"/>
      <c r="W490" s="10"/>
      <c r="X490" s="10"/>
      <c r="Y490" s="10"/>
      <c r="Z490" s="10"/>
    </row>
    <row r="491" ht="13.5" customHeight="1">
      <c r="A491" s="3">
        <v>869.0</v>
      </c>
      <c r="B491" s="12">
        <v>40582.0</v>
      </c>
      <c r="C491" s="3">
        <v>1.0</v>
      </c>
      <c r="D491" s="3">
        <v>0.0</v>
      </c>
      <c r="E491" s="3">
        <v>2.0</v>
      </c>
      <c r="F491" s="3">
        <v>15.0</v>
      </c>
      <c r="G491" s="3" t="b">
        <f t="shared" si="55"/>
        <v>0</v>
      </c>
      <c r="H491" s="3">
        <v>2.0</v>
      </c>
      <c r="I491" s="3">
        <v>1.0</v>
      </c>
      <c r="J491" s="3">
        <v>0.22</v>
      </c>
      <c r="K491" s="3">
        <v>0.197</v>
      </c>
      <c r="L491" s="3">
        <v>0.35</v>
      </c>
      <c r="M491" s="3">
        <v>0.3881</v>
      </c>
      <c r="N491" s="3">
        <v>6.0</v>
      </c>
      <c r="O491" s="3">
        <v>45.0</v>
      </c>
      <c r="P491" s="3">
        <v>51.0</v>
      </c>
      <c r="Q491" s="10"/>
      <c r="R491" s="10" t="str">
        <f t="shared" si="1"/>
        <v>OK</v>
      </c>
      <c r="S491" s="10">
        <f t="shared" si="2"/>
        <v>1</v>
      </c>
      <c r="T491" s="10" t="str">
        <f t="shared" si="3"/>
        <v>OK</v>
      </c>
      <c r="U491" s="10">
        <f t="shared" si="4"/>
        <v>1</v>
      </c>
      <c r="V491" s="10"/>
      <c r="W491" s="10"/>
      <c r="X491" s="10"/>
      <c r="Y491" s="10"/>
      <c r="Z491" s="10"/>
    </row>
    <row r="492" ht="13.5" customHeight="1">
      <c r="A492" s="3">
        <v>922.0</v>
      </c>
      <c r="B492" s="12">
        <v>40584.0</v>
      </c>
      <c r="C492" s="3">
        <v>1.0</v>
      </c>
      <c r="D492" s="3">
        <v>0.0</v>
      </c>
      <c r="E492" s="3">
        <v>2.0</v>
      </c>
      <c r="F492" s="3">
        <v>22.0</v>
      </c>
      <c r="G492" s="3" t="b">
        <f t="shared" si="55"/>
        <v>0</v>
      </c>
      <c r="H492" s="3">
        <v>4.0</v>
      </c>
      <c r="I492" s="3">
        <v>1.0</v>
      </c>
      <c r="J492" s="3">
        <v>0.12</v>
      </c>
      <c r="K492" s="3">
        <v>0.197</v>
      </c>
      <c r="L492" s="3">
        <v>0.39</v>
      </c>
      <c r="M492" s="3">
        <v>0.0</v>
      </c>
      <c r="N492" s="3">
        <v>4.0</v>
      </c>
      <c r="O492" s="3">
        <v>47.0</v>
      </c>
      <c r="P492" s="3">
        <v>51.0</v>
      </c>
      <c r="Q492" s="10"/>
      <c r="R492" s="10" t="str">
        <f t="shared" si="1"/>
        <v>OK</v>
      </c>
      <c r="S492" s="10">
        <f t="shared" si="2"/>
        <v>1</v>
      </c>
      <c r="T492" s="10" t="str">
        <f t="shared" si="3"/>
        <v>OK</v>
      </c>
      <c r="U492" s="10">
        <f t="shared" si="4"/>
        <v>1</v>
      </c>
      <c r="V492" s="10"/>
      <c r="W492" s="10"/>
      <c r="X492" s="10"/>
      <c r="Y492" s="10"/>
      <c r="Z492" s="10"/>
    </row>
    <row r="493" ht="13.5" customHeight="1">
      <c r="A493" s="3">
        <v>967.0</v>
      </c>
      <c r="B493" s="12">
        <v>40586.0</v>
      </c>
      <c r="C493" s="3">
        <v>1.0</v>
      </c>
      <c r="D493" s="3">
        <v>0.0</v>
      </c>
      <c r="E493" s="3">
        <v>2.0</v>
      </c>
      <c r="F493" s="3">
        <v>21.0</v>
      </c>
      <c r="G493" s="3" t="b">
        <f t="shared" si="55"/>
        <v>0</v>
      </c>
      <c r="H493" s="3">
        <v>6.0</v>
      </c>
      <c r="I493" s="3">
        <v>1.0</v>
      </c>
      <c r="J493" s="3">
        <v>0.26</v>
      </c>
      <c r="K493" s="3">
        <v>0.303</v>
      </c>
      <c r="L493" s="3">
        <v>0.41</v>
      </c>
      <c r="M493" s="3">
        <v>0.0</v>
      </c>
      <c r="N493" s="3">
        <v>9.0</v>
      </c>
      <c r="O493" s="3">
        <v>42.0</v>
      </c>
      <c r="P493" s="3">
        <v>51.0</v>
      </c>
      <c r="Q493" s="10"/>
      <c r="R493" s="10" t="str">
        <f t="shared" si="1"/>
        <v>OK</v>
      </c>
      <c r="S493" s="10">
        <f t="shared" si="2"/>
        <v>1</v>
      </c>
      <c r="T493" s="10" t="str">
        <f t="shared" si="3"/>
        <v>OK</v>
      </c>
      <c r="U493" s="10">
        <f t="shared" si="4"/>
        <v>1</v>
      </c>
      <c r="V493" s="10"/>
      <c r="W493" s="10"/>
      <c r="X493" s="10"/>
      <c r="Y493" s="10"/>
      <c r="Z493" s="10"/>
    </row>
    <row r="494" ht="13.5" customHeight="1">
      <c r="A494" s="3">
        <v>990.0</v>
      </c>
      <c r="B494" s="12">
        <v>40587.0</v>
      </c>
      <c r="C494" s="3">
        <v>1.0</v>
      </c>
      <c r="D494" s="3">
        <v>0.0</v>
      </c>
      <c r="E494" s="3">
        <v>2.0</v>
      </c>
      <c r="F494" s="3">
        <v>21.0</v>
      </c>
      <c r="G494" s="3" t="b">
        <f t="shared" si="55"/>
        <v>0</v>
      </c>
      <c r="H494" s="3">
        <v>0.0</v>
      </c>
      <c r="I494" s="3">
        <v>1.0</v>
      </c>
      <c r="J494" s="3">
        <v>0.4</v>
      </c>
      <c r="K494" s="3">
        <v>0.4091</v>
      </c>
      <c r="L494" s="3">
        <v>0.35</v>
      </c>
      <c r="M494" s="3">
        <v>0.3582</v>
      </c>
      <c r="N494" s="3">
        <v>6.0</v>
      </c>
      <c r="O494" s="3">
        <v>45.0</v>
      </c>
      <c r="P494" s="3">
        <v>51.0</v>
      </c>
      <c r="Q494" s="10"/>
      <c r="R494" s="10" t="str">
        <f t="shared" si="1"/>
        <v>OK</v>
      </c>
      <c r="S494" s="10">
        <f t="shared" si="2"/>
        <v>1</v>
      </c>
      <c r="T494" s="10" t="str">
        <f t="shared" si="3"/>
        <v>OK</v>
      </c>
      <c r="U494" s="10">
        <f t="shared" si="4"/>
        <v>1</v>
      </c>
      <c r="V494" s="10"/>
      <c r="W494" s="10"/>
      <c r="X494" s="10"/>
      <c r="Y494" s="10"/>
      <c r="Z494" s="10"/>
    </row>
    <row r="495" ht="13.5" customHeight="1">
      <c r="A495" s="10">
        <f>dataset_1!A153</f>
        <v>152</v>
      </c>
      <c r="B495" s="11">
        <f>dataset_1!B153</f>
        <v>40550</v>
      </c>
      <c r="C495" s="10">
        <f>dataset_1!C153</f>
        <v>1</v>
      </c>
      <c r="D495" s="10">
        <f>dataset_1!D153</f>
        <v>0</v>
      </c>
      <c r="E495" s="10">
        <f>dataset_1!E153</f>
        <v>1</v>
      </c>
      <c r="F495" s="10">
        <f>dataset_1!F153</f>
        <v>14</v>
      </c>
      <c r="G495" s="10" t="b">
        <f>dataset_1!G153</f>
        <v>0</v>
      </c>
      <c r="H495" s="10">
        <f>dataset_1!H153</f>
        <v>5</v>
      </c>
      <c r="I495" s="10">
        <f>dataset_1!I153</f>
        <v>2</v>
      </c>
      <c r="J495" s="10">
        <f>dataset_1!J153</f>
        <v>0.2</v>
      </c>
      <c r="K495" s="10">
        <f>VLOOKUP(A495,dataset_2!$A$2:$G$611,2,0)</f>
        <v>0.197</v>
      </c>
      <c r="L495" s="10">
        <f>VLOOKUP(A495,dataset_2!$A$2:$G$611,3,0)</f>
        <v>0.4</v>
      </c>
      <c r="M495" s="10">
        <f>VLOOKUP(A495,dataset_2!$A$2:$G$611,4,0)</f>
        <v>0.2537</v>
      </c>
      <c r="N495" s="10">
        <f>VLOOKUP(A495,dataset_2!$A$2:$G$611,5,0)</f>
        <v>7</v>
      </c>
      <c r="O495" s="10">
        <f>VLOOKUP(A495,dataset_2!$A$2:$G$611,6,0)</f>
        <v>43</v>
      </c>
      <c r="P495" s="10">
        <f>VLOOKUP(A495,dataset_2!$A$2:$G$611,7,0)</f>
        <v>50</v>
      </c>
      <c r="Q495" s="10"/>
      <c r="R495" s="10" t="str">
        <f t="shared" si="1"/>
        <v>OK</v>
      </c>
      <c r="S495" s="10">
        <f t="shared" si="2"/>
        <v>1</v>
      </c>
      <c r="T495" s="10" t="str">
        <f t="shared" si="3"/>
        <v>OK</v>
      </c>
      <c r="U495" s="10">
        <f t="shared" si="4"/>
        <v>1</v>
      </c>
      <c r="V495" s="10"/>
      <c r="W495" s="10"/>
      <c r="X495" s="10"/>
      <c r="Y495" s="10"/>
      <c r="Z495" s="10"/>
    </row>
    <row r="496" ht="13.5" customHeight="1">
      <c r="A496" s="10">
        <f>dataset_1!A522</f>
        <v>521</v>
      </c>
      <c r="B496" s="11">
        <f>dataset_1!B522</f>
        <v>40566</v>
      </c>
      <c r="C496" s="10">
        <f>dataset_1!C522</f>
        <v>1</v>
      </c>
      <c r="D496" s="10">
        <f>dataset_1!D522</f>
        <v>0</v>
      </c>
      <c r="E496" s="10">
        <f>dataset_1!E522</f>
        <v>1</v>
      </c>
      <c r="F496" s="10">
        <f>dataset_1!F522</f>
        <v>19</v>
      </c>
      <c r="G496" s="10" t="b">
        <f>dataset_1!G522</f>
        <v>0</v>
      </c>
      <c r="H496" s="10">
        <f>dataset_1!H522</f>
        <v>0</v>
      </c>
      <c r="I496" s="10">
        <f>dataset_1!I522</f>
        <v>1</v>
      </c>
      <c r="J496" s="10">
        <f>dataset_1!J522</f>
        <v>0.12</v>
      </c>
      <c r="K496" s="10">
        <f>VLOOKUP(A496,dataset_2!$A$2:$G$611,2,0)</f>
        <v>0.1212</v>
      </c>
      <c r="L496" s="10">
        <f>VLOOKUP(A496,dataset_2!$A$2:$G$611,3,0)</f>
        <v>0.3</v>
      </c>
      <c r="M496" s="10">
        <f>VLOOKUP(A496,dataset_2!$A$2:$G$611,4,0)</f>
        <v>0.2836</v>
      </c>
      <c r="N496" s="10">
        <f>VLOOKUP(A496,dataset_2!$A$2:$G$611,5,0)</f>
        <v>5</v>
      </c>
      <c r="O496" s="10">
        <f>VLOOKUP(A496,dataset_2!$A$2:$G$611,6,0)</f>
        <v>45</v>
      </c>
      <c r="P496" s="10">
        <f>VLOOKUP(A496,dataset_2!$A$2:$G$611,7,0)</f>
        <v>50</v>
      </c>
      <c r="Q496" s="10"/>
      <c r="R496" s="10" t="str">
        <f t="shared" si="1"/>
        <v>OK</v>
      </c>
      <c r="S496" s="10">
        <f t="shared" si="2"/>
        <v>1</v>
      </c>
      <c r="T496" s="10" t="str">
        <f t="shared" si="3"/>
        <v>OK</v>
      </c>
      <c r="U496" s="10">
        <f t="shared" si="4"/>
        <v>1</v>
      </c>
      <c r="V496" s="10"/>
      <c r="W496" s="10"/>
      <c r="X496" s="10"/>
      <c r="Y496" s="10"/>
      <c r="Z496" s="10"/>
    </row>
    <row r="497" ht="13.5" customHeight="1">
      <c r="A497" s="3">
        <v>845.0</v>
      </c>
      <c r="B497" s="12">
        <v>40581.0</v>
      </c>
      <c r="C497" s="3">
        <v>1.0</v>
      </c>
      <c r="D497" s="3">
        <v>0.0</v>
      </c>
      <c r="E497" s="3">
        <v>2.0</v>
      </c>
      <c r="F497" s="3">
        <v>15.0</v>
      </c>
      <c r="G497" s="3" t="b">
        <f t="shared" ref="G497:G500" si="56">FALSE()</f>
        <v>0</v>
      </c>
      <c r="H497" s="3">
        <v>1.0</v>
      </c>
      <c r="I497" s="3">
        <v>2.0</v>
      </c>
      <c r="J497" s="3">
        <v>0.38</v>
      </c>
      <c r="K497" s="3">
        <v>0.3939</v>
      </c>
      <c r="L497" s="3">
        <v>0.54</v>
      </c>
      <c r="M497" s="3">
        <v>0.0896</v>
      </c>
      <c r="N497" s="3">
        <v>4.0</v>
      </c>
      <c r="O497" s="3">
        <v>46.0</v>
      </c>
      <c r="P497" s="3">
        <v>50.0</v>
      </c>
      <c r="Q497" s="10"/>
      <c r="R497" s="10" t="str">
        <f t="shared" si="1"/>
        <v>OK</v>
      </c>
      <c r="S497" s="10">
        <f t="shared" si="2"/>
        <v>1</v>
      </c>
      <c r="T497" s="10" t="str">
        <f t="shared" si="3"/>
        <v>OK</v>
      </c>
      <c r="U497" s="10">
        <f t="shared" si="4"/>
        <v>1</v>
      </c>
      <c r="V497" s="10"/>
      <c r="W497" s="10"/>
      <c r="X497" s="10"/>
      <c r="Y497" s="10"/>
      <c r="Z497" s="10"/>
    </row>
    <row r="498" ht="13.5" customHeight="1">
      <c r="A498" s="3">
        <v>865.0</v>
      </c>
      <c r="B498" s="12">
        <v>40582.0</v>
      </c>
      <c r="C498" s="3">
        <v>1.0</v>
      </c>
      <c r="D498" s="3">
        <v>0.0</v>
      </c>
      <c r="E498" s="3">
        <v>2.0</v>
      </c>
      <c r="F498" s="3">
        <v>11.0</v>
      </c>
      <c r="G498" s="3" t="b">
        <f t="shared" si="56"/>
        <v>0</v>
      </c>
      <c r="H498" s="3">
        <v>2.0</v>
      </c>
      <c r="I498" s="3">
        <v>1.0</v>
      </c>
      <c r="J498" s="3">
        <v>0.22</v>
      </c>
      <c r="K498" s="3">
        <v>0.1818</v>
      </c>
      <c r="L498" s="3">
        <v>0.47</v>
      </c>
      <c r="M498" s="3">
        <v>0.4627</v>
      </c>
      <c r="N498" s="3">
        <v>1.0</v>
      </c>
      <c r="O498" s="3">
        <v>49.0</v>
      </c>
      <c r="P498" s="3">
        <v>50.0</v>
      </c>
      <c r="Q498" s="10"/>
      <c r="R498" s="10" t="str">
        <f t="shared" si="1"/>
        <v>OK</v>
      </c>
      <c r="S498" s="10">
        <f t="shared" si="2"/>
        <v>1</v>
      </c>
      <c r="T498" s="10" t="str">
        <f t="shared" si="3"/>
        <v>OK</v>
      </c>
      <c r="U498" s="10">
        <f t="shared" si="4"/>
        <v>1</v>
      </c>
      <c r="V498" s="10"/>
      <c r="W498" s="10"/>
      <c r="X498" s="10"/>
      <c r="Y498" s="10"/>
      <c r="Z498" s="10"/>
    </row>
    <row r="499" ht="13.5" customHeight="1">
      <c r="A499" s="3">
        <v>867.0</v>
      </c>
      <c r="B499" s="12">
        <v>40582.0</v>
      </c>
      <c r="C499" s="3">
        <v>1.0</v>
      </c>
      <c r="D499" s="3">
        <v>0.0</v>
      </c>
      <c r="E499" s="3">
        <v>2.0</v>
      </c>
      <c r="F499" s="3">
        <v>13.0</v>
      </c>
      <c r="G499" s="3" t="b">
        <f t="shared" si="56"/>
        <v>0</v>
      </c>
      <c r="H499" s="3">
        <v>2.0</v>
      </c>
      <c r="I499" s="3">
        <v>2.0</v>
      </c>
      <c r="J499" s="3">
        <v>0.24</v>
      </c>
      <c r="K499" s="3">
        <v>0.197</v>
      </c>
      <c r="L499" s="3">
        <v>0.32</v>
      </c>
      <c r="M499" s="3">
        <v>0.4478</v>
      </c>
      <c r="N499" s="3">
        <v>2.0</v>
      </c>
      <c r="O499" s="3">
        <v>48.0</v>
      </c>
      <c r="P499" s="3">
        <v>50.0</v>
      </c>
      <c r="Q499" s="10"/>
      <c r="R499" s="10" t="str">
        <f t="shared" si="1"/>
        <v>OK</v>
      </c>
      <c r="S499" s="10">
        <f t="shared" si="2"/>
        <v>1</v>
      </c>
      <c r="T499" s="10" t="str">
        <f t="shared" si="3"/>
        <v>OK</v>
      </c>
      <c r="U499" s="10">
        <f t="shared" si="4"/>
        <v>1</v>
      </c>
      <c r="V499" s="10"/>
      <c r="W499" s="10"/>
      <c r="X499" s="10"/>
      <c r="Y499" s="10"/>
      <c r="Z499" s="10"/>
    </row>
    <row r="500" ht="13.5" customHeight="1">
      <c r="A500" s="3">
        <v>915.0</v>
      </c>
      <c r="B500" s="12">
        <v>40584.0</v>
      </c>
      <c r="C500" s="3">
        <v>1.0</v>
      </c>
      <c r="D500" s="3">
        <v>0.0</v>
      </c>
      <c r="E500" s="3">
        <v>2.0</v>
      </c>
      <c r="F500" s="3">
        <v>15.0</v>
      </c>
      <c r="G500" s="3" t="b">
        <f t="shared" si="56"/>
        <v>0</v>
      </c>
      <c r="H500" s="3">
        <v>4.0</v>
      </c>
      <c r="I500" s="3">
        <v>1.0</v>
      </c>
      <c r="J500" s="3">
        <v>0.2</v>
      </c>
      <c r="K500" s="3">
        <v>0.197</v>
      </c>
      <c r="L500" s="3">
        <v>0.25</v>
      </c>
      <c r="M500" s="3">
        <v>0.2537</v>
      </c>
      <c r="N500" s="3">
        <v>0.0</v>
      </c>
      <c r="O500" s="3">
        <v>50.0</v>
      </c>
      <c r="P500" s="3">
        <v>50.0</v>
      </c>
      <c r="Q500" s="10"/>
      <c r="R500" s="10" t="str">
        <f t="shared" si="1"/>
        <v>OK</v>
      </c>
      <c r="S500" s="10">
        <f t="shared" si="2"/>
        <v>1</v>
      </c>
      <c r="T500" s="10" t="str">
        <f t="shared" si="3"/>
        <v>OK</v>
      </c>
      <c r="U500" s="10">
        <f t="shared" si="4"/>
        <v>1</v>
      </c>
      <c r="V500" s="10"/>
      <c r="W500" s="10"/>
      <c r="X500" s="10"/>
      <c r="Y500" s="10"/>
      <c r="Z500" s="10"/>
    </row>
    <row r="501" ht="13.5" customHeight="1">
      <c r="A501" s="10">
        <f>dataset_1!A197</f>
        <v>196</v>
      </c>
      <c r="B501" s="11">
        <f>dataset_1!B197</f>
        <v>40552</v>
      </c>
      <c r="C501" s="10">
        <f>dataset_1!C197</f>
        <v>1</v>
      </c>
      <c r="D501" s="10">
        <f>dataset_1!D197</f>
        <v>0</v>
      </c>
      <c r="E501" s="10">
        <f>dataset_1!E197</f>
        <v>1</v>
      </c>
      <c r="F501" s="10">
        <f>dataset_1!F197</f>
        <v>10</v>
      </c>
      <c r="G501" s="10" t="b">
        <f>dataset_1!G197</f>
        <v>0</v>
      </c>
      <c r="H501" s="10">
        <f>dataset_1!H197</f>
        <v>0</v>
      </c>
      <c r="I501" s="10">
        <f>dataset_1!I197</f>
        <v>1</v>
      </c>
      <c r="J501" s="10">
        <f>dataset_1!J197</f>
        <v>0.14</v>
      </c>
      <c r="K501" s="10">
        <f>VLOOKUP(A501,dataset_2!$A$2:$G$611,2,0)</f>
        <v>0.1061</v>
      </c>
      <c r="L501" s="10">
        <f>VLOOKUP(A501,dataset_2!$A$2:$G$611,3,0)</f>
        <v>0.43</v>
      </c>
      <c r="M501" s="10">
        <f>VLOOKUP(A501,dataset_2!$A$2:$G$611,4,0)</f>
        <v>0.3881</v>
      </c>
      <c r="N501" s="10">
        <f>VLOOKUP(A501,dataset_2!$A$2:$G$611,5,0)</f>
        <v>0</v>
      </c>
      <c r="O501" s="10">
        <f>VLOOKUP(A501,dataset_2!$A$2:$G$611,6,0)</f>
        <v>49</v>
      </c>
      <c r="P501" s="10">
        <f>VLOOKUP(A501,dataset_2!$A$2:$G$611,7,0)</f>
        <v>49</v>
      </c>
      <c r="Q501" s="10"/>
      <c r="R501" s="10" t="str">
        <f t="shared" si="1"/>
        <v>OK</v>
      </c>
      <c r="S501" s="10">
        <f t="shared" si="2"/>
        <v>1</v>
      </c>
      <c r="T501" s="10" t="str">
        <f t="shared" si="3"/>
        <v>OK</v>
      </c>
      <c r="U501" s="10">
        <f t="shared" si="4"/>
        <v>1</v>
      </c>
      <c r="V501" s="10"/>
      <c r="W501" s="10"/>
      <c r="X501" s="10"/>
      <c r="Y501" s="10"/>
      <c r="Z501" s="10"/>
    </row>
    <row r="502" ht="13.5" customHeight="1">
      <c r="A502" s="10">
        <f>dataset_1!A198</f>
        <v>197</v>
      </c>
      <c r="B502" s="11">
        <f>dataset_1!B198</f>
        <v>40552</v>
      </c>
      <c r="C502" s="10">
        <f>dataset_1!C198</f>
        <v>1</v>
      </c>
      <c r="D502" s="10">
        <f>dataset_1!D198</f>
        <v>0</v>
      </c>
      <c r="E502" s="10">
        <f>dataset_1!E198</f>
        <v>1</v>
      </c>
      <c r="F502" s="10">
        <f>dataset_1!F198</f>
        <v>11</v>
      </c>
      <c r="G502" s="10" t="b">
        <f>dataset_1!G198</f>
        <v>0</v>
      </c>
      <c r="H502" s="10">
        <f>dataset_1!H198</f>
        <v>0</v>
      </c>
      <c r="I502" s="10">
        <f>dataset_1!I198</f>
        <v>1</v>
      </c>
      <c r="J502" s="10">
        <f>dataset_1!J198</f>
        <v>0.16</v>
      </c>
      <c r="K502" s="10">
        <f>VLOOKUP(A502,dataset_2!$A$2:$G$611,2,0)</f>
        <v>0.1212</v>
      </c>
      <c r="L502" s="10">
        <f>VLOOKUP(A502,dataset_2!$A$2:$G$611,3,0)</f>
        <v>0.4</v>
      </c>
      <c r="M502" s="10">
        <f>VLOOKUP(A502,dataset_2!$A$2:$G$611,4,0)</f>
        <v>0.5224</v>
      </c>
      <c r="N502" s="10">
        <f>VLOOKUP(A502,dataset_2!$A$2:$G$611,5,0)</f>
        <v>2</v>
      </c>
      <c r="O502" s="10">
        <f>VLOOKUP(A502,dataset_2!$A$2:$G$611,6,0)</f>
        <v>47</v>
      </c>
      <c r="P502" s="10">
        <f>VLOOKUP(A502,dataset_2!$A$2:$G$611,7,0)</f>
        <v>49</v>
      </c>
      <c r="Q502" s="10"/>
      <c r="R502" s="10" t="str">
        <f t="shared" si="1"/>
        <v>OK</v>
      </c>
      <c r="S502" s="10">
        <f t="shared" si="2"/>
        <v>1</v>
      </c>
      <c r="T502" s="10" t="str">
        <f t="shared" si="3"/>
        <v>OK</v>
      </c>
      <c r="U502" s="10">
        <f t="shared" si="4"/>
        <v>1</v>
      </c>
      <c r="V502" s="10"/>
      <c r="W502" s="10"/>
      <c r="X502" s="10"/>
      <c r="Y502" s="10"/>
      <c r="Z502" s="10"/>
    </row>
    <row r="503" ht="13.5" customHeight="1">
      <c r="A503" s="10">
        <f>dataset_1!A268</f>
        <v>267</v>
      </c>
      <c r="B503" s="11">
        <f>dataset_1!B268</f>
        <v>40555</v>
      </c>
      <c r="C503" s="10">
        <f>dataset_1!C268</f>
        <v>1</v>
      </c>
      <c r="D503" s="10">
        <f>dataset_1!D268</f>
        <v>0</v>
      </c>
      <c r="E503" s="10">
        <f>dataset_1!E268</f>
        <v>1</v>
      </c>
      <c r="F503" s="10">
        <f>dataset_1!F268</f>
        <v>13</v>
      </c>
      <c r="G503" s="10" t="b">
        <f>dataset_1!G268</f>
        <v>0</v>
      </c>
      <c r="H503" s="10">
        <f>dataset_1!H268</f>
        <v>3</v>
      </c>
      <c r="I503" s="10">
        <f>dataset_1!I268</f>
        <v>1</v>
      </c>
      <c r="J503" s="10">
        <f>dataset_1!J268</f>
        <v>0.22</v>
      </c>
      <c r="K503" s="10">
        <f>VLOOKUP(A503,dataset_2!$A$2:$G$611,2,0)</f>
        <v>0.197</v>
      </c>
      <c r="L503" s="10">
        <f>VLOOKUP(A503,dataset_2!$A$2:$G$611,3,0)</f>
        <v>0.44</v>
      </c>
      <c r="M503" s="10">
        <f>VLOOKUP(A503,dataset_2!$A$2:$G$611,4,0)</f>
        <v>0.3582</v>
      </c>
      <c r="N503" s="10">
        <f>VLOOKUP(A503,dataset_2!$A$2:$G$611,5,0)</f>
        <v>0</v>
      </c>
      <c r="O503" s="10">
        <f>VLOOKUP(A503,dataset_2!$A$2:$G$611,6,0)</f>
        <v>49</v>
      </c>
      <c r="P503" s="10">
        <f>VLOOKUP(A503,dataset_2!$A$2:$G$611,7,0)</f>
        <v>49</v>
      </c>
      <c r="Q503" s="10"/>
      <c r="R503" s="10" t="str">
        <f t="shared" si="1"/>
        <v>OK</v>
      </c>
      <c r="S503" s="10">
        <f t="shared" si="2"/>
        <v>1</v>
      </c>
      <c r="T503" s="10" t="str">
        <f t="shared" si="3"/>
        <v>OK</v>
      </c>
      <c r="U503" s="10">
        <f t="shared" si="4"/>
        <v>1</v>
      </c>
      <c r="V503" s="10"/>
      <c r="W503" s="10"/>
      <c r="X503" s="10"/>
      <c r="Y503" s="10"/>
      <c r="Z503" s="10"/>
    </row>
    <row r="504" ht="13.5" customHeight="1">
      <c r="A504" s="10">
        <f>dataset_1!A270</f>
        <v>269</v>
      </c>
      <c r="B504" s="11">
        <f>dataset_1!B270</f>
        <v>40555</v>
      </c>
      <c r="C504" s="10">
        <f>dataset_1!C270</f>
        <v>1</v>
      </c>
      <c r="D504" s="10">
        <f>dataset_1!D270</f>
        <v>0</v>
      </c>
      <c r="E504" s="10">
        <f>dataset_1!E270</f>
        <v>1</v>
      </c>
      <c r="F504" s="10">
        <f>dataset_1!F270</f>
        <v>15</v>
      </c>
      <c r="G504" s="10" t="b">
        <f>dataset_1!G270</f>
        <v>0</v>
      </c>
      <c r="H504" s="10">
        <f>dataset_1!H270</f>
        <v>3</v>
      </c>
      <c r="I504" s="10">
        <f>dataset_1!I270</f>
        <v>1</v>
      </c>
      <c r="J504" s="10">
        <f>dataset_1!J270</f>
        <v>0.2</v>
      </c>
      <c r="K504" s="10">
        <f>VLOOKUP(A504,dataset_2!$A$2:$G$611,2,0)</f>
        <v>0.1667</v>
      </c>
      <c r="L504" s="10">
        <f>VLOOKUP(A504,dataset_2!$A$2:$G$611,3,0)</f>
        <v>0.47</v>
      </c>
      <c r="M504" s="10">
        <f>VLOOKUP(A504,dataset_2!$A$2:$G$611,4,0)</f>
        <v>0.4179</v>
      </c>
      <c r="N504" s="10">
        <f>VLOOKUP(A504,dataset_2!$A$2:$G$611,5,0)</f>
        <v>1</v>
      </c>
      <c r="O504" s="10">
        <f>VLOOKUP(A504,dataset_2!$A$2:$G$611,6,0)</f>
        <v>48</v>
      </c>
      <c r="P504" s="10">
        <f>VLOOKUP(A504,dataset_2!$A$2:$G$611,7,0)</f>
        <v>49</v>
      </c>
      <c r="Q504" s="10"/>
      <c r="R504" s="10" t="str">
        <f t="shared" si="1"/>
        <v>OK</v>
      </c>
      <c r="S504" s="10">
        <f t="shared" si="2"/>
        <v>1</v>
      </c>
      <c r="T504" s="10" t="str">
        <f t="shared" si="3"/>
        <v>OK</v>
      </c>
      <c r="U504" s="10">
        <f t="shared" si="4"/>
        <v>1</v>
      </c>
      <c r="V504" s="10"/>
      <c r="W504" s="10"/>
      <c r="X504" s="10"/>
      <c r="Y504" s="10"/>
      <c r="Z504" s="10"/>
    </row>
    <row r="505" ht="13.5" customHeight="1">
      <c r="A505" s="10">
        <f>dataset_1!A521</f>
        <v>520</v>
      </c>
      <c r="B505" s="11">
        <f>dataset_1!B521</f>
        <v>40566</v>
      </c>
      <c r="C505" s="10">
        <f>dataset_1!C521</f>
        <v>1</v>
      </c>
      <c r="D505" s="10">
        <f>dataset_1!D521</f>
        <v>0</v>
      </c>
      <c r="E505" s="10">
        <f>dataset_1!E521</f>
        <v>1</v>
      </c>
      <c r="F505" s="10">
        <f>dataset_1!F521</f>
        <v>18</v>
      </c>
      <c r="G505" s="10" t="b">
        <f>dataset_1!G521</f>
        <v>0</v>
      </c>
      <c r="H505" s="10">
        <f>dataset_1!H521</f>
        <v>0</v>
      </c>
      <c r="I505" s="10">
        <f>dataset_1!I521</f>
        <v>1</v>
      </c>
      <c r="J505" s="10">
        <f>dataset_1!J521</f>
        <v>0.12</v>
      </c>
      <c r="K505" s="10">
        <f>VLOOKUP(A505,dataset_2!$A$2:$G$611,2,0)</f>
        <v>0.1212</v>
      </c>
      <c r="L505" s="10">
        <f>VLOOKUP(A505,dataset_2!$A$2:$G$611,3,0)</f>
        <v>0.3</v>
      </c>
      <c r="M505" s="10">
        <f>VLOOKUP(A505,dataset_2!$A$2:$G$611,4,0)</f>
        <v>0.2537</v>
      </c>
      <c r="N505" s="10">
        <f>VLOOKUP(A505,dataset_2!$A$2:$G$611,5,0)</f>
        <v>5</v>
      </c>
      <c r="O505" s="10">
        <f>VLOOKUP(A505,dataset_2!$A$2:$G$611,6,0)</f>
        <v>44</v>
      </c>
      <c r="P505" s="10">
        <f>VLOOKUP(A505,dataset_2!$A$2:$G$611,7,0)</f>
        <v>49</v>
      </c>
      <c r="Q505" s="10"/>
      <c r="R505" s="10" t="str">
        <f t="shared" si="1"/>
        <v>OK</v>
      </c>
      <c r="S505" s="10">
        <f t="shared" si="2"/>
        <v>1</v>
      </c>
      <c r="T505" s="10" t="str">
        <f t="shared" si="3"/>
        <v>OK</v>
      </c>
      <c r="U505" s="10">
        <f t="shared" si="4"/>
        <v>1</v>
      </c>
      <c r="V505" s="10"/>
      <c r="W505" s="10"/>
      <c r="X505" s="10"/>
      <c r="Y505" s="10"/>
      <c r="Z505" s="10"/>
    </row>
    <row r="506" ht="13.5" customHeight="1">
      <c r="A506" s="10">
        <f>dataset_1!A606</f>
        <v>605</v>
      </c>
      <c r="B506" s="11">
        <f>dataset_1!B606</f>
        <v>40571</v>
      </c>
      <c r="C506" s="10">
        <f>dataset_1!C606</f>
        <v>1</v>
      </c>
      <c r="D506" s="10">
        <f>dataset_1!D606</f>
        <v>0</v>
      </c>
      <c r="E506" s="10">
        <f>dataset_1!E606</f>
        <v>1</v>
      </c>
      <c r="F506" s="10">
        <f>dataset_1!F606</f>
        <v>10</v>
      </c>
      <c r="G506" s="10" t="b">
        <f>dataset_1!G606</f>
        <v>0</v>
      </c>
      <c r="H506" s="10">
        <f>dataset_1!H606</f>
        <v>5</v>
      </c>
      <c r="I506" s="10">
        <f>dataset_1!I606</f>
        <v>3</v>
      </c>
      <c r="J506" s="10">
        <f>dataset_1!J606</f>
        <v>0.18</v>
      </c>
      <c r="K506" s="10">
        <f>VLOOKUP(A506,dataset_2!$A$2:$G$611,2,0)</f>
        <v>0.2121</v>
      </c>
      <c r="L506" s="10">
        <f>VLOOKUP(A506,dataset_2!$A$2:$G$611,3,0)</f>
        <v>0.86</v>
      </c>
      <c r="M506" s="10">
        <f>VLOOKUP(A506,dataset_2!$A$2:$G$611,4,0)</f>
        <v>0.1045</v>
      </c>
      <c r="N506" s="10">
        <f>VLOOKUP(A506,dataset_2!$A$2:$G$611,5,0)</f>
        <v>0</v>
      </c>
      <c r="O506" s="10">
        <f>VLOOKUP(A506,dataset_2!$A$2:$G$611,6,0)</f>
        <v>49</v>
      </c>
      <c r="P506" s="10">
        <f>VLOOKUP(A506,dataset_2!$A$2:$G$611,7,0)</f>
        <v>49</v>
      </c>
      <c r="Q506" s="10"/>
      <c r="R506" s="10" t="str">
        <f t="shared" si="1"/>
        <v>OK</v>
      </c>
      <c r="S506" s="10">
        <f t="shared" si="2"/>
        <v>1</v>
      </c>
      <c r="T506" s="10" t="str">
        <f t="shared" si="3"/>
        <v>OK</v>
      </c>
      <c r="U506" s="10">
        <f t="shared" si="4"/>
        <v>1</v>
      </c>
      <c r="V506" s="10"/>
      <c r="W506" s="10"/>
      <c r="X506" s="10"/>
      <c r="Y506" s="10"/>
      <c r="Z506" s="10"/>
    </row>
    <row r="507" ht="13.5" customHeight="1">
      <c r="A507" s="3">
        <v>719.0</v>
      </c>
      <c r="B507" s="12">
        <v>40576.0</v>
      </c>
      <c r="C507" s="3">
        <v>1.0</v>
      </c>
      <c r="D507" s="3">
        <v>0.0</v>
      </c>
      <c r="E507" s="3">
        <v>2.0</v>
      </c>
      <c r="F507" s="3">
        <v>7.0</v>
      </c>
      <c r="G507" s="3" t="b">
        <f>FALSE()</f>
        <v>0</v>
      </c>
      <c r="H507" s="3">
        <v>3.0</v>
      </c>
      <c r="I507" s="3">
        <v>3.0</v>
      </c>
      <c r="J507" s="3">
        <v>0.22</v>
      </c>
      <c r="K507" s="3">
        <v>0.2121</v>
      </c>
      <c r="L507" s="3">
        <v>0.93</v>
      </c>
      <c r="M507" s="3">
        <v>0.2239</v>
      </c>
      <c r="N507" s="3">
        <v>1.0</v>
      </c>
      <c r="O507" s="3">
        <v>48.0</v>
      </c>
      <c r="P507" s="3">
        <v>49.0</v>
      </c>
      <c r="Q507" s="10"/>
      <c r="R507" s="10" t="str">
        <f t="shared" si="1"/>
        <v>OK</v>
      </c>
      <c r="S507" s="10">
        <f t="shared" si="2"/>
        <v>1</v>
      </c>
      <c r="T507" s="10" t="str">
        <f t="shared" si="3"/>
        <v>OK</v>
      </c>
      <c r="U507" s="10">
        <f t="shared" si="4"/>
        <v>1</v>
      </c>
      <c r="V507" s="10"/>
      <c r="W507" s="10"/>
      <c r="X507" s="10"/>
      <c r="Y507" s="10"/>
      <c r="Z507" s="10"/>
    </row>
    <row r="508" ht="13.5" customHeight="1">
      <c r="A508" s="10">
        <f>dataset_1!A91</f>
        <v>90</v>
      </c>
      <c r="B508" s="11">
        <f>dataset_1!B91</f>
        <v>40547</v>
      </c>
      <c r="C508" s="10">
        <f>dataset_1!C91</f>
        <v>1</v>
      </c>
      <c r="D508" s="10">
        <f>dataset_1!D91</f>
        <v>0</v>
      </c>
      <c r="E508" s="10">
        <f>dataset_1!E91</f>
        <v>1</v>
      </c>
      <c r="F508" s="10">
        <f>dataset_1!F91</f>
        <v>21</v>
      </c>
      <c r="G508" s="10" t="b">
        <f>dataset_1!G91</f>
        <v>0</v>
      </c>
      <c r="H508" s="10">
        <f>dataset_1!H91</f>
        <v>2</v>
      </c>
      <c r="I508" s="10">
        <f>dataset_1!I91</f>
        <v>1</v>
      </c>
      <c r="J508" s="10">
        <f>dataset_1!J91</f>
        <v>0.22</v>
      </c>
      <c r="K508" s="10">
        <f>VLOOKUP(A508,dataset_2!$A$2:$G$611,2,0)</f>
        <v>0.2727</v>
      </c>
      <c r="L508" s="10">
        <f>VLOOKUP(A508,dataset_2!$A$2:$G$611,3,0)</f>
        <v>0.64</v>
      </c>
      <c r="M508" s="10">
        <f>VLOOKUP(A508,dataset_2!$A$2:$G$611,4,0)</f>
        <v>0</v>
      </c>
      <c r="N508" s="10">
        <f>VLOOKUP(A508,dataset_2!$A$2:$G$611,5,0)</f>
        <v>0</v>
      </c>
      <c r="O508" s="10">
        <f>VLOOKUP(A508,dataset_2!$A$2:$G$611,6,0)</f>
        <v>48</v>
      </c>
      <c r="P508" s="10">
        <f>VLOOKUP(A508,dataset_2!$A$2:$G$611,7,0)</f>
        <v>48</v>
      </c>
      <c r="Q508" s="10"/>
      <c r="R508" s="10" t="str">
        <f t="shared" si="1"/>
        <v>OK</v>
      </c>
      <c r="S508" s="10">
        <f t="shared" si="2"/>
        <v>1</v>
      </c>
      <c r="T508" s="10" t="str">
        <f t="shared" si="3"/>
        <v>OK</v>
      </c>
      <c r="U508" s="10">
        <f t="shared" si="4"/>
        <v>1</v>
      </c>
      <c r="V508" s="10"/>
      <c r="W508" s="10"/>
      <c r="X508" s="10"/>
      <c r="Y508" s="10"/>
      <c r="Z508" s="10"/>
    </row>
    <row r="509" ht="13.5" customHeight="1">
      <c r="A509" s="10">
        <f>dataset_1!A137</f>
        <v>136</v>
      </c>
      <c r="B509" s="11">
        <f>dataset_1!B137</f>
        <v>40549</v>
      </c>
      <c r="C509" s="10">
        <f>dataset_1!C137</f>
        <v>1</v>
      </c>
      <c r="D509" s="10">
        <f>dataset_1!D137</f>
        <v>0</v>
      </c>
      <c r="E509" s="10">
        <f>dataset_1!E137</f>
        <v>1</v>
      </c>
      <c r="F509" s="10">
        <f>dataset_1!F137</f>
        <v>21</v>
      </c>
      <c r="G509" s="10" t="b">
        <f>dataset_1!G137</f>
        <v>0</v>
      </c>
      <c r="H509" s="10">
        <f>dataset_1!H137</f>
        <v>4</v>
      </c>
      <c r="I509" s="10">
        <f>dataset_1!I137</f>
        <v>2</v>
      </c>
      <c r="J509" s="10">
        <f>dataset_1!J137</f>
        <v>0.22</v>
      </c>
      <c r="K509" s="10">
        <f>VLOOKUP(A509,dataset_2!$A$2:$G$611,2,0)</f>
        <v>0.2121</v>
      </c>
      <c r="L509" s="10">
        <f>VLOOKUP(A509,dataset_2!$A$2:$G$611,3,0)</f>
        <v>0.55</v>
      </c>
      <c r="M509" s="10">
        <f>VLOOKUP(A509,dataset_2!$A$2:$G$611,4,0)</f>
        <v>0.2239</v>
      </c>
      <c r="N509" s="10">
        <f>VLOOKUP(A509,dataset_2!$A$2:$G$611,5,0)</f>
        <v>0</v>
      </c>
      <c r="O509" s="10">
        <f>VLOOKUP(A509,dataset_2!$A$2:$G$611,6,0)</f>
        <v>48</v>
      </c>
      <c r="P509" s="10">
        <f>VLOOKUP(A509,dataset_2!$A$2:$G$611,7,0)</f>
        <v>48</v>
      </c>
      <c r="Q509" s="10"/>
      <c r="R509" s="10" t="str">
        <f t="shared" si="1"/>
        <v>OK</v>
      </c>
      <c r="S509" s="10">
        <f t="shared" si="2"/>
        <v>1</v>
      </c>
      <c r="T509" s="10" t="str">
        <f t="shared" si="3"/>
        <v>OK</v>
      </c>
      <c r="U509" s="10">
        <f t="shared" si="4"/>
        <v>1</v>
      </c>
      <c r="V509" s="10"/>
      <c r="W509" s="10"/>
      <c r="X509" s="10"/>
      <c r="Y509" s="10"/>
      <c r="Z509" s="10"/>
    </row>
    <row r="510" ht="13.5" customHeight="1">
      <c r="A510" s="10">
        <f>dataset_1!A205</f>
        <v>204</v>
      </c>
      <c r="B510" s="11">
        <f>dataset_1!B205</f>
        <v>40552</v>
      </c>
      <c r="C510" s="10">
        <f>dataset_1!C205</f>
        <v>1</v>
      </c>
      <c r="D510" s="10">
        <f>dataset_1!D205</f>
        <v>0</v>
      </c>
      <c r="E510" s="10">
        <f>dataset_1!E205</f>
        <v>1</v>
      </c>
      <c r="F510" s="10">
        <f>dataset_1!F205</f>
        <v>18</v>
      </c>
      <c r="G510" s="10" t="b">
        <f>dataset_1!G205</f>
        <v>0</v>
      </c>
      <c r="H510" s="10">
        <f>dataset_1!H205</f>
        <v>0</v>
      </c>
      <c r="I510" s="10">
        <f>dataset_1!I205</f>
        <v>1</v>
      </c>
      <c r="J510" s="10">
        <f>dataset_1!J205</f>
        <v>0.16</v>
      </c>
      <c r="K510" s="10">
        <f>VLOOKUP(A510,dataset_2!$A$2:$G$611,2,0)</f>
        <v>0.1364</v>
      </c>
      <c r="L510" s="10">
        <f>VLOOKUP(A510,dataset_2!$A$2:$G$611,3,0)</f>
        <v>0.4</v>
      </c>
      <c r="M510" s="10">
        <f>VLOOKUP(A510,dataset_2!$A$2:$G$611,4,0)</f>
        <v>0.3284</v>
      </c>
      <c r="N510" s="10">
        <f>VLOOKUP(A510,dataset_2!$A$2:$G$611,5,0)</f>
        <v>4</v>
      </c>
      <c r="O510" s="10">
        <f>VLOOKUP(A510,dataset_2!$A$2:$G$611,6,0)</f>
        <v>44</v>
      </c>
      <c r="P510" s="10">
        <f>VLOOKUP(A510,dataset_2!$A$2:$G$611,7,0)</f>
        <v>48</v>
      </c>
      <c r="Q510" s="10"/>
      <c r="R510" s="10" t="str">
        <f t="shared" si="1"/>
        <v>OK</v>
      </c>
      <c r="S510" s="10">
        <f t="shared" si="2"/>
        <v>1</v>
      </c>
      <c r="T510" s="10" t="str">
        <f t="shared" si="3"/>
        <v>OK</v>
      </c>
      <c r="U510" s="10">
        <f t="shared" si="4"/>
        <v>1</v>
      </c>
      <c r="V510" s="10"/>
      <c r="W510" s="10"/>
      <c r="X510" s="10"/>
      <c r="Y510" s="10"/>
      <c r="Z510" s="10"/>
    </row>
    <row r="511" ht="13.5" customHeight="1">
      <c r="A511" s="10">
        <f>dataset_1!A583</f>
        <v>582</v>
      </c>
      <c r="B511" s="11">
        <f>dataset_1!B583</f>
        <v>40569</v>
      </c>
      <c r="C511" s="10">
        <f>dataset_1!C583</f>
        <v>1</v>
      </c>
      <c r="D511" s="10">
        <f>dataset_1!D583</f>
        <v>0</v>
      </c>
      <c r="E511" s="10">
        <f>dataset_1!E583</f>
        <v>1</v>
      </c>
      <c r="F511" s="10">
        <f>dataset_1!F583</f>
        <v>12</v>
      </c>
      <c r="G511" s="10" t="b">
        <f>dataset_1!G583</f>
        <v>0</v>
      </c>
      <c r="H511" s="10">
        <f>dataset_1!H583</f>
        <v>3</v>
      </c>
      <c r="I511" s="10">
        <f>dataset_1!I583</f>
        <v>3</v>
      </c>
      <c r="J511" s="10">
        <f>dataset_1!J583</f>
        <v>0.22</v>
      </c>
      <c r="K511" s="10">
        <f>VLOOKUP(A511,dataset_2!$A$2:$G$611,2,0)</f>
        <v>0.197</v>
      </c>
      <c r="L511" s="10">
        <f>VLOOKUP(A511,dataset_2!$A$2:$G$611,3,0)</f>
        <v>0.93</v>
      </c>
      <c r="M511" s="10">
        <f>VLOOKUP(A511,dataset_2!$A$2:$G$611,4,0)</f>
        <v>0.3284</v>
      </c>
      <c r="N511" s="10">
        <f>VLOOKUP(A511,dataset_2!$A$2:$G$611,5,0)</f>
        <v>7</v>
      </c>
      <c r="O511" s="10">
        <f>VLOOKUP(A511,dataset_2!$A$2:$G$611,6,0)</f>
        <v>41</v>
      </c>
      <c r="P511" s="10">
        <f>VLOOKUP(A511,dataset_2!$A$2:$G$611,7,0)</f>
        <v>48</v>
      </c>
      <c r="Q511" s="10"/>
      <c r="R511" s="10" t="str">
        <f t="shared" si="1"/>
        <v>OK</v>
      </c>
      <c r="S511" s="10">
        <f t="shared" si="2"/>
        <v>1</v>
      </c>
      <c r="T511" s="10" t="str">
        <f t="shared" si="3"/>
        <v>OK</v>
      </c>
      <c r="U511" s="10">
        <f t="shared" si="4"/>
        <v>1</v>
      </c>
      <c r="V511" s="10"/>
      <c r="W511" s="10"/>
      <c r="X511" s="10"/>
      <c r="Y511" s="10"/>
      <c r="Z511" s="10"/>
    </row>
    <row r="512" ht="13.5" customHeight="1">
      <c r="A512" s="3">
        <v>676.0</v>
      </c>
      <c r="B512" s="12">
        <v>40574.0</v>
      </c>
      <c r="C512" s="3">
        <v>1.0</v>
      </c>
      <c r="D512" s="3">
        <v>0.0</v>
      </c>
      <c r="E512" s="3">
        <v>1.0</v>
      </c>
      <c r="F512" s="3">
        <v>11.0</v>
      </c>
      <c r="G512" s="3" t="b">
        <f t="shared" ref="G512:G514" si="57">FALSE()</f>
        <v>0</v>
      </c>
      <c r="H512" s="3">
        <v>1.0</v>
      </c>
      <c r="I512" s="3">
        <v>2.0</v>
      </c>
      <c r="J512" s="3">
        <v>0.16</v>
      </c>
      <c r="K512" s="3">
        <v>0.1515</v>
      </c>
      <c r="L512" s="3">
        <v>0.59</v>
      </c>
      <c r="M512" s="3">
        <v>0.194</v>
      </c>
      <c r="N512" s="3">
        <v>2.0</v>
      </c>
      <c r="O512" s="3">
        <v>46.0</v>
      </c>
      <c r="P512" s="3">
        <v>48.0</v>
      </c>
      <c r="Q512" s="10"/>
      <c r="R512" s="10" t="str">
        <f t="shared" si="1"/>
        <v>OK</v>
      </c>
      <c r="S512" s="10">
        <f t="shared" si="2"/>
        <v>1</v>
      </c>
      <c r="T512" s="10" t="str">
        <f t="shared" si="3"/>
        <v>OK</v>
      </c>
      <c r="U512" s="10">
        <f t="shared" si="4"/>
        <v>1</v>
      </c>
      <c r="V512" s="10"/>
      <c r="W512" s="10"/>
      <c r="X512" s="10"/>
      <c r="Y512" s="10"/>
      <c r="Z512" s="10"/>
    </row>
    <row r="513" ht="13.5" customHeight="1">
      <c r="A513" s="3">
        <v>864.0</v>
      </c>
      <c r="B513" s="12">
        <v>40582.0</v>
      </c>
      <c r="C513" s="3">
        <v>1.0</v>
      </c>
      <c r="D513" s="3">
        <v>0.0</v>
      </c>
      <c r="E513" s="3">
        <v>2.0</v>
      </c>
      <c r="F513" s="3">
        <v>10.0</v>
      </c>
      <c r="G513" s="3" t="b">
        <f t="shared" si="57"/>
        <v>0</v>
      </c>
      <c r="H513" s="3">
        <v>2.0</v>
      </c>
      <c r="I513" s="3">
        <v>1.0</v>
      </c>
      <c r="J513" s="3">
        <v>0.22</v>
      </c>
      <c r="K513" s="3">
        <v>0.1818</v>
      </c>
      <c r="L513" s="3">
        <v>0.47</v>
      </c>
      <c r="M513" s="3">
        <v>0.5522</v>
      </c>
      <c r="N513" s="3">
        <v>4.0</v>
      </c>
      <c r="O513" s="3">
        <v>44.0</v>
      </c>
      <c r="P513" s="3">
        <v>48.0</v>
      </c>
      <c r="Q513" s="10"/>
      <c r="R513" s="10" t="str">
        <f t="shared" si="1"/>
        <v>OK</v>
      </c>
      <c r="S513" s="10">
        <f t="shared" si="2"/>
        <v>1</v>
      </c>
      <c r="T513" s="10" t="str">
        <f t="shared" si="3"/>
        <v>OK</v>
      </c>
      <c r="U513" s="10">
        <f t="shared" si="4"/>
        <v>1</v>
      </c>
      <c r="V513" s="10"/>
      <c r="W513" s="10"/>
      <c r="X513" s="10"/>
      <c r="Y513" s="10"/>
      <c r="Z513" s="10"/>
    </row>
    <row r="514" ht="13.5" customHeight="1">
      <c r="A514" s="3">
        <v>914.0</v>
      </c>
      <c r="B514" s="12">
        <v>40584.0</v>
      </c>
      <c r="C514" s="3">
        <v>1.0</v>
      </c>
      <c r="D514" s="3">
        <v>0.0</v>
      </c>
      <c r="E514" s="3">
        <v>2.0</v>
      </c>
      <c r="F514" s="3">
        <v>14.0</v>
      </c>
      <c r="G514" s="3" t="b">
        <f t="shared" si="57"/>
        <v>0</v>
      </c>
      <c r="H514" s="3">
        <v>4.0</v>
      </c>
      <c r="I514" s="3">
        <v>1.0</v>
      </c>
      <c r="J514" s="3">
        <v>0.2</v>
      </c>
      <c r="K514" s="3">
        <v>0.1818</v>
      </c>
      <c r="L514" s="3">
        <v>0.27</v>
      </c>
      <c r="M514" s="3">
        <v>0.2836</v>
      </c>
      <c r="N514" s="3">
        <v>6.0</v>
      </c>
      <c r="O514" s="3">
        <v>42.0</v>
      </c>
      <c r="P514" s="3">
        <v>48.0</v>
      </c>
      <c r="Q514" s="10"/>
      <c r="R514" s="10" t="str">
        <f t="shared" si="1"/>
        <v>OK</v>
      </c>
      <c r="S514" s="10">
        <f t="shared" si="2"/>
        <v>1</v>
      </c>
      <c r="T514" s="10" t="str">
        <f t="shared" si="3"/>
        <v>OK</v>
      </c>
      <c r="U514" s="10">
        <f t="shared" si="4"/>
        <v>1</v>
      </c>
      <c r="V514" s="10"/>
      <c r="W514" s="10"/>
      <c r="X514" s="10"/>
      <c r="Y514" s="10"/>
      <c r="Z514" s="10"/>
    </row>
    <row r="515" ht="13.5" customHeight="1">
      <c r="A515" s="10">
        <f>dataset_1!A225</f>
        <v>224</v>
      </c>
      <c r="B515" s="11">
        <f>dataset_1!B225</f>
        <v>40553</v>
      </c>
      <c r="C515" s="10">
        <f>dataset_1!C225</f>
        <v>1</v>
      </c>
      <c r="D515" s="10">
        <f>dataset_1!D225</f>
        <v>0</v>
      </c>
      <c r="E515" s="10">
        <f>dataset_1!E225</f>
        <v>1</v>
      </c>
      <c r="F515" s="10">
        <f>dataset_1!F225</f>
        <v>14</v>
      </c>
      <c r="G515" s="10" t="b">
        <f>dataset_1!G225</f>
        <v>0</v>
      </c>
      <c r="H515" s="10">
        <f>dataset_1!H225</f>
        <v>1</v>
      </c>
      <c r="I515" s="10">
        <f>dataset_1!I225</f>
        <v>2</v>
      </c>
      <c r="J515" s="10">
        <f>dataset_1!J225</f>
        <v>0.2</v>
      </c>
      <c r="K515" s="10">
        <f>VLOOKUP(A515,dataset_2!$A$2:$G$611,2,0)</f>
        <v>0.197</v>
      </c>
      <c r="L515" s="10">
        <f>VLOOKUP(A515,dataset_2!$A$2:$G$611,3,0)</f>
        <v>0.4</v>
      </c>
      <c r="M515" s="10">
        <f>VLOOKUP(A515,dataset_2!$A$2:$G$611,4,0)</f>
        <v>0.2239</v>
      </c>
      <c r="N515" s="10">
        <f>VLOOKUP(A515,dataset_2!$A$2:$G$611,5,0)</f>
        <v>0</v>
      </c>
      <c r="O515" s="10">
        <f>VLOOKUP(A515,dataset_2!$A$2:$G$611,6,0)</f>
        <v>47</v>
      </c>
      <c r="P515" s="10">
        <f>VLOOKUP(A515,dataset_2!$A$2:$G$611,7,0)</f>
        <v>47</v>
      </c>
      <c r="Q515" s="10"/>
      <c r="R515" s="10" t="str">
        <f t="shared" si="1"/>
        <v>OK</v>
      </c>
      <c r="S515" s="10">
        <f t="shared" si="2"/>
        <v>1</v>
      </c>
      <c r="T515" s="10" t="str">
        <f t="shared" si="3"/>
        <v>OK</v>
      </c>
      <c r="U515" s="10">
        <f t="shared" si="4"/>
        <v>1</v>
      </c>
      <c r="V515" s="10"/>
      <c r="W515" s="10"/>
      <c r="X515" s="10"/>
      <c r="Y515" s="10"/>
      <c r="Z515" s="10"/>
    </row>
    <row r="516" ht="13.5" customHeight="1">
      <c r="A516" s="10">
        <f>dataset_1!A248</f>
        <v>247</v>
      </c>
      <c r="B516" s="11">
        <f>dataset_1!B248</f>
        <v>40554</v>
      </c>
      <c r="C516" s="10">
        <f>dataset_1!C248</f>
        <v>1</v>
      </c>
      <c r="D516" s="10">
        <f>dataset_1!D248</f>
        <v>0</v>
      </c>
      <c r="E516" s="10">
        <f>dataset_1!E248</f>
        <v>1</v>
      </c>
      <c r="F516" s="10">
        <f>dataset_1!F248</f>
        <v>15</v>
      </c>
      <c r="G516" s="10" t="b">
        <f>dataset_1!G248</f>
        <v>0</v>
      </c>
      <c r="H516" s="10">
        <f>dataset_1!H248</f>
        <v>2</v>
      </c>
      <c r="I516" s="10">
        <f>dataset_1!I248</f>
        <v>2</v>
      </c>
      <c r="J516" s="10">
        <f>dataset_1!J248</f>
        <v>0.16</v>
      </c>
      <c r="K516" s="10">
        <f>VLOOKUP(A516,dataset_2!$A$2:$G$611,2,0)</f>
        <v>0.197</v>
      </c>
      <c r="L516" s="10">
        <f>VLOOKUP(A516,dataset_2!$A$2:$G$611,3,0)</f>
        <v>0.8</v>
      </c>
      <c r="M516" s="10">
        <f>VLOOKUP(A516,dataset_2!$A$2:$G$611,4,0)</f>
        <v>0.0896</v>
      </c>
      <c r="N516" s="10">
        <f>VLOOKUP(A516,dataset_2!$A$2:$G$611,5,0)</f>
        <v>2</v>
      </c>
      <c r="O516" s="10">
        <f>VLOOKUP(A516,dataset_2!$A$2:$G$611,6,0)</f>
        <v>45</v>
      </c>
      <c r="P516" s="10">
        <f>VLOOKUP(A516,dataset_2!$A$2:$G$611,7,0)</f>
        <v>47</v>
      </c>
      <c r="Q516" s="10"/>
      <c r="R516" s="10" t="str">
        <f t="shared" si="1"/>
        <v>OK</v>
      </c>
      <c r="S516" s="10">
        <f t="shared" si="2"/>
        <v>1</v>
      </c>
      <c r="T516" s="10" t="str">
        <f t="shared" si="3"/>
        <v>OK</v>
      </c>
      <c r="U516" s="10">
        <f t="shared" si="4"/>
        <v>1</v>
      </c>
      <c r="V516" s="10"/>
      <c r="W516" s="10"/>
      <c r="X516" s="10"/>
      <c r="Y516" s="10"/>
      <c r="Z516" s="10"/>
    </row>
    <row r="517" ht="13.5" customHeight="1">
      <c r="A517" s="10">
        <f>dataset_1!A383</f>
        <v>382</v>
      </c>
      <c r="B517" s="11">
        <f>dataset_1!B383</f>
        <v>40560</v>
      </c>
      <c r="C517" s="10">
        <f>dataset_1!C383</f>
        <v>1</v>
      </c>
      <c r="D517" s="10">
        <f>dataset_1!D383</f>
        <v>0</v>
      </c>
      <c r="E517" s="10">
        <f>dataset_1!E383</f>
        <v>1</v>
      </c>
      <c r="F517" s="10">
        <f>dataset_1!F383</f>
        <v>9</v>
      </c>
      <c r="G517" s="10" t="b">
        <f>dataset_1!G383</f>
        <v>1</v>
      </c>
      <c r="H517" s="10">
        <f>dataset_1!H383</f>
        <v>1</v>
      </c>
      <c r="I517" s="10">
        <f>dataset_1!I383</f>
        <v>2</v>
      </c>
      <c r="J517" s="10">
        <f>dataset_1!J383</f>
        <v>0.16</v>
      </c>
      <c r="K517" s="10">
        <f>VLOOKUP(A517,dataset_2!$A$2:$G$611,2,0)</f>
        <v>0.1515</v>
      </c>
      <c r="L517" s="10">
        <f>VLOOKUP(A517,dataset_2!$A$2:$G$611,3,0)</f>
        <v>0.47</v>
      </c>
      <c r="M517" s="10">
        <f>VLOOKUP(A517,dataset_2!$A$2:$G$611,4,0)</f>
        <v>0.2239</v>
      </c>
      <c r="N517" s="10">
        <f>VLOOKUP(A517,dataset_2!$A$2:$G$611,5,0)</f>
        <v>8</v>
      </c>
      <c r="O517" s="10">
        <f>VLOOKUP(A517,dataset_2!$A$2:$G$611,6,0)</f>
        <v>39</v>
      </c>
      <c r="P517" s="10">
        <f>VLOOKUP(A517,dataset_2!$A$2:$G$611,7,0)</f>
        <v>47</v>
      </c>
      <c r="Q517" s="10"/>
      <c r="R517" s="10" t="str">
        <f t="shared" si="1"/>
        <v>OK</v>
      </c>
      <c r="S517" s="10">
        <f t="shared" si="2"/>
        <v>1</v>
      </c>
      <c r="T517" s="10" t="str">
        <f t="shared" si="3"/>
        <v>OK</v>
      </c>
      <c r="U517" s="10">
        <f t="shared" si="4"/>
        <v>1</v>
      </c>
      <c r="V517" s="10"/>
      <c r="W517" s="10"/>
      <c r="X517" s="10"/>
      <c r="Y517" s="10"/>
      <c r="Z517" s="10"/>
    </row>
    <row r="518" ht="13.5" customHeight="1">
      <c r="A518" s="10">
        <f>dataset_1!A419</f>
        <v>418</v>
      </c>
      <c r="B518" s="11">
        <f>dataset_1!B419</f>
        <v>40562</v>
      </c>
      <c r="C518" s="10">
        <f>dataset_1!C419</f>
        <v>1</v>
      </c>
      <c r="D518" s="10">
        <f>dataset_1!D419</f>
        <v>0</v>
      </c>
      <c r="E518" s="10">
        <f>dataset_1!E419</f>
        <v>1</v>
      </c>
      <c r="F518" s="10">
        <f>dataset_1!F419</f>
        <v>10</v>
      </c>
      <c r="G518" s="10" t="b">
        <f>dataset_1!G419</f>
        <v>0</v>
      </c>
      <c r="H518" s="10">
        <f>dataset_1!H419</f>
        <v>3</v>
      </c>
      <c r="I518" s="10">
        <f>dataset_1!I419</f>
        <v>2</v>
      </c>
      <c r="J518" s="10">
        <f>dataset_1!J419</f>
        <v>0.26</v>
      </c>
      <c r="K518" s="10">
        <f>VLOOKUP(A518,dataset_2!$A$2:$G$611,2,0)</f>
        <v>0.2727</v>
      </c>
      <c r="L518" s="10">
        <f>VLOOKUP(A518,dataset_2!$A$2:$G$611,3,0)</f>
        <v>0.93</v>
      </c>
      <c r="M518" s="10">
        <f>VLOOKUP(A518,dataset_2!$A$2:$G$611,4,0)</f>
        <v>0.1343</v>
      </c>
      <c r="N518" s="10">
        <f>VLOOKUP(A518,dataset_2!$A$2:$G$611,5,0)</f>
        <v>1</v>
      </c>
      <c r="O518" s="10">
        <f>VLOOKUP(A518,dataset_2!$A$2:$G$611,6,0)</f>
        <v>46</v>
      </c>
      <c r="P518" s="10">
        <f>VLOOKUP(A518,dataset_2!$A$2:$G$611,7,0)</f>
        <v>47</v>
      </c>
      <c r="Q518" s="10"/>
      <c r="R518" s="10" t="str">
        <f t="shared" si="1"/>
        <v>OK</v>
      </c>
      <c r="S518" s="10">
        <f t="shared" si="2"/>
        <v>1</v>
      </c>
      <c r="T518" s="10" t="str">
        <f t="shared" si="3"/>
        <v>OK</v>
      </c>
      <c r="U518" s="10">
        <f t="shared" si="4"/>
        <v>1</v>
      </c>
      <c r="V518" s="10"/>
      <c r="W518" s="10"/>
      <c r="X518" s="10"/>
      <c r="Y518" s="10"/>
      <c r="Z518" s="10"/>
    </row>
    <row r="519" ht="13.5" customHeight="1">
      <c r="A519" s="10">
        <f>dataset_1!A584</f>
        <v>583</v>
      </c>
      <c r="B519" s="11">
        <f>dataset_1!B584</f>
        <v>40569</v>
      </c>
      <c r="C519" s="10">
        <f>dataset_1!C584</f>
        <v>1</v>
      </c>
      <c r="D519" s="10">
        <f>dataset_1!D584</f>
        <v>0</v>
      </c>
      <c r="E519" s="10">
        <f>dataset_1!E584</f>
        <v>1</v>
      </c>
      <c r="F519" s="10">
        <f>dataset_1!F584</f>
        <v>13</v>
      </c>
      <c r="G519" s="10" t="b">
        <f>dataset_1!G584</f>
        <v>0</v>
      </c>
      <c r="H519" s="10">
        <f>dataset_1!H584</f>
        <v>3</v>
      </c>
      <c r="I519" s="10">
        <f>dataset_1!I584</f>
        <v>3</v>
      </c>
      <c r="J519" s="10">
        <f>dataset_1!J584</f>
        <v>0.22</v>
      </c>
      <c r="K519" s="10">
        <f>VLOOKUP(A519,dataset_2!$A$2:$G$611,2,0)</f>
        <v>0.197</v>
      </c>
      <c r="L519" s="10">
        <f>VLOOKUP(A519,dataset_2!$A$2:$G$611,3,0)</f>
        <v>0.93</v>
      </c>
      <c r="M519" s="10">
        <f>VLOOKUP(A519,dataset_2!$A$2:$G$611,4,0)</f>
        <v>0.3284</v>
      </c>
      <c r="N519" s="10">
        <f>VLOOKUP(A519,dataset_2!$A$2:$G$611,5,0)</f>
        <v>4</v>
      </c>
      <c r="O519" s="10">
        <f>VLOOKUP(A519,dataset_2!$A$2:$G$611,6,0)</f>
        <v>43</v>
      </c>
      <c r="P519" s="10">
        <f>VLOOKUP(A519,dataset_2!$A$2:$G$611,7,0)</f>
        <v>47</v>
      </c>
      <c r="Q519" s="10"/>
      <c r="R519" s="10" t="str">
        <f t="shared" si="1"/>
        <v>OK</v>
      </c>
      <c r="S519" s="10">
        <f t="shared" si="2"/>
        <v>1</v>
      </c>
      <c r="T519" s="10" t="str">
        <f t="shared" si="3"/>
        <v>OK</v>
      </c>
      <c r="U519" s="10">
        <f t="shared" si="4"/>
        <v>1</v>
      </c>
      <c r="V519" s="10"/>
      <c r="W519" s="10"/>
      <c r="X519" s="10"/>
      <c r="Y519" s="10"/>
      <c r="Z519" s="10"/>
    </row>
    <row r="520" ht="13.5" customHeight="1">
      <c r="A520" s="3">
        <v>698.0</v>
      </c>
      <c r="B520" s="12">
        <v>40575.0</v>
      </c>
      <c r="C520" s="3">
        <v>1.0</v>
      </c>
      <c r="D520" s="3">
        <v>0.0</v>
      </c>
      <c r="E520" s="3">
        <v>2.0</v>
      </c>
      <c r="F520" s="3">
        <v>10.0</v>
      </c>
      <c r="G520" s="3" t="b">
        <f t="shared" ref="G520:G526" si="58">FALSE()</f>
        <v>0</v>
      </c>
      <c r="H520" s="3">
        <v>2.0</v>
      </c>
      <c r="I520" s="3">
        <v>2.0</v>
      </c>
      <c r="J520" s="3">
        <v>0.16</v>
      </c>
      <c r="K520" s="3">
        <v>0.2273</v>
      </c>
      <c r="L520" s="3">
        <v>0.93</v>
      </c>
      <c r="M520" s="3">
        <v>0.0</v>
      </c>
      <c r="N520" s="3">
        <v>0.0</v>
      </c>
      <c r="O520" s="3">
        <v>47.0</v>
      </c>
      <c r="P520" s="3">
        <v>47.0</v>
      </c>
      <c r="Q520" s="10"/>
      <c r="R520" s="10" t="str">
        <f t="shared" si="1"/>
        <v>OK</v>
      </c>
      <c r="S520" s="10">
        <f t="shared" si="2"/>
        <v>1</v>
      </c>
      <c r="T520" s="10" t="str">
        <f t="shared" si="3"/>
        <v>OK</v>
      </c>
      <c r="U520" s="10">
        <f t="shared" si="4"/>
        <v>1</v>
      </c>
      <c r="V520" s="10"/>
      <c r="W520" s="10"/>
      <c r="X520" s="10"/>
      <c r="Y520" s="10"/>
      <c r="Z520" s="10"/>
    </row>
    <row r="521" ht="13.5" customHeight="1">
      <c r="A521" s="3">
        <v>749.0</v>
      </c>
      <c r="B521" s="12">
        <v>40577.0</v>
      </c>
      <c r="C521" s="3">
        <v>1.0</v>
      </c>
      <c r="D521" s="3">
        <v>0.0</v>
      </c>
      <c r="E521" s="3">
        <v>2.0</v>
      </c>
      <c r="F521" s="3">
        <v>14.0</v>
      </c>
      <c r="G521" s="3" t="b">
        <f t="shared" si="58"/>
        <v>0</v>
      </c>
      <c r="H521" s="3">
        <v>4.0</v>
      </c>
      <c r="I521" s="3">
        <v>1.0</v>
      </c>
      <c r="J521" s="3">
        <v>0.22</v>
      </c>
      <c r="K521" s="3">
        <v>0.197</v>
      </c>
      <c r="L521" s="3">
        <v>0.37</v>
      </c>
      <c r="M521" s="3">
        <v>0.3881</v>
      </c>
      <c r="N521" s="3">
        <v>4.0</v>
      </c>
      <c r="O521" s="3">
        <v>43.0</v>
      </c>
      <c r="P521" s="3">
        <v>47.0</v>
      </c>
      <c r="Q521" s="10"/>
      <c r="R521" s="10" t="str">
        <f t="shared" si="1"/>
        <v>OK</v>
      </c>
      <c r="S521" s="10">
        <f t="shared" si="2"/>
        <v>1</v>
      </c>
      <c r="T521" s="10" t="str">
        <f t="shared" si="3"/>
        <v>OK</v>
      </c>
      <c r="U521" s="10">
        <f t="shared" si="4"/>
        <v>1</v>
      </c>
      <c r="V521" s="10"/>
      <c r="W521" s="10"/>
      <c r="X521" s="10"/>
      <c r="Y521" s="10"/>
      <c r="Z521" s="10"/>
    </row>
    <row r="522" ht="13.5" customHeight="1">
      <c r="A522" s="3">
        <v>793.0</v>
      </c>
      <c r="B522" s="12">
        <v>40579.0</v>
      </c>
      <c r="C522" s="3">
        <v>1.0</v>
      </c>
      <c r="D522" s="3">
        <v>0.0</v>
      </c>
      <c r="E522" s="3">
        <v>2.0</v>
      </c>
      <c r="F522" s="3">
        <v>11.0</v>
      </c>
      <c r="G522" s="3" t="b">
        <f t="shared" si="58"/>
        <v>0</v>
      </c>
      <c r="H522" s="3">
        <v>6.0</v>
      </c>
      <c r="I522" s="3">
        <v>3.0</v>
      </c>
      <c r="J522" s="3">
        <v>0.22</v>
      </c>
      <c r="K522" s="3">
        <v>0.2273</v>
      </c>
      <c r="L522" s="3">
        <v>1.0</v>
      </c>
      <c r="M522" s="3">
        <v>0.1343</v>
      </c>
      <c r="N522" s="3">
        <v>1.0</v>
      </c>
      <c r="O522" s="3">
        <v>46.0</v>
      </c>
      <c r="P522" s="3">
        <v>47.0</v>
      </c>
      <c r="Q522" s="10"/>
      <c r="R522" s="10" t="str">
        <f t="shared" si="1"/>
        <v>OK</v>
      </c>
      <c r="S522" s="10">
        <f t="shared" si="2"/>
        <v>1</v>
      </c>
      <c r="T522" s="10" t="str">
        <f t="shared" si="3"/>
        <v>OK</v>
      </c>
      <c r="U522" s="10">
        <f t="shared" si="4"/>
        <v>1</v>
      </c>
      <c r="V522" s="10"/>
      <c r="W522" s="10"/>
      <c r="X522" s="10"/>
      <c r="Y522" s="10"/>
      <c r="Z522" s="10"/>
    </row>
    <row r="523" ht="13.5" customHeight="1">
      <c r="A523" s="3">
        <v>841.0</v>
      </c>
      <c r="B523" s="12">
        <v>40581.0</v>
      </c>
      <c r="C523" s="3">
        <v>1.0</v>
      </c>
      <c r="D523" s="3">
        <v>0.0</v>
      </c>
      <c r="E523" s="3">
        <v>2.0</v>
      </c>
      <c r="F523" s="3">
        <v>11.0</v>
      </c>
      <c r="G523" s="3" t="b">
        <f t="shared" si="58"/>
        <v>0</v>
      </c>
      <c r="H523" s="3">
        <v>1.0</v>
      </c>
      <c r="I523" s="3">
        <v>1.0</v>
      </c>
      <c r="J523" s="3">
        <v>0.3</v>
      </c>
      <c r="K523" s="3">
        <v>0.3182</v>
      </c>
      <c r="L523" s="3">
        <v>0.65</v>
      </c>
      <c r="M523" s="3">
        <v>0.0896</v>
      </c>
      <c r="N523" s="3">
        <v>11.0</v>
      </c>
      <c r="O523" s="3">
        <v>36.0</v>
      </c>
      <c r="P523" s="3">
        <v>47.0</v>
      </c>
      <c r="Q523" s="10"/>
      <c r="R523" s="10" t="str">
        <f t="shared" si="1"/>
        <v>OK</v>
      </c>
      <c r="S523" s="10">
        <f t="shared" si="2"/>
        <v>1</v>
      </c>
      <c r="T523" s="10" t="str">
        <f t="shared" si="3"/>
        <v>OK</v>
      </c>
      <c r="U523" s="10">
        <f t="shared" si="4"/>
        <v>1</v>
      </c>
      <c r="V523" s="10"/>
      <c r="W523" s="10"/>
      <c r="X523" s="10"/>
      <c r="Y523" s="10"/>
      <c r="Z523" s="10"/>
    </row>
    <row r="524" ht="13.5" customHeight="1">
      <c r="A524" s="3">
        <v>943.0</v>
      </c>
      <c r="B524" s="12">
        <v>40585.0</v>
      </c>
      <c r="C524" s="3">
        <v>1.0</v>
      </c>
      <c r="D524" s="3">
        <v>0.0</v>
      </c>
      <c r="E524" s="3">
        <v>2.0</v>
      </c>
      <c r="F524" s="3">
        <v>21.0</v>
      </c>
      <c r="G524" s="3" t="b">
        <f t="shared" si="58"/>
        <v>0</v>
      </c>
      <c r="H524" s="3">
        <v>5.0</v>
      </c>
      <c r="I524" s="3">
        <v>1.0</v>
      </c>
      <c r="J524" s="3">
        <v>0.2</v>
      </c>
      <c r="K524" s="3">
        <v>0.2121</v>
      </c>
      <c r="L524" s="3">
        <v>0.59</v>
      </c>
      <c r="M524" s="3">
        <v>0.1343</v>
      </c>
      <c r="N524" s="3">
        <v>1.0</v>
      </c>
      <c r="O524" s="3">
        <v>46.0</v>
      </c>
      <c r="P524" s="3">
        <v>47.0</v>
      </c>
      <c r="Q524" s="10"/>
      <c r="R524" s="10" t="str">
        <f t="shared" si="1"/>
        <v>OK</v>
      </c>
      <c r="S524" s="10">
        <f t="shared" si="2"/>
        <v>1</v>
      </c>
      <c r="T524" s="10" t="str">
        <f t="shared" si="3"/>
        <v>OK</v>
      </c>
      <c r="U524" s="10">
        <f t="shared" si="4"/>
        <v>1</v>
      </c>
      <c r="V524" s="10"/>
      <c r="W524" s="10"/>
      <c r="X524" s="10"/>
      <c r="Y524" s="10"/>
      <c r="Z524" s="10"/>
    </row>
    <row r="525" ht="13.5" customHeight="1">
      <c r="A525" s="3">
        <v>978.0</v>
      </c>
      <c r="B525" s="12">
        <v>40587.0</v>
      </c>
      <c r="C525" s="3">
        <v>1.0</v>
      </c>
      <c r="D525" s="3">
        <v>0.0</v>
      </c>
      <c r="E525" s="3">
        <v>2.0</v>
      </c>
      <c r="F525" s="3">
        <v>9.0</v>
      </c>
      <c r="G525" s="3" t="b">
        <f t="shared" si="58"/>
        <v>0</v>
      </c>
      <c r="H525" s="3">
        <v>0.0</v>
      </c>
      <c r="I525" s="3">
        <v>2.0</v>
      </c>
      <c r="J525" s="3">
        <v>0.24</v>
      </c>
      <c r="K525" s="3">
        <v>0.2273</v>
      </c>
      <c r="L525" s="3">
        <v>0.6</v>
      </c>
      <c r="M525" s="3">
        <v>0.2239</v>
      </c>
      <c r="N525" s="3">
        <v>12.0</v>
      </c>
      <c r="O525" s="3">
        <v>35.0</v>
      </c>
      <c r="P525" s="3">
        <v>47.0</v>
      </c>
      <c r="Q525" s="10"/>
      <c r="R525" s="10" t="str">
        <f t="shared" si="1"/>
        <v>OK</v>
      </c>
      <c r="S525" s="10">
        <f t="shared" si="2"/>
        <v>1</v>
      </c>
      <c r="T525" s="10" t="str">
        <f t="shared" si="3"/>
        <v>OK</v>
      </c>
      <c r="U525" s="10">
        <f t="shared" si="4"/>
        <v>1</v>
      </c>
      <c r="V525" s="10"/>
      <c r="W525" s="10"/>
      <c r="X525" s="10"/>
      <c r="Y525" s="10"/>
      <c r="Z525" s="10"/>
    </row>
    <row r="526" ht="13.5" customHeight="1">
      <c r="A526" s="3">
        <v>989.0</v>
      </c>
      <c r="B526" s="12">
        <v>40587.0</v>
      </c>
      <c r="C526" s="3">
        <v>1.0</v>
      </c>
      <c r="D526" s="3">
        <v>0.0</v>
      </c>
      <c r="E526" s="3">
        <v>2.0</v>
      </c>
      <c r="F526" s="3">
        <v>20.0</v>
      </c>
      <c r="G526" s="3" t="b">
        <f t="shared" si="58"/>
        <v>0</v>
      </c>
      <c r="H526" s="3">
        <v>0.0</v>
      </c>
      <c r="I526" s="3">
        <v>1.0</v>
      </c>
      <c r="J526" s="3">
        <v>0.4</v>
      </c>
      <c r="K526" s="3">
        <v>0.4091</v>
      </c>
      <c r="L526" s="3">
        <v>0.35</v>
      </c>
      <c r="M526" s="3">
        <v>0.3284</v>
      </c>
      <c r="N526" s="3">
        <v>15.0</v>
      </c>
      <c r="O526" s="3">
        <v>32.0</v>
      </c>
      <c r="P526" s="3">
        <v>47.0</v>
      </c>
      <c r="Q526" s="10"/>
      <c r="R526" s="10" t="str">
        <f t="shared" si="1"/>
        <v>OK</v>
      </c>
      <c r="S526" s="10">
        <f t="shared" si="2"/>
        <v>1</v>
      </c>
      <c r="T526" s="10" t="str">
        <f t="shared" si="3"/>
        <v>OK</v>
      </c>
      <c r="U526" s="10">
        <f t="shared" si="4"/>
        <v>1</v>
      </c>
      <c r="V526" s="10"/>
      <c r="W526" s="10"/>
      <c r="X526" s="10"/>
      <c r="Y526" s="10"/>
      <c r="Z526" s="10"/>
    </row>
    <row r="527" ht="13.5" customHeight="1">
      <c r="A527" s="10">
        <f>dataset_1!A104</f>
        <v>103</v>
      </c>
      <c r="B527" s="11">
        <f>dataset_1!B104</f>
        <v>40548</v>
      </c>
      <c r="C527" s="10">
        <f>dataset_1!C104</f>
        <v>1</v>
      </c>
      <c r="D527" s="10">
        <f>dataset_1!D104</f>
        <v>0</v>
      </c>
      <c r="E527" s="10">
        <f>dataset_1!E104</f>
        <v>1</v>
      </c>
      <c r="F527" s="10">
        <f>dataset_1!F104</f>
        <v>11</v>
      </c>
      <c r="G527" s="10" t="b">
        <f>dataset_1!G104</f>
        <v>0</v>
      </c>
      <c r="H527" s="10">
        <f>dataset_1!H104</f>
        <v>3</v>
      </c>
      <c r="I527" s="10">
        <f>dataset_1!I104</f>
        <v>1</v>
      </c>
      <c r="J527" s="10">
        <f>dataset_1!J104</f>
        <v>0.26</v>
      </c>
      <c r="K527" s="10">
        <f>VLOOKUP(A527,dataset_2!$A$2:$G$611,2,0)</f>
        <v>0.2273</v>
      </c>
      <c r="L527" s="10">
        <f>VLOOKUP(A527,dataset_2!$A$2:$G$611,3,0)</f>
        <v>0.33</v>
      </c>
      <c r="M527" s="10">
        <f>VLOOKUP(A527,dataset_2!$A$2:$G$611,4,0)</f>
        <v>0.3284</v>
      </c>
      <c r="N527" s="10">
        <f>VLOOKUP(A527,dataset_2!$A$2:$G$611,5,0)</f>
        <v>12</v>
      </c>
      <c r="O527" s="10">
        <f>VLOOKUP(A527,dataset_2!$A$2:$G$611,6,0)</f>
        <v>34</v>
      </c>
      <c r="P527" s="10">
        <f>VLOOKUP(A527,dataset_2!$A$2:$G$611,7,0)</f>
        <v>46</v>
      </c>
      <c r="Q527" s="10"/>
      <c r="R527" s="10" t="str">
        <f t="shared" si="1"/>
        <v>OK</v>
      </c>
      <c r="S527" s="10">
        <f t="shared" si="2"/>
        <v>1</v>
      </c>
      <c r="T527" s="10" t="str">
        <f t="shared" si="3"/>
        <v>OK</v>
      </c>
      <c r="U527" s="10">
        <f t="shared" si="4"/>
        <v>1</v>
      </c>
      <c r="V527" s="10"/>
      <c r="W527" s="10"/>
      <c r="X527" s="10"/>
      <c r="Y527" s="10"/>
      <c r="Z527" s="10"/>
    </row>
    <row r="528" ht="13.5" customHeight="1">
      <c r="A528" s="10">
        <f>dataset_1!A537</f>
        <v>536</v>
      </c>
      <c r="B528" s="11">
        <f>dataset_1!B537</f>
        <v>40567</v>
      </c>
      <c r="C528" s="10">
        <f>dataset_1!C537</f>
        <v>1</v>
      </c>
      <c r="D528" s="10">
        <f>dataset_1!D537</f>
        <v>0</v>
      </c>
      <c r="E528" s="10">
        <f>dataset_1!E537</f>
        <v>1</v>
      </c>
      <c r="F528" s="10">
        <f>dataset_1!F537</f>
        <v>11</v>
      </c>
      <c r="G528" s="10" t="b">
        <f>dataset_1!G537</f>
        <v>0</v>
      </c>
      <c r="H528" s="10">
        <f>dataset_1!H537</f>
        <v>1</v>
      </c>
      <c r="I528" s="10">
        <f>dataset_1!I537</f>
        <v>1</v>
      </c>
      <c r="J528" s="10">
        <f>dataset_1!J537</f>
        <v>0.1</v>
      </c>
      <c r="K528" s="10">
        <f>VLOOKUP(A528,dataset_2!$A$2:$G$611,2,0)</f>
        <v>0.1212</v>
      </c>
      <c r="L528" s="10">
        <f>VLOOKUP(A528,dataset_2!$A$2:$G$611,3,0)</f>
        <v>0.46</v>
      </c>
      <c r="M528" s="10">
        <f>VLOOKUP(A528,dataset_2!$A$2:$G$611,4,0)</f>
        <v>0.1343</v>
      </c>
      <c r="N528" s="10">
        <f>VLOOKUP(A528,dataset_2!$A$2:$G$611,5,0)</f>
        <v>3</v>
      </c>
      <c r="O528" s="10">
        <f>VLOOKUP(A528,dataset_2!$A$2:$G$611,6,0)</f>
        <v>43</v>
      </c>
      <c r="P528" s="10">
        <f>VLOOKUP(A528,dataset_2!$A$2:$G$611,7,0)</f>
        <v>46</v>
      </c>
      <c r="Q528" s="10"/>
      <c r="R528" s="10" t="str">
        <f t="shared" si="1"/>
        <v>OK</v>
      </c>
      <c r="S528" s="10">
        <f t="shared" si="2"/>
        <v>1</v>
      </c>
      <c r="T528" s="10" t="str">
        <f t="shared" si="3"/>
        <v>OK</v>
      </c>
      <c r="U528" s="10">
        <f t="shared" si="4"/>
        <v>1</v>
      </c>
      <c r="V528" s="10"/>
      <c r="W528" s="10"/>
      <c r="X528" s="10"/>
      <c r="Y528" s="10"/>
      <c r="Z528" s="10"/>
    </row>
    <row r="529" ht="13.5" customHeight="1">
      <c r="A529" s="3">
        <v>780.0</v>
      </c>
      <c r="B529" s="12">
        <v>40578.0</v>
      </c>
      <c r="C529" s="3">
        <v>1.0</v>
      </c>
      <c r="D529" s="3">
        <v>0.0</v>
      </c>
      <c r="E529" s="3">
        <v>2.0</v>
      </c>
      <c r="F529" s="3">
        <v>22.0</v>
      </c>
      <c r="G529" s="3" t="b">
        <f t="shared" ref="G529:G530" si="59">FALSE()</f>
        <v>0</v>
      </c>
      <c r="H529" s="3">
        <v>5.0</v>
      </c>
      <c r="I529" s="3">
        <v>2.0</v>
      </c>
      <c r="J529" s="3">
        <v>0.24</v>
      </c>
      <c r="K529" s="3">
        <v>0.2424</v>
      </c>
      <c r="L529" s="3">
        <v>0.65</v>
      </c>
      <c r="M529" s="3">
        <v>0.1642</v>
      </c>
      <c r="N529" s="3">
        <v>1.0</v>
      </c>
      <c r="O529" s="3">
        <v>45.0</v>
      </c>
      <c r="P529" s="3">
        <v>46.0</v>
      </c>
      <c r="Q529" s="10"/>
      <c r="R529" s="10" t="str">
        <f t="shared" si="1"/>
        <v>OK</v>
      </c>
      <c r="S529" s="10">
        <f t="shared" si="2"/>
        <v>1</v>
      </c>
      <c r="T529" s="10" t="str">
        <f t="shared" si="3"/>
        <v>OK</v>
      </c>
      <c r="U529" s="10">
        <f t="shared" si="4"/>
        <v>1</v>
      </c>
      <c r="V529" s="10"/>
      <c r="W529" s="10"/>
      <c r="X529" s="10"/>
      <c r="Y529" s="10"/>
      <c r="Z529" s="10"/>
    </row>
    <row r="530" ht="13.5" customHeight="1">
      <c r="A530" s="3">
        <v>899.0</v>
      </c>
      <c r="B530" s="12">
        <v>40583.0</v>
      </c>
      <c r="C530" s="3">
        <v>1.0</v>
      </c>
      <c r="D530" s="3">
        <v>0.0</v>
      </c>
      <c r="E530" s="3">
        <v>2.0</v>
      </c>
      <c r="F530" s="3">
        <v>22.0</v>
      </c>
      <c r="G530" s="3" t="b">
        <f t="shared" si="59"/>
        <v>0</v>
      </c>
      <c r="H530" s="3">
        <v>3.0</v>
      </c>
      <c r="I530" s="3">
        <v>3.0</v>
      </c>
      <c r="J530" s="3">
        <v>0.16</v>
      </c>
      <c r="K530" s="3">
        <v>0.1667</v>
      </c>
      <c r="L530" s="3">
        <v>0.8</v>
      </c>
      <c r="M530" s="3">
        <v>0.1642</v>
      </c>
      <c r="N530" s="3">
        <v>4.0</v>
      </c>
      <c r="O530" s="3">
        <v>42.0</v>
      </c>
      <c r="P530" s="3">
        <v>46.0</v>
      </c>
      <c r="Q530" s="10"/>
      <c r="R530" s="10" t="str">
        <f t="shared" si="1"/>
        <v>OK</v>
      </c>
      <c r="S530" s="10">
        <f t="shared" si="2"/>
        <v>1</v>
      </c>
      <c r="T530" s="10" t="str">
        <f t="shared" si="3"/>
        <v>OK</v>
      </c>
      <c r="U530" s="10">
        <f t="shared" si="4"/>
        <v>1</v>
      </c>
      <c r="V530" s="10"/>
      <c r="W530" s="10"/>
      <c r="X530" s="10"/>
      <c r="Y530" s="10"/>
      <c r="Z530" s="10"/>
    </row>
    <row r="531" ht="13.5" customHeight="1">
      <c r="A531" s="10">
        <f>dataset_1!A126</f>
        <v>125</v>
      </c>
      <c r="B531" s="11">
        <f>dataset_1!B126</f>
        <v>40549</v>
      </c>
      <c r="C531" s="10">
        <f>dataset_1!C126</f>
        <v>1</v>
      </c>
      <c r="D531" s="10">
        <f>dataset_1!D126</f>
        <v>0</v>
      </c>
      <c r="E531" s="10">
        <f>dataset_1!E126</f>
        <v>1</v>
      </c>
      <c r="F531" s="10">
        <f>dataset_1!F126</f>
        <v>10</v>
      </c>
      <c r="G531" s="10" t="b">
        <f>dataset_1!G126</f>
        <v>0</v>
      </c>
      <c r="H531" s="10">
        <f>dataset_1!H126</f>
        <v>4</v>
      </c>
      <c r="I531" s="10">
        <f>dataset_1!I126</f>
        <v>1</v>
      </c>
      <c r="J531" s="10">
        <f>dataset_1!J126</f>
        <v>0.2</v>
      </c>
      <c r="K531" s="10">
        <f>VLOOKUP(A531,dataset_2!$A$2:$G$611,2,0)</f>
        <v>0.2576</v>
      </c>
      <c r="L531" s="10">
        <f>VLOOKUP(A531,dataset_2!$A$2:$G$611,3,0)</f>
        <v>0.47</v>
      </c>
      <c r="M531" s="10">
        <f>VLOOKUP(A531,dataset_2!$A$2:$G$611,4,0)</f>
        <v>0</v>
      </c>
      <c r="N531" s="10">
        <f>VLOOKUP(A531,dataset_2!$A$2:$G$611,5,0)</f>
        <v>3</v>
      </c>
      <c r="O531" s="10">
        <f>VLOOKUP(A531,dataset_2!$A$2:$G$611,6,0)</f>
        <v>42</v>
      </c>
      <c r="P531" s="10">
        <f>VLOOKUP(A531,dataset_2!$A$2:$G$611,7,0)</f>
        <v>45</v>
      </c>
      <c r="Q531" s="10"/>
      <c r="R531" s="10" t="str">
        <f t="shared" si="1"/>
        <v>OK</v>
      </c>
      <c r="S531" s="10">
        <f t="shared" si="2"/>
        <v>1</v>
      </c>
      <c r="T531" s="10" t="str">
        <f t="shared" si="3"/>
        <v>OK</v>
      </c>
      <c r="U531" s="10">
        <f t="shared" si="4"/>
        <v>1</v>
      </c>
      <c r="V531" s="10"/>
      <c r="W531" s="10"/>
      <c r="X531" s="10"/>
      <c r="Y531" s="10"/>
      <c r="Z531" s="10"/>
    </row>
    <row r="532" ht="13.5" customHeight="1">
      <c r="A532" s="10">
        <f>dataset_1!A226</f>
        <v>225</v>
      </c>
      <c r="B532" s="11">
        <f>dataset_1!B226</f>
        <v>40553</v>
      </c>
      <c r="C532" s="10">
        <f>dataset_1!C226</f>
        <v>1</v>
      </c>
      <c r="D532" s="10">
        <f>dataset_1!D226</f>
        <v>0</v>
      </c>
      <c r="E532" s="10">
        <f>dataset_1!E226</f>
        <v>1</v>
      </c>
      <c r="F532" s="10">
        <f>dataset_1!F226</f>
        <v>15</v>
      </c>
      <c r="G532" s="10" t="b">
        <f>dataset_1!G226</f>
        <v>0</v>
      </c>
      <c r="H532" s="10">
        <f>dataset_1!H226</f>
        <v>1</v>
      </c>
      <c r="I532" s="10">
        <f>dataset_1!I226</f>
        <v>2</v>
      </c>
      <c r="J532" s="10">
        <f>dataset_1!J226</f>
        <v>0.2</v>
      </c>
      <c r="K532" s="10">
        <f>VLOOKUP(A532,dataset_2!$A$2:$G$611,2,0)</f>
        <v>0.197</v>
      </c>
      <c r="L532" s="10">
        <f>VLOOKUP(A532,dataset_2!$A$2:$G$611,3,0)</f>
        <v>0.4</v>
      </c>
      <c r="M532" s="10">
        <f>VLOOKUP(A532,dataset_2!$A$2:$G$611,4,0)</f>
        <v>0.2239</v>
      </c>
      <c r="N532" s="10">
        <f>VLOOKUP(A532,dataset_2!$A$2:$G$611,5,0)</f>
        <v>2</v>
      </c>
      <c r="O532" s="10">
        <f>VLOOKUP(A532,dataset_2!$A$2:$G$611,6,0)</f>
        <v>43</v>
      </c>
      <c r="P532" s="10">
        <f>VLOOKUP(A532,dataset_2!$A$2:$G$611,7,0)</f>
        <v>45</v>
      </c>
      <c r="Q532" s="10"/>
      <c r="R532" s="10" t="str">
        <f t="shared" si="1"/>
        <v>OK</v>
      </c>
      <c r="S532" s="10">
        <f t="shared" si="2"/>
        <v>1</v>
      </c>
      <c r="T532" s="10" t="str">
        <f t="shared" si="3"/>
        <v>OK</v>
      </c>
      <c r="U532" s="10">
        <f t="shared" si="4"/>
        <v>1</v>
      </c>
      <c r="V532" s="10"/>
      <c r="W532" s="10"/>
      <c r="X532" s="10"/>
      <c r="Y532" s="10"/>
      <c r="Z532" s="10"/>
    </row>
    <row r="533" ht="13.5" customHeight="1">
      <c r="A533" s="10">
        <f>dataset_1!A500</f>
        <v>499</v>
      </c>
      <c r="B533" s="11">
        <f>dataset_1!B500</f>
        <v>40565</v>
      </c>
      <c r="C533" s="10">
        <f>dataset_1!C500</f>
        <v>1</v>
      </c>
      <c r="D533" s="10">
        <f>dataset_1!D500</f>
        <v>0</v>
      </c>
      <c r="E533" s="10">
        <f>dataset_1!E500</f>
        <v>1</v>
      </c>
      <c r="F533" s="10">
        <f>dataset_1!F500</f>
        <v>20</v>
      </c>
      <c r="G533" s="10" t="b">
        <f>dataset_1!G500</f>
        <v>0</v>
      </c>
      <c r="H533" s="10">
        <f>dataset_1!H500</f>
        <v>6</v>
      </c>
      <c r="I533" s="10">
        <f>dataset_1!I500</f>
        <v>1</v>
      </c>
      <c r="J533" s="10">
        <f>dataset_1!J500</f>
        <v>0.06</v>
      </c>
      <c r="K533" s="10">
        <f>VLOOKUP(A533,dataset_2!$A$2:$G$611,2,0)</f>
        <v>0.0758</v>
      </c>
      <c r="L533" s="10">
        <f>VLOOKUP(A533,dataset_2!$A$2:$G$611,3,0)</f>
        <v>0.45</v>
      </c>
      <c r="M533" s="10">
        <f>VLOOKUP(A533,dataset_2!$A$2:$G$611,4,0)</f>
        <v>0.1642</v>
      </c>
      <c r="N533" s="10">
        <f>VLOOKUP(A533,dataset_2!$A$2:$G$611,5,0)</f>
        <v>1</v>
      </c>
      <c r="O533" s="10">
        <f>VLOOKUP(A533,dataset_2!$A$2:$G$611,6,0)</f>
        <v>44</v>
      </c>
      <c r="P533" s="10">
        <f>VLOOKUP(A533,dataset_2!$A$2:$G$611,7,0)</f>
        <v>45</v>
      </c>
      <c r="Q533" s="10"/>
      <c r="R533" s="10" t="str">
        <f t="shared" si="1"/>
        <v>OK</v>
      </c>
      <c r="S533" s="10">
        <f t="shared" si="2"/>
        <v>1</v>
      </c>
      <c r="T533" s="10" t="str">
        <f t="shared" si="3"/>
        <v>OK</v>
      </c>
      <c r="U533" s="10">
        <f t="shared" si="4"/>
        <v>1</v>
      </c>
      <c r="V533" s="10"/>
      <c r="W533" s="10"/>
      <c r="X533" s="10"/>
      <c r="Y533" s="10"/>
      <c r="Z533" s="10"/>
    </row>
    <row r="534" ht="13.5" customHeight="1">
      <c r="A534" s="10">
        <f>dataset_1!A540</f>
        <v>539</v>
      </c>
      <c r="B534" s="11">
        <f>dataset_1!B540</f>
        <v>40567</v>
      </c>
      <c r="C534" s="10">
        <f>dataset_1!C540</f>
        <v>1</v>
      </c>
      <c r="D534" s="10">
        <f>dataset_1!D540</f>
        <v>0</v>
      </c>
      <c r="E534" s="10">
        <f>dataset_1!E540</f>
        <v>1</v>
      </c>
      <c r="F534" s="10">
        <f>dataset_1!F540</f>
        <v>14</v>
      </c>
      <c r="G534" s="10" t="b">
        <f>dataset_1!G540</f>
        <v>0</v>
      </c>
      <c r="H534" s="10">
        <f>dataset_1!H540</f>
        <v>1</v>
      </c>
      <c r="I534" s="10">
        <f>dataset_1!I540</f>
        <v>2</v>
      </c>
      <c r="J534" s="10">
        <f>dataset_1!J540</f>
        <v>0.14</v>
      </c>
      <c r="K534" s="10">
        <f>VLOOKUP(A534,dataset_2!$A$2:$G$611,2,0)</f>
        <v>0.1364</v>
      </c>
      <c r="L534" s="10">
        <f>VLOOKUP(A534,dataset_2!$A$2:$G$611,3,0)</f>
        <v>0.46</v>
      </c>
      <c r="M534" s="10">
        <f>VLOOKUP(A534,dataset_2!$A$2:$G$611,4,0)</f>
        <v>0.2239</v>
      </c>
      <c r="N534" s="10">
        <f>VLOOKUP(A534,dataset_2!$A$2:$G$611,5,0)</f>
        <v>2</v>
      </c>
      <c r="O534" s="10">
        <f>VLOOKUP(A534,dataset_2!$A$2:$G$611,6,0)</f>
        <v>43</v>
      </c>
      <c r="P534" s="10">
        <f>VLOOKUP(A534,dataset_2!$A$2:$G$611,7,0)</f>
        <v>45</v>
      </c>
      <c r="Q534" s="10"/>
      <c r="R534" s="10" t="str">
        <f t="shared" si="1"/>
        <v>OK</v>
      </c>
      <c r="S534" s="10">
        <f t="shared" si="2"/>
        <v>1</v>
      </c>
      <c r="T534" s="10" t="str">
        <f t="shared" si="3"/>
        <v>OK</v>
      </c>
      <c r="U534" s="10">
        <f t="shared" si="4"/>
        <v>1</v>
      </c>
      <c r="V534" s="10"/>
      <c r="W534" s="10"/>
      <c r="X534" s="10"/>
      <c r="Y534" s="10"/>
      <c r="Z534" s="10"/>
    </row>
    <row r="535" ht="13.5" customHeight="1">
      <c r="A535" s="10">
        <f>dataset_1!A570</f>
        <v>569</v>
      </c>
      <c r="B535" s="11">
        <f>dataset_1!B570</f>
        <v>40568</v>
      </c>
      <c r="C535" s="10">
        <f>dataset_1!C570</f>
        <v>1</v>
      </c>
      <c r="D535" s="10">
        <f>dataset_1!D570</f>
        <v>0</v>
      </c>
      <c r="E535" s="10">
        <f>dataset_1!E570</f>
        <v>1</v>
      </c>
      <c r="F535" s="10">
        <f>dataset_1!F570</f>
        <v>21</v>
      </c>
      <c r="G535" s="10" t="b">
        <f>dataset_1!G570</f>
        <v>0</v>
      </c>
      <c r="H535" s="10">
        <f>dataset_1!H570</f>
        <v>2</v>
      </c>
      <c r="I535" s="10">
        <f>dataset_1!I570</f>
        <v>1</v>
      </c>
      <c r="J535" s="10">
        <f>dataset_1!J570</f>
        <v>0.24</v>
      </c>
      <c r="K535" s="10">
        <f>VLOOKUP(A535,dataset_2!$A$2:$G$611,2,0)</f>
        <v>0.2273</v>
      </c>
      <c r="L535" s="10">
        <f>VLOOKUP(A535,dataset_2!$A$2:$G$611,3,0)</f>
        <v>0.65</v>
      </c>
      <c r="M535" s="10">
        <f>VLOOKUP(A535,dataset_2!$A$2:$G$611,4,0)</f>
        <v>0.194</v>
      </c>
      <c r="N535" s="10">
        <f>VLOOKUP(A535,dataset_2!$A$2:$G$611,5,0)</f>
        <v>5</v>
      </c>
      <c r="O535" s="10">
        <f>VLOOKUP(A535,dataset_2!$A$2:$G$611,6,0)</f>
        <v>40</v>
      </c>
      <c r="P535" s="10">
        <f>VLOOKUP(A535,dataset_2!$A$2:$G$611,7,0)</f>
        <v>45</v>
      </c>
      <c r="Q535" s="10"/>
      <c r="R535" s="10" t="str">
        <f t="shared" si="1"/>
        <v>OK</v>
      </c>
      <c r="S535" s="10">
        <f t="shared" si="2"/>
        <v>1</v>
      </c>
      <c r="T535" s="10" t="str">
        <f t="shared" si="3"/>
        <v>OK</v>
      </c>
      <c r="U535" s="10">
        <f t="shared" si="4"/>
        <v>1</v>
      </c>
      <c r="V535" s="10"/>
      <c r="W535" s="10"/>
      <c r="X535" s="10"/>
      <c r="Y535" s="10"/>
      <c r="Z535" s="10"/>
    </row>
    <row r="536" ht="13.5" customHeight="1">
      <c r="A536" s="3">
        <v>804.0</v>
      </c>
      <c r="B536" s="12">
        <v>40579.0</v>
      </c>
      <c r="C536" s="3">
        <v>1.0</v>
      </c>
      <c r="D536" s="3">
        <v>0.0</v>
      </c>
      <c r="E536" s="3">
        <v>2.0</v>
      </c>
      <c r="F536" s="3">
        <v>22.0</v>
      </c>
      <c r="G536" s="3" t="b">
        <f t="shared" ref="G536:G539" si="60">FALSE()</f>
        <v>0</v>
      </c>
      <c r="H536" s="3">
        <v>6.0</v>
      </c>
      <c r="I536" s="3">
        <v>1.0</v>
      </c>
      <c r="J536" s="3">
        <v>0.26</v>
      </c>
      <c r="K536" s="3">
        <v>0.2727</v>
      </c>
      <c r="L536" s="3">
        <v>0.93</v>
      </c>
      <c r="M536" s="3">
        <v>0.1343</v>
      </c>
      <c r="N536" s="3">
        <v>2.0</v>
      </c>
      <c r="O536" s="3">
        <v>43.0</v>
      </c>
      <c r="P536" s="3">
        <v>45.0</v>
      </c>
      <c r="Q536" s="10"/>
      <c r="R536" s="10" t="str">
        <f t="shared" si="1"/>
        <v>OK</v>
      </c>
      <c r="S536" s="10">
        <f t="shared" si="2"/>
        <v>1</v>
      </c>
      <c r="T536" s="10" t="str">
        <f t="shared" si="3"/>
        <v>OK</v>
      </c>
      <c r="U536" s="10">
        <f t="shared" si="4"/>
        <v>1</v>
      </c>
      <c r="V536" s="10"/>
      <c r="W536" s="10"/>
      <c r="X536" s="10"/>
      <c r="Y536" s="10"/>
      <c r="Z536" s="10"/>
    </row>
    <row r="537" ht="13.5" customHeight="1">
      <c r="A537" s="3">
        <v>815.0</v>
      </c>
      <c r="B537" s="12">
        <v>40580.0</v>
      </c>
      <c r="C537" s="3">
        <v>1.0</v>
      </c>
      <c r="D537" s="3">
        <v>0.0</v>
      </c>
      <c r="E537" s="3">
        <v>2.0</v>
      </c>
      <c r="F537" s="3">
        <v>9.0</v>
      </c>
      <c r="G537" s="3" t="b">
        <f t="shared" si="60"/>
        <v>0</v>
      </c>
      <c r="H537" s="3">
        <v>0.0</v>
      </c>
      <c r="I537" s="3">
        <v>1.0</v>
      </c>
      <c r="J537" s="3">
        <v>0.28</v>
      </c>
      <c r="K537" s="3">
        <v>0.2879</v>
      </c>
      <c r="L537" s="3">
        <v>0.56</v>
      </c>
      <c r="M537" s="3">
        <v>0.1045</v>
      </c>
      <c r="N537" s="3">
        <v>7.0</v>
      </c>
      <c r="O537" s="3">
        <v>38.0</v>
      </c>
      <c r="P537" s="3">
        <v>45.0</v>
      </c>
      <c r="Q537" s="10"/>
      <c r="R537" s="10" t="str">
        <f t="shared" si="1"/>
        <v>OK</v>
      </c>
      <c r="S537" s="10">
        <f t="shared" si="2"/>
        <v>1</v>
      </c>
      <c r="T537" s="10" t="str">
        <f t="shared" si="3"/>
        <v>OK</v>
      </c>
      <c r="U537" s="10">
        <f t="shared" si="4"/>
        <v>1</v>
      </c>
      <c r="V537" s="10"/>
      <c r="W537" s="10"/>
      <c r="X537" s="10"/>
      <c r="Y537" s="10"/>
      <c r="Z537" s="10"/>
    </row>
    <row r="538" ht="13.5" customHeight="1">
      <c r="A538" s="3">
        <v>911.0</v>
      </c>
      <c r="B538" s="12">
        <v>40584.0</v>
      </c>
      <c r="C538" s="3">
        <v>1.0</v>
      </c>
      <c r="D538" s="3">
        <v>0.0</v>
      </c>
      <c r="E538" s="3">
        <v>2.0</v>
      </c>
      <c r="F538" s="3">
        <v>11.0</v>
      </c>
      <c r="G538" s="3" t="b">
        <f t="shared" si="60"/>
        <v>0</v>
      </c>
      <c r="H538" s="3">
        <v>4.0</v>
      </c>
      <c r="I538" s="3">
        <v>1.0</v>
      </c>
      <c r="J538" s="3">
        <v>0.14</v>
      </c>
      <c r="K538" s="3">
        <v>0.1212</v>
      </c>
      <c r="L538" s="3">
        <v>0.39</v>
      </c>
      <c r="M538" s="3">
        <v>0.3582</v>
      </c>
      <c r="N538" s="3">
        <v>1.0</v>
      </c>
      <c r="O538" s="3">
        <v>44.0</v>
      </c>
      <c r="P538" s="3">
        <v>45.0</v>
      </c>
      <c r="Q538" s="10"/>
      <c r="R538" s="10" t="str">
        <f t="shared" si="1"/>
        <v>OK</v>
      </c>
      <c r="S538" s="10">
        <f t="shared" si="2"/>
        <v>1</v>
      </c>
      <c r="T538" s="10" t="str">
        <f t="shared" si="3"/>
        <v>OK</v>
      </c>
      <c r="U538" s="10">
        <f t="shared" si="4"/>
        <v>1</v>
      </c>
      <c r="V538" s="10"/>
      <c r="W538" s="10"/>
      <c r="X538" s="10"/>
      <c r="Y538" s="10"/>
      <c r="Z538" s="10"/>
    </row>
    <row r="539" ht="13.5" customHeight="1">
      <c r="A539" s="3">
        <v>968.0</v>
      </c>
      <c r="B539" s="12">
        <v>40586.0</v>
      </c>
      <c r="C539" s="3">
        <v>1.0</v>
      </c>
      <c r="D539" s="3">
        <v>0.0</v>
      </c>
      <c r="E539" s="3">
        <v>2.0</v>
      </c>
      <c r="F539" s="3">
        <v>22.0</v>
      </c>
      <c r="G539" s="3" t="b">
        <f t="shared" si="60"/>
        <v>0</v>
      </c>
      <c r="H539" s="3">
        <v>6.0</v>
      </c>
      <c r="I539" s="3">
        <v>1.0</v>
      </c>
      <c r="J539" s="3">
        <v>0.24</v>
      </c>
      <c r="K539" s="3">
        <v>0.2576</v>
      </c>
      <c r="L539" s="3">
        <v>0.44</v>
      </c>
      <c r="M539" s="3">
        <v>0.0896</v>
      </c>
      <c r="N539" s="3">
        <v>6.0</v>
      </c>
      <c r="O539" s="3">
        <v>39.0</v>
      </c>
      <c r="P539" s="3">
        <v>45.0</v>
      </c>
      <c r="Q539" s="10"/>
      <c r="R539" s="10" t="str">
        <f t="shared" si="1"/>
        <v>OK</v>
      </c>
      <c r="S539" s="10">
        <f t="shared" si="2"/>
        <v>1</v>
      </c>
      <c r="T539" s="10" t="str">
        <f t="shared" si="3"/>
        <v>OK</v>
      </c>
      <c r="U539" s="10">
        <f t="shared" si="4"/>
        <v>1</v>
      </c>
      <c r="V539" s="10"/>
      <c r="W539" s="10"/>
      <c r="X539" s="10"/>
      <c r="Y539" s="10"/>
      <c r="Z539" s="10"/>
    </row>
    <row r="540" ht="13.5" customHeight="1">
      <c r="A540" s="10">
        <f>dataset_1!A57</f>
        <v>56</v>
      </c>
      <c r="B540" s="11">
        <f>dataset_1!B57</f>
        <v>40546</v>
      </c>
      <c r="C540" s="10">
        <f>dataset_1!C57</f>
        <v>1</v>
      </c>
      <c r="D540" s="10">
        <f>dataset_1!D57</f>
        <v>0</v>
      </c>
      <c r="E540" s="10">
        <f>dataset_1!E57</f>
        <v>1</v>
      </c>
      <c r="F540" s="10">
        <f>dataset_1!F57</f>
        <v>10</v>
      </c>
      <c r="G540" s="10" t="b">
        <f>dataset_1!G57</f>
        <v>0</v>
      </c>
      <c r="H540" s="10">
        <f>dataset_1!H57</f>
        <v>1</v>
      </c>
      <c r="I540" s="10">
        <f>dataset_1!I57</f>
        <v>1</v>
      </c>
      <c r="J540" s="10">
        <f>dataset_1!J57</f>
        <v>0.18</v>
      </c>
      <c r="K540" s="10">
        <f>VLOOKUP(A540,dataset_2!$A$2:$G$611,2,0)</f>
        <v>0.1667</v>
      </c>
      <c r="L540" s="10">
        <f>VLOOKUP(A540,dataset_2!$A$2:$G$611,3,0)</f>
        <v>0.43</v>
      </c>
      <c r="M540" s="10">
        <f>VLOOKUP(A540,dataset_2!$A$2:$G$611,4,0)</f>
        <v>0.2537</v>
      </c>
      <c r="N540" s="10">
        <f>VLOOKUP(A540,dataset_2!$A$2:$G$611,5,0)</f>
        <v>11</v>
      </c>
      <c r="O540" s="10">
        <f>VLOOKUP(A540,dataset_2!$A$2:$G$611,6,0)</f>
        <v>33</v>
      </c>
      <c r="P540" s="10">
        <f>VLOOKUP(A540,dataset_2!$A$2:$G$611,7,0)</f>
        <v>44</v>
      </c>
      <c r="Q540" s="10"/>
      <c r="R540" s="10" t="str">
        <f t="shared" si="1"/>
        <v>OK</v>
      </c>
      <c r="S540" s="10">
        <f t="shared" si="2"/>
        <v>1</v>
      </c>
      <c r="T540" s="10" t="str">
        <f t="shared" si="3"/>
        <v>OK</v>
      </c>
      <c r="U540" s="10">
        <f t="shared" si="4"/>
        <v>1</v>
      </c>
      <c r="V540" s="10"/>
      <c r="W540" s="10"/>
      <c r="X540" s="10"/>
      <c r="Y540" s="10"/>
      <c r="Z540" s="10"/>
    </row>
    <row r="541" ht="13.5" customHeight="1">
      <c r="A541" s="10">
        <f>dataset_1!A269</f>
        <v>268</v>
      </c>
      <c r="B541" s="11">
        <f>dataset_1!B269</f>
        <v>40555</v>
      </c>
      <c r="C541" s="10">
        <f>dataset_1!C269</f>
        <v>1</v>
      </c>
      <c r="D541" s="10">
        <f>dataset_1!D269</f>
        <v>0</v>
      </c>
      <c r="E541" s="10">
        <f>dataset_1!E269</f>
        <v>1</v>
      </c>
      <c r="F541" s="10">
        <f>dataset_1!F269</f>
        <v>14</v>
      </c>
      <c r="G541" s="10" t="b">
        <f>dataset_1!G269</f>
        <v>0</v>
      </c>
      <c r="H541" s="10">
        <f>dataset_1!H269</f>
        <v>3</v>
      </c>
      <c r="I541" s="10">
        <f>dataset_1!I269</f>
        <v>1</v>
      </c>
      <c r="J541" s="10">
        <f>dataset_1!J269</f>
        <v>0.2</v>
      </c>
      <c r="K541" s="10">
        <f>VLOOKUP(A541,dataset_2!$A$2:$G$611,2,0)</f>
        <v>0.1818</v>
      </c>
      <c r="L541" s="10">
        <f>VLOOKUP(A541,dataset_2!$A$2:$G$611,3,0)</f>
        <v>0.47</v>
      </c>
      <c r="M541" s="10">
        <f>VLOOKUP(A541,dataset_2!$A$2:$G$611,4,0)</f>
        <v>0.3284</v>
      </c>
      <c r="N541" s="10">
        <f>VLOOKUP(A541,dataset_2!$A$2:$G$611,5,0)</f>
        <v>0</v>
      </c>
      <c r="O541" s="10">
        <f>VLOOKUP(A541,dataset_2!$A$2:$G$611,6,0)</f>
        <v>44</v>
      </c>
      <c r="P541" s="10">
        <f>VLOOKUP(A541,dataset_2!$A$2:$G$611,7,0)</f>
        <v>44</v>
      </c>
      <c r="Q541" s="10"/>
      <c r="R541" s="10" t="str">
        <f t="shared" si="1"/>
        <v>OK</v>
      </c>
      <c r="S541" s="10">
        <f t="shared" si="2"/>
        <v>1</v>
      </c>
      <c r="T541" s="10" t="str">
        <f t="shared" si="3"/>
        <v>OK</v>
      </c>
      <c r="U541" s="10">
        <f t="shared" si="4"/>
        <v>1</v>
      </c>
      <c r="V541" s="10"/>
      <c r="W541" s="10"/>
      <c r="X541" s="10"/>
      <c r="Y541" s="10"/>
      <c r="Z541" s="10"/>
    </row>
    <row r="542" ht="13.5" customHeight="1">
      <c r="A542" s="10">
        <f>dataset_1!A312</f>
        <v>311</v>
      </c>
      <c r="B542" s="11">
        <f>dataset_1!B312</f>
        <v>40557</v>
      </c>
      <c r="C542" s="10">
        <f>dataset_1!C312</f>
        <v>1</v>
      </c>
      <c r="D542" s="10">
        <f>dataset_1!D312</f>
        <v>0</v>
      </c>
      <c r="E542" s="10">
        <f>dataset_1!E312</f>
        <v>1</v>
      </c>
      <c r="F542" s="10">
        <f>dataset_1!F312</f>
        <v>10</v>
      </c>
      <c r="G542" s="10" t="b">
        <f>dataset_1!G312</f>
        <v>0</v>
      </c>
      <c r="H542" s="10">
        <f>dataset_1!H312</f>
        <v>5</v>
      </c>
      <c r="I542" s="10">
        <f>dataset_1!I312</f>
        <v>1</v>
      </c>
      <c r="J542" s="10">
        <f>dataset_1!J312</f>
        <v>0.18</v>
      </c>
      <c r="K542" s="10">
        <f>VLOOKUP(A542,dataset_2!$A$2:$G$611,2,0)</f>
        <v>0.1818</v>
      </c>
      <c r="L542" s="10">
        <f>VLOOKUP(A542,dataset_2!$A$2:$G$611,3,0)</f>
        <v>0.55</v>
      </c>
      <c r="M542" s="10">
        <f>VLOOKUP(A542,dataset_2!$A$2:$G$611,4,0)</f>
        <v>0.194</v>
      </c>
      <c r="N542" s="10">
        <f>VLOOKUP(A542,dataset_2!$A$2:$G$611,5,0)</f>
        <v>4</v>
      </c>
      <c r="O542" s="10">
        <f>VLOOKUP(A542,dataset_2!$A$2:$G$611,6,0)</f>
        <v>40</v>
      </c>
      <c r="P542" s="10">
        <f>VLOOKUP(A542,dataset_2!$A$2:$G$611,7,0)</f>
        <v>44</v>
      </c>
      <c r="Q542" s="10"/>
      <c r="R542" s="10" t="str">
        <f t="shared" si="1"/>
        <v>OK</v>
      </c>
      <c r="S542" s="10">
        <f t="shared" si="2"/>
        <v>1</v>
      </c>
      <c r="T542" s="10" t="str">
        <f t="shared" si="3"/>
        <v>OK</v>
      </c>
      <c r="U542" s="10">
        <f t="shared" si="4"/>
        <v>1</v>
      </c>
      <c r="V542" s="10"/>
      <c r="W542" s="10"/>
      <c r="X542" s="10"/>
      <c r="Y542" s="10"/>
      <c r="Z542" s="10"/>
    </row>
    <row r="543" ht="13.5" customHeight="1">
      <c r="A543" s="10">
        <f>dataset_1!A349</f>
        <v>348</v>
      </c>
      <c r="B543" s="11">
        <f>dataset_1!B349</f>
        <v>40558</v>
      </c>
      <c r="C543" s="10">
        <f>dataset_1!C349</f>
        <v>1</v>
      </c>
      <c r="D543" s="10">
        <f>dataset_1!D349</f>
        <v>0</v>
      </c>
      <c r="E543" s="10">
        <f>dataset_1!E349</f>
        <v>1</v>
      </c>
      <c r="F543" s="10">
        <f>dataset_1!F349</f>
        <v>23</v>
      </c>
      <c r="G543" s="10" t="b">
        <f>dataset_1!G349</f>
        <v>0</v>
      </c>
      <c r="H543" s="10">
        <f>dataset_1!H349</f>
        <v>6</v>
      </c>
      <c r="I543" s="10">
        <f>dataset_1!I349</f>
        <v>1</v>
      </c>
      <c r="J543" s="10">
        <f>dataset_1!J349</f>
        <v>0.3</v>
      </c>
      <c r="K543" s="10">
        <f>VLOOKUP(A543,dataset_2!$A$2:$G$611,2,0)</f>
        <v>0.2879</v>
      </c>
      <c r="L543" s="10">
        <f>VLOOKUP(A543,dataset_2!$A$2:$G$611,3,0)</f>
        <v>0.45</v>
      </c>
      <c r="M543" s="10">
        <f>VLOOKUP(A543,dataset_2!$A$2:$G$611,4,0)</f>
        <v>0.2836</v>
      </c>
      <c r="N543" s="10">
        <f>VLOOKUP(A543,dataset_2!$A$2:$G$611,5,0)</f>
        <v>5</v>
      </c>
      <c r="O543" s="10">
        <f>VLOOKUP(A543,dataset_2!$A$2:$G$611,6,0)</f>
        <v>39</v>
      </c>
      <c r="P543" s="10">
        <f>VLOOKUP(A543,dataset_2!$A$2:$G$611,7,0)</f>
        <v>44</v>
      </c>
      <c r="Q543" s="10"/>
      <c r="R543" s="10" t="str">
        <f t="shared" si="1"/>
        <v>OK</v>
      </c>
      <c r="S543" s="10">
        <f t="shared" si="2"/>
        <v>1</v>
      </c>
      <c r="T543" s="10" t="str">
        <f t="shared" si="3"/>
        <v>OK</v>
      </c>
      <c r="U543" s="10">
        <f t="shared" si="4"/>
        <v>1</v>
      </c>
      <c r="V543" s="10"/>
      <c r="W543" s="10"/>
      <c r="X543" s="10"/>
      <c r="Y543" s="10"/>
      <c r="Z543" s="10"/>
    </row>
    <row r="544" ht="13.5" customHeight="1">
      <c r="A544" s="3">
        <v>680.0</v>
      </c>
      <c r="B544" s="12">
        <v>40574.0</v>
      </c>
      <c r="C544" s="3">
        <v>1.0</v>
      </c>
      <c r="D544" s="3">
        <v>0.0</v>
      </c>
      <c r="E544" s="3">
        <v>1.0</v>
      </c>
      <c r="F544" s="3">
        <v>15.0</v>
      </c>
      <c r="G544" s="3" t="b">
        <f t="shared" ref="G544:G546" si="61">FALSE()</f>
        <v>0</v>
      </c>
      <c r="H544" s="3">
        <v>1.0</v>
      </c>
      <c r="I544" s="3">
        <v>2.0</v>
      </c>
      <c r="J544" s="3">
        <v>0.16</v>
      </c>
      <c r="K544" s="3">
        <v>0.1818</v>
      </c>
      <c r="L544" s="3">
        <v>0.59</v>
      </c>
      <c r="M544" s="3">
        <v>0.1343</v>
      </c>
      <c r="N544" s="3">
        <v>3.0</v>
      </c>
      <c r="O544" s="3">
        <v>41.0</v>
      </c>
      <c r="P544" s="3">
        <v>44.0</v>
      </c>
      <c r="Q544" s="10"/>
      <c r="R544" s="10" t="str">
        <f t="shared" si="1"/>
        <v>OK</v>
      </c>
      <c r="S544" s="10">
        <f t="shared" si="2"/>
        <v>1</v>
      </c>
      <c r="T544" s="10" t="str">
        <f t="shared" si="3"/>
        <v>OK</v>
      </c>
      <c r="U544" s="10">
        <f t="shared" si="4"/>
        <v>1</v>
      </c>
      <c r="V544" s="10"/>
      <c r="W544" s="10"/>
      <c r="X544" s="10"/>
      <c r="Y544" s="10"/>
      <c r="Z544" s="10"/>
    </row>
    <row r="545" ht="13.5" customHeight="1">
      <c r="A545" s="3">
        <v>807.0</v>
      </c>
      <c r="B545" s="12">
        <v>40580.0</v>
      </c>
      <c r="C545" s="3">
        <v>1.0</v>
      </c>
      <c r="D545" s="3">
        <v>0.0</v>
      </c>
      <c r="E545" s="3">
        <v>2.0</v>
      </c>
      <c r="F545" s="3">
        <v>1.0</v>
      </c>
      <c r="G545" s="3" t="b">
        <f t="shared" si="61"/>
        <v>0</v>
      </c>
      <c r="H545" s="3">
        <v>0.0</v>
      </c>
      <c r="I545" s="3">
        <v>1.0</v>
      </c>
      <c r="J545" s="3">
        <v>0.26</v>
      </c>
      <c r="K545" s="3">
        <v>0.2273</v>
      </c>
      <c r="L545" s="3">
        <v>0.65</v>
      </c>
      <c r="M545" s="3">
        <v>0.4179</v>
      </c>
      <c r="N545" s="3">
        <v>4.0</v>
      </c>
      <c r="O545" s="3">
        <v>40.0</v>
      </c>
      <c r="P545" s="3">
        <v>44.0</v>
      </c>
      <c r="Q545" s="10"/>
      <c r="R545" s="10" t="str">
        <f t="shared" si="1"/>
        <v>OK</v>
      </c>
      <c r="S545" s="10">
        <f t="shared" si="2"/>
        <v>1</v>
      </c>
      <c r="T545" s="10" t="str">
        <f t="shared" si="3"/>
        <v>OK</v>
      </c>
      <c r="U545" s="10">
        <f t="shared" si="4"/>
        <v>1</v>
      </c>
      <c r="V545" s="10"/>
      <c r="W545" s="10"/>
      <c r="X545" s="10"/>
      <c r="Y545" s="10"/>
      <c r="Z545" s="10"/>
    </row>
    <row r="546" ht="13.5" customHeight="1">
      <c r="A546" s="3">
        <v>932.0</v>
      </c>
      <c r="B546" s="12">
        <v>40585.0</v>
      </c>
      <c r="C546" s="3">
        <v>1.0</v>
      </c>
      <c r="D546" s="3">
        <v>0.0</v>
      </c>
      <c r="E546" s="3">
        <v>2.0</v>
      </c>
      <c r="F546" s="3">
        <v>10.0</v>
      </c>
      <c r="G546" s="3" t="b">
        <f t="shared" si="61"/>
        <v>0</v>
      </c>
      <c r="H546" s="3">
        <v>5.0</v>
      </c>
      <c r="I546" s="3">
        <v>1.0</v>
      </c>
      <c r="J546" s="3">
        <v>0.14</v>
      </c>
      <c r="K546" s="3">
        <v>0.1364</v>
      </c>
      <c r="L546" s="3">
        <v>0.69</v>
      </c>
      <c r="M546" s="3">
        <v>0.194</v>
      </c>
      <c r="N546" s="3">
        <v>5.0</v>
      </c>
      <c r="O546" s="3">
        <v>39.0</v>
      </c>
      <c r="P546" s="3">
        <v>44.0</v>
      </c>
      <c r="Q546" s="10"/>
      <c r="R546" s="10" t="str">
        <f t="shared" si="1"/>
        <v>OK</v>
      </c>
      <c r="S546" s="10">
        <f t="shared" si="2"/>
        <v>1</v>
      </c>
      <c r="T546" s="10" t="str">
        <f t="shared" si="3"/>
        <v>OK</v>
      </c>
      <c r="U546" s="10">
        <f t="shared" si="4"/>
        <v>1</v>
      </c>
      <c r="V546" s="10"/>
      <c r="W546" s="10"/>
      <c r="X546" s="10"/>
      <c r="Y546" s="10"/>
      <c r="Z546" s="10"/>
    </row>
    <row r="547" ht="13.5" customHeight="1">
      <c r="A547" s="10">
        <f>dataset_1!A114</f>
        <v>113</v>
      </c>
      <c r="B547" s="11">
        <f>dataset_1!B114</f>
        <v>40548</v>
      </c>
      <c r="C547" s="10">
        <f>dataset_1!C114</f>
        <v>1</v>
      </c>
      <c r="D547" s="10">
        <f>dataset_1!D114</f>
        <v>0</v>
      </c>
      <c r="E547" s="10">
        <f>dataset_1!E114</f>
        <v>1</v>
      </c>
      <c r="F547" s="10">
        <f>dataset_1!F114</f>
        <v>21</v>
      </c>
      <c r="G547" s="10" t="b">
        <f>dataset_1!G114</f>
        <v>0</v>
      </c>
      <c r="H547" s="10">
        <f>dataset_1!H114</f>
        <v>3</v>
      </c>
      <c r="I547" s="10">
        <f>dataset_1!I114</f>
        <v>1</v>
      </c>
      <c r="J547" s="10">
        <f>dataset_1!J114</f>
        <v>0.2</v>
      </c>
      <c r="K547" s="10">
        <f>VLOOKUP(A547,dataset_2!$A$2:$G$611,2,0)</f>
        <v>0.197</v>
      </c>
      <c r="L547" s="10">
        <f>VLOOKUP(A547,dataset_2!$A$2:$G$611,3,0)</f>
        <v>0.51</v>
      </c>
      <c r="M547" s="10">
        <f>VLOOKUP(A547,dataset_2!$A$2:$G$611,4,0)</f>
        <v>0.194</v>
      </c>
      <c r="N547" s="10">
        <f>VLOOKUP(A547,dataset_2!$A$2:$G$611,5,0)</f>
        <v>3</v>
      </c>
      <c r="O547" s="10">
        <f>VLOOKUP(A547,dataset_2!$A$2:$G$611,6,0)</f>
        <v>40</v>
      </c>
      <c r="P547" s="10">
        <f>VLOOKUP(A547,dataset_2!$A$2:$G$611,7,0)</f>
        <v>43</v>
      </c>
      <c r="Q547" s="10"/>
      <c r="R547" s="10" t="str">
        <f t="shared" si="1"/>
        <v>OK</v>
      </c>
      <c r="S547" s="10">
        <f t="shared" si="2"/>
        <v>1</v>
      </c>
      <c r="T547" s="10" t="str">
        <f t="shared" si="3"/>
        <v>OK</v>
      </c>
      <c r="U547" s="10">
        <f t="shared" si="4"/>
        <v>1</v>
      </c>
      <c r="V547" s="10"/>
      <c r="W547" s="10"/>
      <c r="X547" s="10"/>
      <c r="Y547" s="10"/>
      <c r="Z547" s="10"/>
    </row>
    <row r="548" ht="13.5" customHeight="1">
      <c r="A548" s="10">
        <f>dataset_1!A586</f>
        <v>585</v>
      </c>
      <c r="B548" s="11">
        <f>dataset_1!B586</f>
        <v>40569</v>
      </c>
      <c r="C548" s="10">
        <f>dataset_1!C586</f>
        <v>1</v>
      </c>
      <c r="D548" s="10">
        <f>dataset_1!D586</f>
        <v>0</v>
      </c>
      <c r="E548" s="10">
        <f>dataset_1!E586</f>
        <v>1</v>
      </c>
      <c r="F548" s="10">
        <f>dataset_1!F586</f>
        <v>15</v>
      </c>
      <c r="G548" s="10" t="b">
        <f>dataset_1!G586</f>
        <v>0</v>
      </c>
      <c r="H548" s="10">
        <f>dataset_1!H586</f>
        <v>3</v>
      </c>
      <c r="I548" s="10">
        <f>dataset_1!I586</f>
        <v>3</v>
      </c>
      <c r="J548" s="10">
        <f>dataset_1!J586</f>
        <v>0.22</v>
      </c>
      <c r="K548" s="10">
        <f>VLOOKUP(A548,dataset_2!$A$2:$G$611,2,0)</f>
        <v>0.1818</v>
      </c>
      <c r="L548" s="10">
        <f>VLOOKUP(A548,dataset_2!$A$2:$G$611,3,0)</f>
        <v>0.93</v>
      </c>
      <c r="M548" s="10">
        <f>VLOOKUP(A548,dataset_2!$A$2:$G$611,4,0)</f>
        <v>0.4627</v>
      </c>
      <c r="N548" s="10">
        <f>VLOOKUP(A548,dataset_2!$A$2:$G$611,5,0)</f>
        <v>1</v>
      </c>
      <c r="O548" s="10">
        <f>VLOOKUP(A548,dataset_2!$A$2:$G$611,6,0)</f>
        <v>42</v>
      </c>
      <c r="P548" s="10">
        <f>VLOOKUP(A548,dataset_2!$A$2:$G$611,7,0)</f>
        <v>43</v>
      </c>
      <c r="Q548" s="10"/>
      <c r="R548" s="10" t="str">
        <f t="shared" si="1"/>
        <v>OK</v>
      </c>
      <c r="S548" s="10">
        <f t="shared" si="2"/>
        <v>1</v>
      </c>
      <c r="T548" s="10" t="str">
        <f t="shared" si="3"/>
        <v>OK</v>
      </c>
      <c r="U548" s="10">
        <f t="shared" si="4"/>
        <v>1</v>
      </c>
      <c r="V548" s="10"/>
      <c r="W548" s="10"/>
      <c r="X548" s="10"/>
      <c r="Y548" s="10"/>
      <c r="Z548" s="10"/>
    </row>
    <row r="549" ht="13.5" customHeight="1">
      <c r="A549" s="3">
        <v>638.0</v>
      </c>
      <c r="B549" s="12">
        <v>40572.0</v>
      </c>
      <c r="C549" s="3">
        <v>1.0</v>
      </c>
      <c r="D549" s="3">
        <v>0.0</v>
      </c>
      <c r="E549" s="3">
        <v>1.0</v>
      </c>
      <c r="F549" s="3">
        <v>20.0</v>
      </c>
      <c r="G549" s="3" t="b">
        <f t="shared" ref="G549:G553" si="62">FALSE()</f>
        <v>0</v>
      </c>
      <c r="H549" s="3">
        <v>6.0</v>
      </c>
      <c r="I549" s="3">
        <v>1.0</v>
      </c>
      <c r="J549" s="3">
        <v>0.18</v>
      </c>
      <c r="K549" s="3">
        <v>0.2121</v>
      </c>
      <c r="L549" s="3">
        <v>0.74</v>
      </c>
      <c r="M549" s="3">
        <v>0.0896</v>
      </c>
      <c r="N549" s="3">
        <v>1.0</v>
      </c>
      <c r="O549" s="3">
        <v>42.0</v>
      </c>
      <c r="P549" s="3">
        <v>43.0</v>
      </c>
      <c r="Q549" s="10"/>
      <c r="R549" s="10" t="str">
        <f t="shared" si="1"/>
        <v>OK</v>
      </c>
      <c r="S549" s="10">
        <f t="shared" si="2"/>
        <v>1</v>
      </c>
      <c r="T549" s="10" t="str">
        <f t="shared" si="3"/>
        <v>OK</v>
      </c>
      <c r="U549" s="10">
        <f t="shared" si="4"/>
        <v>1</v>
      </c>
      <c r="V549" s="10"/>
      <c r="W549" s="10"/>
      <c r="X549" s="10"/>
      <c r="Y549" s="10"/>
      <c r="Z549" s="10"/>
    </row>
    <row r="550" ht="13.5" customHeight="1">
      <c r="A550" s="3">
        <v>779.0</v>
      </c>
      <c r="B550" s="12">
        <v>40578.0</v>
      </c>
      <c r="C550" s="3">
        <v>1.0</v>
      </c>
      <c r="D550" s="3">
        <v>0.0</v>
      </c>
      <c r="E550" s="3">
        <v>2.0</v>
      </c>
      <c r="F550" s="3">
        <v>21.0</v>
      </c>
      <c r="G550" s="3" t="b">
        <f t="shared" si="62"/>
        <v>0</v>
      </c>
      <c r="H550" s="3">
        <v>5.0</v>
      </c>
      <c r="I550" s="3">
        <v>2.0</v>
      </c>
      <c r="J550" s="3">
        <v>0.24</v>
      </c>
      <c r="K550" s="3">
        <v>0.2424</v>
      </c>
      <c r="L550" s="3">
        <v>0.7</v>
      </c>
      <c r="M550" s="3">
        <v>0.1642</v>
      </c>
      <c r="N550" s="3">
        <v>2.0</v>
      </c>
      <c r="O550" s="3">
        <v>41.0</v>
      </c>
      <c r="P550" s="3">
        <v>43.0</v>
      </c>
      <c r="Q550" s="10"/>
      <c r="R550" s="10" t="str">
        <f t="shared" si="1"/>
        <v>OK</v>
      </c>
      <c r="S550" s="10">
        <f t="shared" si="2"/>
        <v>1</v>
      </c>
      <c r="T550" s="10" t="str">
        <f t="shared" si="3"/>
        <v>OK</v>
      </c>
      <c r="U550" s="10">
        <f t="shared" si="4"/>
        <v>1</v>
      </c>
      <c r="V550" s="10"/>
      <c r="W550" s="10"/>
      <c r="X550" s="10"/>
      <c r="Y550" s="10"/>
      <c r="Z550" s="10"/>
    </row>
    <row r="551" ht="13.5" customHeight="1">
      <c r="A551" s="3">
        <v>883.0</v>
      </c>
      <c r="B551" s="12">
        <v>40583.0</v>
      </c>
      <c r="C551" s="3">
        <v>1.0</v>
      </c>
      <c r="D551" s="3">
        <v>0.0</v>
      </c>
      <c r="E551" s="3">
        <v>2.0</v>
      </c>
      <c r="F551" s="3">
        <v>6.0</v>
      </c>
      <c r="G551" s="3" t="b">
        <f t="shared" si="62"/>
        <v>0</v>
      </c>
      <c r="H551" s="3">
        <v>3.0</v>
      </c>
      <c r="I551" s="3">
        <v>1.0</v>
      </c>
      <c r="J551" s="3">
        <v>0.06</v>
      </c>
      <c r="K551" s="3">
        <v>0.1515</v>
      </c>
      <c r="L551" s="3">
        <v>0.45</v>
      </c>
      <c r="M551" s="3">
        <v>0.0</v>
      </c>
      <c r="N551" s="3">
        <v>0.0</v>
      </c>
      <c r="O551" s="3">
        <v>43.0</v>
      </c>
      <c r="P551" s="3">
        <v>43.0</v>
      </c>
      <c r="Q551" s="10"/>
      <c r="R551" s="10" t="str">
        <f t="shared" si="1"/>
        <v>OK</v>
      </c>
      <c r="S551" s="10">
        <f t="shared" si="2"/>
        <v>1</v>
      </c>
      <c r="T551" s="10" t="str">
        <f t="shared" si="3"/>
        <v>OK</v>
      </c>
      <c r="U551" s="10">
        <f t="shared" si="4"/>
        <v>1</v>
      </c>
      <c r="V551" s="10"/>
      <c r="W551" s="10"/>
      <c r="X551" s="10"/>
      <c r="Y551" s="10"/>
      <c r="Z551" s="10"/>
    </row>
    <row r="552" ht="13.5" customHeight="1">
      <c r="A552" s="3">
        <v>944.0</v>
      </c>
      <c r="B552" s="12">
        <v>40585.0</v>
      </c>
      <c r="C552" s="3">
        <v>1.0</v>
      </c>
      <c r="D552" s="3">
        <v>0.0</v>
      </c>
      <c r="E552" s="3">
        <v>2.0</v>
      </c>
      <c r="F552" s="3">
        <v>22.0</v>
      </c>
      <c r="G552" s="3" t="b">
        <f t="shared" si="62"/>
        <v>0</v>
      </c>
      <c r="H552" s="3">
        <v>5.0</v>
      </c>
      <c r="I552" s="3">
        <v>1.0</v>
      </c>
      <c r="J552" s="3">
        <v>0.2</v>
      </c>
      <c r="K552" s="3">
        <v>0.2273</v>
      </c>
      <c r="L552" s="3">
        <v>0.64</v>
      </c>
      <c r="M552" s="3">
        <v>0.0896</v>
      </c>
      <c r="N552" s="3">
        <v>2.0</v>
      </c>
      <c r="O552" s="3">
        <v>41.0</v>
      </c>
      <c r="P552" s="3">
        <v>43.0</v>
      </c>
      <c r="Q552" s="10"/>
      <c r="R552" s="10" t="str">
        <f t="shared" si="1"/>
        <v>OK</v>
      </c>
      <c r="S552" s="10">
        <f t="shared" si="2"/>
        <v>1</v>
      </c>
      <c r="T552" s="10" t="str">
        <f t="shared" si="3"/>
        <v>OK</v>
      </c>
      <c r="U552" s="10">
        <f t="shared" si="4"/>
        <v>1</v>
      </c>
      <c r="V552" s="10"/>
      <c r="W552" s="10"/>
      <c r="X552" s="10"/>
      <c r="Y552" s="10"/>
      <c r="Z552" s="10"/>
    </row>
    <row r="553" ht="13.5" customHeight="1">
      <c r="A553" s="3">
        <v>955.0</v>
      </c>
      <c r="B553" s="12">
        <v>40586.0</v>
      </c>
      <c r="C553" s="3">
        <v>1.0</v>
      </c>
      <c r="D553" s="3">
        <v>0.0</v>
      </c>
      <c r="E553" s="3">
        <v>2.0</v>
      </c>
      <c r="F553" s="3">
        <v>9.0</v>
      </c>
      <c r="G553" s="3" t="b">
        <f t="shared" si="62"/>
        <v>0</v>
      </c>
      <c r="H553" s="3">
        <v>6.0</v>
      </c>
      <c r="I553" s="3">
        <v>1.0</v>
      </c>
      <c r="J553" s="3">
        <v>0.16</v>
      </c>
      <c r="K553" s="3">
        <v>0.1818</v>
      </c>
      <c r="L553" s="3">
        <v>0.64</v>
      </c>
      <c r="M553" s="3">
        <v>0.1343</v>
      </c>
      <c r="N553" s="3">
        <v>5.0</v>
      </c>
      <c r="O553" s="3">
        <v>38.0</v>
      </c>
      <c r="P553" s="3">
        <v>43.0</v>
      </c>
      <c r="Q553" s="10"/>
      <c r="R553" s="10" t="str">
        <f t="shared" si="1"/>
        <v>OK</v>
      </c>
      <c r="S553" s="10">
        <f t="shared" si="2"/>
        <v>1</v>
      </c>
      <c r="T553" s="10" t="str">
        <f t="shared" si="3"/>
        <v>OK</v>
      </c>
      <c r="U553" s="10">
        <f t="shared" si="4"/>
        <v>1</v>
      </c>
      <c r="V553" s="10"/>
      <c r="W553" s="10"/>
      <c r="X553" s="10"/>
      <c r="Y553" s="10"/>
      <c r="Z553" s="10"/>
    </row>
    <row r="554" ht="13.5" customHeight="1">
      <c r="A554" s="10">
        <f>dataset_1!A80</f>
        <v>79</v>
      </c>
      <c r="B554" s="11">
        <f>dataset_1!B80</f>
        <v>40547</v>
      </c>
      <c r="C554" s="10">
        <f>dataset_1!C80</f>
        <v>1</v>
      </c>
      <c r="D554" s="10">
        <f>dataset_1!D80</f>
        <v>0</v>
      </c>
      <c r="E554" s="10">
        <f>dataset_1!E80</f>
        <v>1</v>
      </c>
      <c r="F554" s="10">
        <f>dataset_1!F80</f>
        <v>10</v>
      </c>
      <c r="G554" s="10" t="b">
        <f>dataset_1!G80</f>
        <v>0</v>
      </c>
      <c r="H554" s="10">
        <f>dataset_1!H80</f>
        <v>2</v>
      </c>
      <c r="I554" s="10">
        <f>dataset_1!I80</f>
        <v>2</v>
      </c>
      <c r="J554" s="10">
        <f>dataset_1!J80</f>
        <v>0.16</v>
      </c>
      <c r="K554" s="10">
        <f>VLOOKUP(A554,dataset_2!$A$2:$G$611,2,0)</f>
        <v>0.1364</v>
      </c>
      <c r="L554" s="10">
        <f>VLOOKUP(A554,dataset_2!$A$2:$G$611,3,0)</f>
        <v>0.69</v>
      </c>
      <c r="M554" s="10">
        <f>VLOOKUP(A554,dataset_2!$A$2:$G$611,4,0)</f>
        <v>0.3284</v>
      </c>
      <c r="N554" s="10">
        <f>VLOOKUP(A554,dataset_2!$A$2:$G$611,5,0)</f>
        <v>5</v>
      </c>
      <c r="O554" s="10">
        <f>VLOOKUP(A554,dataset_2!$A$2:$G$611,6,0)</f>
        <v>37</v>
      </c>
      <c r="P554" s="10">
        <f>VLOOKUP(A554,dataset_2!$A$2:$G$611,7,0)</f>
        <v>42</v>
      </c>
      <c r="Q554" s="10"/>
      <c r="R554" s="10" t="str">
        <f t="shared" si="1"/>
        <v>OK</v>
      </c>
      <c r="S554" s="10">
        <f t="shared" si="2"/>
        <v>1</v>
      </c>
      <c r="T554" s="10" t="str">
        <f t="shared" si="3"/>
        <v>OK</v>
      </c>
      <c r="U554" s="10">
        <f t="shared" si="4"/>
        <v>1</v>
      </c>
      <c r="V554" s="10"/>
      <c r="W554" s="10"/>
      <c r="X554" s="10"/>
      <c r="Y554" s="10"/>
      <c r="Z554" s="10"/>
    </row>
    <row r="555" ht="13.5" customHeight="1">
      <c r="A555" s="10">
        <f>dataset_1!A115</f>
        <v>114</v>
      </c>
      <c r="B555" s="11">
        <f>dataset_1!B115</f>
        <v>40548</v>
      </c>
      <c r="C555" s="10">
        <f>dataset_1!C115</f>
        <v>1</v>
      </c>
      <c r="D555" s="10">
        <f>dataset_1!D115</f>
        <v>0</v>
      </c>
      <c r="E555" s="10">
        <f>dataset_1!E115</f>
        <v>1</v>
      </c>
      <c r="F555" s="10">
        <f>dataset_1!F115</f>
        <v>22</v>
      </c>
      <c r="G555" s="10" t="b">
        <f>dataset_1!G115</f>
        <v>0</v>
      </c>
      <c r="H555" s="10">
        <f>dataset_1!H115</f>
        <v>3</v>
      </c>
      <c r="I555" s="10">
        <f>dataset_1!I115</f>
        <v>1</v>
      </c>
      <c r="J555" s="10">
        <f>dataset_1!J115</f>
        <v>0.18</v>
      </c>
      <c r="K555" s="10">
        <f>VLOOKUP(A555,dataset_2!$A$2:$G$611,2,0)</f>
        <v>0.197</v>
      </c>
      <c r="L555" s="10">
        <f>VLOOKUP(A555,dataset_2!$A$2:$G$611,3,0)</f>
        <v>0.55</v>
      </c>
      <c r="M555" s="10">
        <f>VLOOKUP(A555,dataset_2!$A$2:$G$611,4,0)</f>
        <v>0.1343</v>
      </c>
      <c r="N555" s="10">
        <f>VLOOKUP(A555,dataset_2!$A$2:$G$611,5,0)</f>
        <v>1</v>
      </c>
      <c r="O555" s="10">
        <f>VLOOKUP(A555,dataset_2!$A$2:$G$611,6,0)</f>
        <v>41</v>
      </c>
      <c r="P555" s="10">
        <f>VLOOKUP(A555,dataset_2!$A$2:$G$611,7,0)</f>
        <v>42</v>
      </c>
      <c r="Q555" s="10"/>
      <c r="R555" s="10" t="str">
        <f t="shared" si="1"/>
        <v>OK</v>
      </c>
      <c r="S555" s="10">
        <f t="shared" si="2"/>
        <v>1</v>
      </c>
      <c r="T555" s="10" t="str">
        <f t="shared" si="3"/>
        <v>OK</v>
      </c>
      <c r="U555" s="10">
        <f t="shared" si="4"/>
        <v>1</v>
      </c>
      <c r="V555" s="10"/>
      <c r="W555" s="10"/>
      <c r="X555" s="10"/>
      <c r="Y555" s="10"/>
      <c r="Z555" s="10"/>
    </row>
    <row r="556" ht="13.5" customHeight="1">
      <c r="A556" s="10">
        <f>dataset_1!A293</f>
        <v>292</v>
      </c>
      <c r="B556" s="11">
        <f>dataset_1!B293</f>
        <v>40556</v>
      </c>
      <c r="C556" s="10">
        <f>dataset_1!C293</f>
        <v>1</v>
      </c>
      <c r="D556" s="10">
        <f>dataset_1!D293</f>
        <v>0</v>
      </c>
      <c r="E556" s="10">
        <f>dataset_1!E293</f>
        <v>1</v>
      </c>
      <c r="F556" s="10">
        <f>dataset_1!F293</f>
        <v>14</v>
      </c>
      <c r="G556" s="10" t="b">
        <f>dataset_1!G293</f>
        <v>0</v>
      </c>
      <c r="H556" s="10">
        <f>dataset_1!H293</f>
        <v>4</v>
      </c>
      <c r="I556" s="10">
        <f>dataset_1!I293</f>
        <v>1</v>
      </c>
      <c r="J556" s="10">
        <f>dataset_1!J293</f>
        <v>0.22</v>
      </c>
      <c r="K556" s="10">
        <f>VLOOKUP(A556,dataset_2!$A$2:$G$611,2,0)</f>
        <v>0.197</v>
      </c>
      <c r="L556" s="10">
        <f>VLOOKUP(A556,dataset_2!$A$2:$G$611,3,0)</f>
        <v>0.41</v>
      </c>
      <c r="M556" s="10">
        <f>VLOOKUP(A556,dataset_2!$A$2:$G$611,4,0)</f>
        <v>0.3881</v>
      </c>
      <c r="N556" s="10">
        <f>VLOOKUP(A556,dataset_2!$A$2:$G$611,5,0)</f>
        <v>3</v>
      </c>
      <c r="O556" s="10">
        <f>VLOOKUP(A556,dataset_2!$A$2:$G$611,6,0)</f>
        <v>39</v>
      </c>
      <c r="P556" s="10">
        <f>VLOOKUP(A556,dataset_2!$A$2:$G$611,7,0)</f>
        <v>42</v>
      </c>
      <c r="Q556" s="10"/>
      <c r="R556" s="10" t="str">
        <f t="shared" si="1"/>
        <v>OK</v>
      </c>
      <c r="S556" s="10">
        <f t="shared" si="2"/>
        <v>1</v>
      </c>
      <c r="T556" s="10" t="str">
        <f t="shared" si="3"/>
        <v>OK</v>
      </c>
      <c r="U556" s="10">
        <f t="shared" si="4"/>
        <v>1</v>
      </c>
      <c r="V556" s="10"/>
      <c r="W556" s="10"/>
      <c r="X556" s="10"/>
      <c r="Y556" s="10"/>
      <c r="Z556" s="10"/>
    </row>
    <row r="557" ht="13.5" customHeight="1">
      <c r="A557" s="10">
        <f>dataset_1!A206</f>
        <v>205</v>
      </c>
      <c r="B557" s="11">
        <f>dataset_1!B206</f>
        <v>40552</v>
      </c>
      <c r="C557" s="10">
        <f>dataset_1!C206</f>
        <v>1</v>
      </c>
      <c r="D557" s="10">
        <f>dataset_1!D206</f>
        <v>0</v>
      </c>
      <c r="E557" s="10">
        <f>dataset_1!E206</f>
        <v>1</v>
      </c>
      <c r="F557" s="10">
        <f>dataset_1!F206</f>
        <v>19</v>
      </c>
      <c r="G557" s="10" t="b">
        <f>dataset_1!G206</f>
        <v>0</v>
      </c>
      <c r="H557" s="10">
        <f>dataset_1!H206</f>
        <v>0</v>
      </c>
      <c r="I557" s="10">
        <f>dataset_1!I206</f>
        <v>1</v>
      </c>
      <c r="J557" s="10">
        <f>dataset_1!J206</f>
        <v>0.16</v>
      </c>
      <c r="K557" s="10">
        <f>VLOOKUP(A557,dataset_2!$A$2:$G$611,2,0)</f>
        <v>0.1364</v>
      </c>
      <c r="L557" s="10">
        <f>VLOOKUP(A557,dataset_2!$A$2:$G$611,3,0)</f>
        <v>0.43</v>
      </c>
      <c r="M557" s="10">
        <f>VLOOKUP(A557,dataset_2!$A$2:$G$611,4,0)</f>
        <v>0.3284</v>
      </c>
      <c r="N557" s="10">
        <f>VLOOKUP(A557,dataset_2!$A$2:$G$611,5,0)</f>
        <v>1</v>
      </c>
      <c r="O557" s="10">
        <f>VLOOKUP(A557,dataset_2!$A$2:$G$611,6,0)</f>
        <v>40</v>
      </c>
      <c r="P557" s="10">
        <f>VLOOKUP(A557,dataset_2!$A$2:$G$611,7,0)</f>
        <v>41</v>
      </c>
      <c r="Q557" s="10"/>
      <c r="R557" s="10" t="str">
        <f t="shared" si="1"/>
        <v>OK</v>
      </c>
      <c r="S557" s="10">
        <f t="shared" si="2"/>
        <v>1</v>
      </c>
      <c r="T557" s="10" t="str">
        <f t="shared" si="3"/>
        <v>OK</v>
      </c>
      <c r="U557" s="10">
        <f t="shared" si="4"/>
        <v>1</v>
      </c>
      <c r="V557" s="10"/>
      <c r="W557" s="10"/>
      <c r="X557" s="10"/>
      <c r="Y557" s="10"/>
      <c r="Z557" s="10"/>
    </row>
    <row r="558" ht="13.5" customHeight="1">
      <c r="A558" s="10">
        <f>dataset_1!A346</f>
        <v>345</v>
      </c>
      <c r="B558" s="11">
        <f>dataset_1!B346</f>
        <v>40558</v>
      </c>
      <c r="C558" s="10">
        <f>dataset_1!C346</f>
        <v>1</v>
      </c>
      <c r="D558" s="10">
        <f>dataset_1!D346</f>
        <v>0</v>
      </c>
      <c r="E558" s="10">
        <f>dataset_1!E346</f>
        <v>1</v>
      </c>
      <c r="F558" s="10">
        <f>dataset_1!F346</f>
        <v>20</v>
      </c>
      <c r="G558" s="10" t="b">
        <f>dataset_1!G346</f>
        <v>0</v>
      </c>
      <c r="H558" s="10">
        <f>dataset_1!H346</f>
        <v>6</v>
      </c>
      <c r="I558" s="10">
        <f>dataset_1!I346</f>
        <v>2</v>
      </c>
      <c r="J558" s="10">
        <f>dataset_1!J346</f>
        <v>0.32</v>
      </c>
      <c r="K558" s="10">
        <f>VLOOKUP(A558,dataset_2!$A$2:$G$611,2,0)</f>
        <v>0.303</v>
      </c>
      <c r="L558" s="10">
        <f>VLOOKUP(A558,dataset_2!$A$2:$G$611,3,0)</f>
        <v>0.39</v>
      </c>
      <c r="M558" s="10">
        <f>VLOOKUP(A558,dataset_2!$A$2:$G$611,4,0)</f>
        <v>0.2537</v>
      </c>
      <c r="N558" s="10">
        <f>VLOOKUP(A558,dataset_2!$A$2:$G$611,5,0)</f>
        <v>6</v>
      </c>
      <c r="O558" s="10">
        <f>VLOOKUP(A558,dataset_2!$A$2:$G$611,6,0)</f>
        <v>35</v>
      </c>
      <c r="P558" s="10">
        <f>VLOOKUP(A558,dataset_2!$A$2:$G$611,7,0)</f>
        <v>41</v>
      </c>
      <c r="Q558" s="10"/>
      <c r="R558" s="10" t="str">
        <f t="shared" si="1"/>
        <v>OK</v>
      </c>
      <c r="S558" s="10">
        <f t="shared" si="2"/>
        <v>1</v>
      </c>
      <c r="T558" s="10" t="str">
        <f t="shared" si="3"/>
        <v>OK</v>
      </c>
      <c r="U558" s="10">
        <f t="shared" si="4"/>
        <v>1</v>
      </c>
      <c r="V558" s="10"/>
      <c r="W558" s="10"/>
      <c r="X558" s="10"/>
      <c r="Y558" s="10"/>
      <c r="Z558" s="10"/>
    </row>
    <row r="559" ht="13.5" customHeight="1">
      <c r="A559" s="10">
        <f>dataset_1!A407</f>
        <v>406</v>
      </c>
      <c r="B559" s="11">
        <f>dataset_1!B407</f>
        <v>40561</v>
      </c>
      <c r="C559" s="10">
        <f>dataset_1!C407</f>
        <v>1</v>
      </c>
      <c r="D559" s="10">
        <f>dataset_1!D407</f>
        <v>0</v>
      </c>
      <c r="E559" s="10">
        <f>dataset_1!E407</f>
        <v>1</v>
      </c>
      <c r="F559" s="10">
        <f>dataset_1!F407</f>
        <v>21</v>
      </c>
      <c r="G559" s="10" t="b">
        <f>dataset_1!G407</f>
        <v>0</v>
      </c>
      <c r="H559" s="10">
        <f>dataset_1!H407</f>
        <v>2</v>
      </c>
      <c r="I559" s="10">
        <f>dataset_1!I407</f>
        <v>2</v>
      </c>
      <c r="J559" s="10">
        <f>dataset_1!J407</f>
        <v>0.22</v>
      </c>
      <c r="K559" s="10">
        <f>VLOOKUP(A559,dataset_2!$A$2:$G$611,2,0)</f>
        <v>0.2424</v>
      </c>
      <c r="L559" s="10">
        <f>VLOOKUP(A559,dataset_2!$A$2:$G$611,3,0)</f>
        <v>0.93</v>
      </c>
      <c r="M559" s="10">
        <f>VLOOKUP(A559,dataset_2!$A$2:$G$611,4,0)</f>
        <v>0.1045</v>
      </c>
      <c r="N559" s="10">
        <f>VLOOKUP(A559,dataset_2!$A$2:$G$611,5,0)</f>
        <v>0</v>
      </c>
      <c r="O559" s="10">
        <f>VLOOKUP(A559,dataset_2!$A$2:$G$611,6,0)</f>
        <v>41</v>
      </c>
      <c r="P559" s="10">
        <f>VLOOKUP(A559,dataset_2!$A$2:$G$611,7,0)</f>
        <v>41</v>
      </c>
      <c r="Q559" s="10"/>
      <c r="R559" s="10" t="str">
        <f t="shared" si="1"/>
        <v>OK</v>
      </c>
      <c r="S559" s="10">
        <f t="shared" si="2"/>
        <v>1</v>
      </c>
      <c r="T559" s="10" t="str">
        <f t="shared" si="3"/>
        <v>OK</v>
      </c>
      <c r="U559" s="10">
        <f t="shared" si="4"/>
        <v>1</v>
      </c>
      <c r="V559" s="10"/>
      <c r="W559" s="10"/>
      <c r="X559" s="10"/>
      <c r="Y559" s="10"/>
      <c r="Z559" s="10"/>
    </row>
    <row r="560" ht="13.5" customHeight="1">
      <c r="A560" s="10">
        <f>dataset_1!A478</f>
        <v>477</v>
      </c>
      <c r="B560" s="11">
        <f>dataset_1!B478</f>
        <v>40564</v>
      </c>
      <c r="C560" s="10">
        <f>dataset_1!C478</f>
        <v>1</v>
      </c>
      <c r="D560" s="10">
        <f>dataset_1!D478</f>
        <v>0</v>
      </c>
      <c r="E560" s="10">
        <f>dataset_1!E478</f>
        <v>1</v>
      </c>
      <c r="F560" s="10">
        <f>dataset_1!F478</f>
        <v>21</v>
      </c>
      <c r="G560" s="10" t="b">
        <f>dataset_1!G478</f>
        <v>0</v>
      </c>
      <c r="H560" s="10">
        <f>dataset_1!H478</f>
        <v>5</v>
      </c>
      <c r="I560" s="10">
        <f>dataset_1!I478</f>
        <v>1</v>
      </c>
      <c r="J560" s="10">
        <f>dataset_1!J478</f>
        <v>0.08</v>
      </c>
      <c r="K560" s="10">
        <f>VLOOKUP(A560,dataset_2!$A$2:$G$611,2,0)</f>
        <v>0.0758</v>
      </c>
      <c r="L560" s="10">
        <f>VLOOKUP(A560,dataset_2!$A$2:$G$611,3,0)</f>
        <v>0.38</v>
      </c>
      <c r="M560" s="10">
        <f>VLOOKUP(A560,dataset_2!$A$2:$G$611,4,0)</f>
        <v>0.2836</v>
      </c>
      <c r="N560" s="10">
        <f>VLOOKUP(A560,dataset_2!$A$2:$G$611,5,0)</f>
        <v>0</v>
      </c>
      <c r="O560" s="10">
        <f>VLOOKUP(A560,dataset_2!$A$2:$G$611,6,0)</f>
        <v>41</v>
      </c>
      <c r="P560" s="10">
        <f>VLOOKUP(A560,dataset_2!$A$2:$G$611,7,0)</f>
        <v>41</v>
      </c>
      <c r="Q560" s="10"/>
      <c r="R560" s="10" t="str">
        <f t="shared" si="1"/>
        <v>OK</v>
      </c>
      <c r="S560" s="10">
        <f t="shared" si="2"/>
        <v>1</v>
      </c>
      <c r="T560" s="10" t="str">
        <f t="shared" si="3"/>
        <v>OK</v>
      </c>
      <c r="U560" s="10">
        <f t="shared" si="4"/>
        <v>1</v>
      </c>
      <c r="V560" s="10"/>
      <c r="W560" s="10"/>
      <c r="X560" s="10"/>
      <c r="Y560" s="10"/>
      <c r="Z560" s="10"/>
    </row>
    <row r="561" ht="13.5" customHeight="1">
      <c r="A561" s="10">
        <f>dataset_1!A582</f>
        <v>581</v>
      </c>
      <c r="B561" s="11">
        <f>dataset_1!B582</f>
        <v>40569</v>
      </c>
      <c r="C561" s="10">
        <f>dataset_1!C582</f>
        <v>1</v>
      </c>
      <c r="D561" s="10">
        <f>dataset_1!D582</f>
        <v>0</v>
      </c>
      <c r="E561" s="10">
        <f>dataset_1!E582</f>
        <v>1</v>
      </c>
      <c r="F561" s="10">
        <f>dataset_1!F582</f>
        <v>11</v>
      </c>
      <c r="G561" s="10" t="b">
        <f>dataset_1!G582</f>
        <v>0</v>
      </c>
      <c r="H561" s="10">
        <f>dataset_1!H582</f>
        <v>3</v>
      </c>
      <c r="I561" s="10">
        <f>dataset_1!I582</f>
        <v>3</v>
      </c>
      <c r="J561" s="10">
        <f>dataset_1!J582</f>
        <v>0.22</v>
      </c>
      <c r="K561" s="10">
        <f>VLOOKUP(A561,dataset_2!$A$2:$G$611,2,0)</f>
        <v>0.197</v>
      </c>
      <c r="L561" s="10">
        <f>VLOOKUP(A561,dataset_2!$A$2:$G$611,3,0)</f>
        <v>0.93</v>
      </c>
      <c r="M561" s="10">
        <f>VLOOKUP(A561,dataset_2!$A$2:$G$611,4,0)</f>
        <v>0.3284</v>
      </c>
      <c r="N561" s="10">
        <f>VLOOKUP(A561,dataset_2!$A$2:$G$611,5,0)</f>
        <v>6</v>
      </c>
      <c r="O561" s="10">
        <f>VLOOKUP(A561,dataset_2!$A$2:$G$611,6,0)</f>
        <v>35</v>
      </c>
      <c r="P561" s="10">
        <f>VLOOKUP(A561,dataset_2!$A$2:$G$611,7,0)</f>
        <v>41</v>
      </c>
      <c r="Q561" s="10"/>
      <c r="R561" s="10" t="str">
        <f t="shared" si="1"/>
        <v>OK</v>
      </c>
      <c r="S561" s="10">
        <f t="shared" si="2"/>
        <v>1</v>
      </c>
      <c r="T561" s="10" t="str">
        <f t="shared" si="3"/>
        <v>OK</v>
      </c>
      <c r="U561" s="10">
        <f t="shared" si="4"/>
        <v>1</v>
      </c>
      <c r="V561" s="10"/>
      <c r="W561" s="10"/>
      <c r="X561" s="10"/>
      <c r="Y561" s="10"/>
      <c r="Z561" s="10"/>
    </row>
    <row r="562" ht="13.5" customHeight="1">
      <c r="A562" s="10">
        <f>dataset_1!A611</f>
        <v>610</v>
      </c>
      <c r="B562" s="11">
        <f>dataset_1!B611</f>
        <v>40571</v>
      </c>
      <c r="C562" s="10">
        <f>dataset_1!C611</f>
        <v>1</v>
      </c>
      <c r="D562" s="10">
        <f>dataset_1!D611</f>
        <v>0</v>
      </c>
      <c r="E562" s="10">
        <f>dataset_1!E611</f>
        <v>1</v>
      </c>
      <c r="F562" s="10">
        <f>dataset_1!F611</f>
        <v>15</v>
      </c>
      <c r="G562" s="10" t="b">
        <f>dataset_1!G611</f>
        <v>0</v>
      </c>
      <c r="H562" s="10">
        <f>dataset_1!H611</f>
        <v>5</v>
      </c>
      <c r="I562" s="10">
        <f>dataset_1!I611</f>
        <v>2</v>
      </c>
      <c r="J562" s="10">
        <f>dataset_1!J611</f>
        <v>0.2</v>
      </c>
      <c r="K562" s="10">
        <f>VLOOKUP(A562,dataset_2!$A$2:$G$611,2,0)</f>
        <v>0.2576</v>
      </c>
      <c r="L562" s="10">
        <f>VLOOKUP(A562,dataset_2!$A$2:$G$611,3,0)</f>
        <v>0.86</v>
      </c>
      <c r="M562" s="10">
        <f>VLOOKUP(A562,dataset_2!$A$2:$G$611,4,0)</f>
        <v>0</v>
      </c>
      <c r="N562" s="10">
        <f>VLOOKUP(A562,dataset_2!$A$2:$G$611,5,0)</f>
        <v>1</v>
      </c>
      <c r="O562" s="10">
        <f>VLOOKUP(A562,dataset_2!$A$2:$G$611,6,0)</f>
        <v>40</v>
      </c>
      <c r="P562" s="10">
        <f>VLOOKUP(A562,dataset_2!$A$2:$G$611,7,0)</f>
        <v>41</v>
      </c>
      <c r="Q562" s="10"/>
      <c r="R562" s="10" t="str">
        <f t="shared" si="1"/>
        <v>OK</v>
      </c>
      <c r="S562" s="10">
        <f t="shared" si="2"/>
        <v>1</v>
      </c>
      <c r="T562" s="10" t="str">
        <f t="shared" si="3"/>
        <v>OK</v>
      </c>
      <c r="U562" s="10">
        <f t="shared" si="4"/>
        <v>1</v>
      </c>
      <c r="V562" s="10"/>
      <c r="W562" s="10"/>
      <c r="X562" s="10"/>
      <c r="Y562" s="10"/>
      <c r="Z562" s="10"/>
    </row>
    <row r="563" ht="13.5" customHeight="1">
      <c r="A563" s="3">
        <v>757.0</v>
      </c>
      <c r="B563" s="12">
        <v>40577.0</v>
      </c>
      <c r="C563" s="3">
        <v>1.0</v>
      </c>
      <c r="D563" s="3">
        <v>0.0</v>
      </c>
      <c r="E563" s="3">
        <v>2.0</v>
      </c>
      <c r="F563" s="3">
        <v>22.0</v>
      </c>
      <c r="G563" s="3" t="b">
        <f t="shared" ref="G563:G565" si="63">FALSE()</f>
        <v>0</v>
      </c>
      <c r="H563" s="3">
        <v>4.0</v>
      </c>
      <c r="I563" s="3">
        <v>1.0</v>
      </c>
      <c r="J563" s="3">
        <v>0.18</v>
      </c>
      <c r="K563" s="3">
        <v>0.2121</v>
      </c>
      <c r="L563" s="3">
        <v>0.51</v>
      </c>
      <c r="M563" s="3">
        <v>0.0896</v>
      </c>
      <c r="N563" s="3">
        <v>2.0</v>
      </c>
      <c r="O563" s="3">
        <v>39.0</v>
      </c>
      <c r="P563" s="3">
        <v>41.0</v>
      </c>
      <c r="Q563" s="10"/>
      <c r="R563" s="10" t="str">
        <f t="shared" si="1"/>
        <v>OK</v>
      </c>
      <c r="S563" s="10">
        <f t="shared" si="2"/>
        <v>1</v>
      </c>
      <c r="T563" s="10" t="str">
        <f t="shared" si="3"/>
        <v>OK</v>
      </c>
      <c r="U563" s="10">
        <f t="shared" si="4"/>
        <v>1</v>
      </c>
      <c r="V563" s="10"/>
      <c r="W563" s="10"/>
      <c r="X563" s="10"/>
      <c r="Y563" s="10"/>
      <c r="Z563" s="10"/>
    </row>
    <row r="564" ht="13.5" customHeight="1">
      <c r="A564" s="3">
        <v>888.0</v>
      </c>
      <c r="B564" s="12">
        <v>40583.0</v>
      </c>
      <c r="C564" s="3">
        <v>1.0</v>
      </c>
      <c r="D564" s="3">
        <v>0.0</v>
      </c>
      <c r="E564" s="3">
        <v>2.0</v>
      </c>
      <c r="F564" s="3">
        <v>11.0</v>
      </c>
      <c r="G564" s="3" t="b">
        <f t="shared" si="63"/>
        <v>0</v>
      </c>
      <c r="H564" s="3">
        <v>3.0</v>
      </c>
      <c r="I564" s="3">
        <v>2.0</v>
      </c>
      <c r="J564" s="3">
        <v>0.14</v>
      </c>
      <c r="K564" s="3">
        <v>0.1515</v>
      </c>
      <c r="L564" s="3">
        <v>0.43</v>
      </c>
      <c r="M564" s="3">
        <v>0.1642</v>
      </c>
      <c r="N564" s="3">
        <v>1.0</v>
      </c>
      <c r="O564" s="3">
        <v>40.0</v>
      </c>
      <c r="P564" s="3">
        <v>41.0</v>
      </c>
      <c r="Q564" s="10"/>
      <c r="R564" s="10" t="str">
        <f t="shared" si="1"/>
        <v>OK</v>
      </c>
      <c r="S564" s="10">
        <f t="shared" si="2"/>
        <v>1</v>
      </c>
      <c r="T564" s="10" t="str">
        <f t="shared" si="3"/>
        <v>OK</v>
      </c>
      <c r="U564" s="10">
        <f t="shared" si="4"/>
        <v>1</v>
      </c>
      <c r="V564" s="10"/>
      <c r="W564" s="10"/>
      <c r="X564" s="10"/>
      <c r="Y564" s="10"/>
      <c r="Z564" s="10"/>
    </row>
    <row r="565" ht="13.5" customHeight="1">
      <c r="A565" s="3">
        <v>965.0</v>
      </c>
      <c r="B565" s="12">
        <v>40586.0</v>
      </c>
      <c r="C565" s="3">
        <v>1.0</v>
      </c>
      <c r="D565" s="3">
        <v>0.0</v>
      </c>
      <c r="E565" s="3">
        <v>2.0</v>
      </c>
      <c r="F565" s="3">
        <v>19.0</v>
      </c>
      <c r="G565" s="3" t="b">
        <f t="shared" si="63"/>
        <v>0</v>
      </c>
      <c r="H565" s="3">
        <v>6.0</v>
      </c>
      <c r="I565" s="3">
        <v>1.0</v>
      </c>
      <c r="J565" s="3">
        <v>0.28</v>
      </c>
      <c r="K565" s="3">
        <v>0.2727</v>
      </c>
      <c r="L565" s="3">
        <v>0.38</v>
      </c>
      <c r="M565" s="3">
        <v>0.1642</v>
      </c>
      <c r="N565" s="3">
        <v>2.0</v>
      </c>
      <c r="O565" s="3">
        <v>39.0</v>
      </c>
      <c r="P565" s="3">
        <v>41.0</v>
      </c>
      <c r="Q565" s="10"/>
      <c r="R565" s="10" t="str">
        <f t="shared" si="1"/>
        <v>OK</v>
      </c>
      <c r="S565" s="10">
        <f t="shared" si="2"/>
        <v>1</v>
      </c>
      <c r="T565" s="10" t="str">
        <f t="shared" si="3"/>
        <v>OK</v>
      </c>
      <c r="U565" s="10">
        <f t="shared" si="4"/>
        <v>1</v>
      </c>
      <c r="V565" s="10"/>
      <c r="W565" s="10"/>
      <c r="X565" s="10"/>
      <c r="Y565" s="10"/>
      <c r="Z565" s="10"/>
    </row>
    <row r="566" ht="13.5" customHeight="1">
      <c r="A566" s="10">
        <f>dataset_1!A3</f>
        <v>2</v>
      </c>
      <c r="B566" s="11">
        <f>dataset_1!B3</f>
        <v>40544</v>
      </c>
      <c r="C566" s="10">
        <f>dataset_1!C3</f>
        <v>1</v>
      </c>
      <c r="D566" s="10">
        <f>dataset_1!D3</f>
        <v>0</v>
      </c>
      <c r="E566" s="10">
        <f>dataset_1!E3</f>
        <v>1</v>
      </c>
      <c r="F566" s="10">
        <f>dataset_1!F3</f>
        <v>1</v>
      </c>
      <c r="G566" s="10" t="b">
        <f>dataset_1!G3</f>
        <v>0</v>
      </c>
      <c r="H566" s="10">
        <f>dataset_1!H3</f>
        <v>6</v>
      </c>
      <c r="I566" s="10">
        <f>dataset_1!I3</f>
        <v>1</v>
      </c>
      <c r="J566" s="10">
        <f>dataset_1!J3</f>
        <v>0.22</v>
      </c>
      <c r="K566" s="10">
        <f>VLOOKUP(A566,dataset_2!$A$2:$G$611,2,0)</f>
        <v>0.2727</v>
      </c>
      <c r="L566" s="10">
        <f>VLOOKUP(A566,dataset_2!$A$2:$G$611,3,0)</f>
        <v>0.8</v>
      </c>
      <c r="M566" s="10">
        <f>VLOOKUP(A566,dataset_2!$A$2:$G$611,4,0)</f>
        <v>0</v>
      </c>
      <c r="N566" s="10">
        <f>VLOOKUP(A566,dataset_2!$A$2:$G$611,5,0)</f>
        <v>8</v>
      </c>
      <c r="O566" s="10">
        <f>VLOOKUP(A566,dataset_2!$A$2:$G$611,6,0)</f>
        <v>32</v>
      </c>
      <c r="P566" s="10">
        <f>VLOOKUP(A566,dataset_2!$A$2:$G$611,7,0)</f>
        <v>40</v>
      </c>
      <c r="Q566" s="10"/>
      <c r="R566" s="10" t="str">
        <f t="shared" si="1"/>
        <v>OK</v>
      </c>
      <c r="S566" s="10">
        <f t="shared" si="2"/>
        <v>1</v>
      </c>
      <c r="T566" s="10" t="str">
        <f t="shared" si="3"/>
        <v>OK</v>
      </c>
      <c r="U566" s="10">
        <f t="shared" si="4"/>
        <v>1</v>
      </c>
      <c r="V566" s="10"/>
      <c r="W566" s="10"/>
      <c r="X566" s="10"/>
      <c r="Y566" s="10"/>
      <c r="Z566" s="10"/>
    </row>
    <row r="567" ht="13.5" customHeight="1">
      <c r="A567" s="10">
        <f>dataset_1!A300</f>
        <v>299</v>
      </c>
      <c r="B567" s="11">
        <f>dataset_1!B300</f>
        <v>40556</v>
      </c>
      <c r="C567" s="10">
        <f>dataset_1!C300</f>
        <v>1</v>
      </c>
      <c r="D567" s="10">
        <f>dataset_1!D300</f>
        <v>0</v>
      </c>
      <c r="E567" s="10">
        <f>dataset_1!E300</f>
        <v>1</v>
      </c>
      <c r="F567" s="10">
        <f>dataset_1!F300</f>
        <v>21</v>
      </c>
      <c r="G567" s="10" t="b">
        <f>dataset_1!G300</f>
        <v>0</v>
      </c>
      <c r="H567" s="10">
        <f>dataset_1!H300</f>
        <v>4</v>
      </c>
      <c r="I567" s="10">
        <f>dataset_1!I300</f>
        <v>1</v>
      </c>
      <c r="J567" s="10">
        <f>dataset_1!J300</f>
        <v>0.14</v>
      </c>
      <c r="K567" s="10">
        <f>VLOOKUP(A567,dataset_2!$A$2:$G$611,2,0)</f>
        <v>0.1212</v>
      </c>
      <c r="L567" s="10">
        <f>VLOOKUP(A567,dataset_2!$A$2:$G$611,3,0)</f>
        <v>0.46</v>
      </c>
      <c r="M567" s="10">
        <f>VLOOKUP(A567,dataset_2!$A$2:$G$611,4,0)</f>
        <v>0.2985</v>
      </c>
      <c r="N567" s="10">
        <f>VLOOKUP(A567,dataset_2!$A$2:$G$611,5,0)</f>
        <v>0</v>
      </c>
      <c r="O567" s="10">
        <f>VLOOKUP(A567,dataset_2!$A$2:$G$611,6,0)</f>
        <v>40</v>
      </c>
      <c r="P567" s="10">
        <f>VLOOKUP(A567,dataset_2!$A$2:$G$611,7,0)</f>
        <v>40</v>
      </c>
      <c r="Q567" s="10"/>
      <c r="R567" s="10" t="str">
        <f t="shared" si="1"/>
        <v>OK</v>
      </c>
      <c r="S567" s="10">
        <f t="shared" si="2"/>
        <v>1</v>
      </c>
      <c r="T567" s="10" t="str">
        <f t="shared" si="3"/>
        <v>OK</v>
      </c>
      <c r="U567" s="10">
        <f t="shared" si="4"/>
        <v>1</v>
      </c>
      <c r="V567" s="10"/>
      <c r="W567" s="10"/>
      <c r="X567" s="10"/>
      <c r="Y567" s="10"/>
      <c r="Z567" s="10"/>
    </row>
    <row r="568" ht="13.5" customHeight="1">
      <c r="A568" s="10">
        <f>dataset_1!A489</f>
        <v>488</v>
      </c>
      <c r="B568" s="11">
        <f>dataset_1!B489</f>
        <v>40565</v>
      </c>
      <c r="C568" s="10">
        <f>dataset_1!C489</f>
        <v>1</v>
      </c>
      <c r="D568" s="10">
        <f>dataset_1!D489</f>
        <v>0</v>
      </c>
      <c r="E568" s="10">
        <f>dataset_1!E489</f>
        <v>1</v>
      </c>
      <c r="F568" s="10">
        <f>dataset_1!F489</f>
        <v>9</v>
      </c>
      <c r="G568" s="10" t="b">
        <f>dataset_1!G489</f>
        <v>0</v>
      </c>
      <c r="H568" s="10">
        <f>dataset_1!H489</f>
        <v>6</v>
      </c>
      <c r="I568" s="10">
        <f>dataset_1!I489</f>
        <v>1</v>
      </c>
      <c r="J568" s="10">
        <f>dataset_1!J489</f>
        <v>0.04</v>
      </c>
      <c r="K568" s="10">
        <f>VLOOKUP(A568,dataset_2!$A$2:$G$611,2,0)</f>
        <v>0.0303</v>
      </c>
      <c r="L568" s="10">
        <f>VLOOKUP(A568,dataset_2!$A$2:$G$611,3,0)</f>
        <v>0.41</v>
      </c>
      <c r="M568" s="10">
        <f>VLOOKUP(A568,dataset_2!$A$2:$G$611,4,0)</f>
        <v>0.2537</v>
      </c>
      <c r="N568" s="10">
        <f>VLOOKUP(A568,dataset_2!$A$2:$G$611,5,0)</f>
        <v>3</v>
      </c>
      <c r="O568" s="10">
        <f>VLOOKUP(A568,dataset_2!$A$2:$G$611,6,0)</f>
        <v>37</v>
      </c>
      <c r="P568" s="10">
        <f>VLOOKUP(A568,dataset_2!$A$2:$G$611,7,0)</f>
        <v>40</v>
      </c>
      <c r="Q568" s="10"/>
      <c r="R568" s="10" t="str">
        <f t="shared" si="1"/>
        <v>OK</v>
      </c>
      <c r="S568" s="10">
        <f t="shared" si="2"/>
        <v>1</v>
      </c>
      <c r="T568" s="10" t="str">
        <f t="shared" si="3"/>
        <v>OK</v>
      </c>
      <c r="U568" s="10">
        <f t="shared" si="4"/>
        <v>1</v>
      </c>
      <c r="V568" s="10"/>
      <c r="W568" s="10"/>
      <c r="X568" s="10"/>
      <c r="Y568" s="10"/>
      <c r="Z568" s="10"/>
    </row>
    <row r="569" ht="13.5" customHeight="1">
      <c r="A569" s="10">
        <f>dataset_1!A536</f>
        <v>535</v>
      </c>
      <c r="B569" s="11">
        <f>dataset_1!B536</f>
        <v>40567</v>
      </c>
      <c r="C569" s="10">
        <f>dataset_1!C536</f>
        <v>1</v>
      </c>
      <c r="D569" s="10">
        <f>dataset_1!D536</f>
        <v>0</v>
      </c>
      <c r="E569" s="10">
        <f>dataset_1!E536</f>
        <v>1</v>
      </c>
      <c r="F569" s="10">
        <f>dataset_1!F536</f>
        <v>10</v>
      </c>
      <c r="G569" s="10" t="b">
        <f>dataset_1!G536</f>
        <v>0</v>
      </c>
      <c r="H569" s="10">
        <f>dataset_1!H536</f>
        <v>1</v>
      </c>
      <c r="I569" s="10">
        <f>dataset_1!I536</f>
        <v>1</v>
      </c>
      <c r="J569" s="10">
        <f>dataset_1!J536</f>
        <v>0.1</v>
      </c>
      <c r="K569" s="10">
        <f>VLOOKUP(A569,dataset_2!$A$2:$G$611,2,0)</f>
        <v>0.1364</v>
      </c>
      <c r="L569" s="10">
        <f>VLOOKUP(A569,dataset_2!$A$2:$G$611,3,0)</f>
        <v>0.42</v>
      </c>
      <c r="M569" s="10">
        <f>VLOOKUP(A569,dataset_2!$A$2:$G$611,4,0)</f>
        <v>0</v>
      </c>
      <c r="N569" s="10">
        <f>VLOOKUP(A569,dataset_2!$A$2:$G$611,5,0)</f>
        <v>6</v>
      </c>
      <c r="O569" s="10">
        <f>VLOOKUP(A569,dataset_2!$A$2:$G$611,6,0)</f>
        <v>34</v>
      </c>
      <c r="P569" s="10">
        <f>VLOOKUP(A569,dataset_2!$A$2:$G$611,7,0)</f>
        <v>40</v>
      </c>
      <c r="Q569" s="10"/>
      <c r="R569" s="10" t="str">
        <f t="shared" si="1"/>
        <v>OK</v>
      </c>
      <c r="S569" s="10">
        <f t="shared" si="2"/>
        <v>1</v>
      </c>
      <c r="T569" s="10" t="str">
        <f t="shared" si="3"/>
        <v>OK</v>
      </c>
      <c r="U569" s="10">
        <f t="shared" si="4"/>
        <v>1</v>
      </c>
      <c r="V569" s="10"/>
      <c r="W569" s="10"/>
      <c r="X569" s="10"/>
      <c r="Y569" s="10"/>
      <c r="Z569" s="10"/>
    </row>
    <row r="570" ht="13.5" customHeight="1">
      <c r="A570" s="10">
        <f>dataset_1!A572</f>
        <v>571</v>
      </c>
      <c r="B570" s="11">
        <f>dataset_1!B572</f>
        <v>40568</v>
      </c>
      <c r="C570" s="10">
        <f>dataset_1!C572</f>
        <v>1</v>
      </c>
      <c r="D570" s="10">
        <f>dataset_1!D572</f>
        <v>0</v>
      </c>
      <c r="E570" s="10">
        <f>dataset_1!E572</f>
        <v>1</v>
      </c>
      <c r="F570" s="10">
        <f>dataset_1!F572</f>
        <v>23</v>
      </c>
      <c r="G570" s="10" t="b">
        <f>dataset_1!G572</f>
        <v>0</v>
      </c>
      <c r="H570" s="10">
        <f>dataset_1!H572</f>
        <v>2</v>
      </c>
      <c r="I570" s="10">
        <f>dataset_1!I572</f>
        <v>2</v>
      </c>
      <c r="J570" s="10">
        <f>dataset_1!J572</f>
        <v>0.22</v>
      </c>
      <c r="K570" s="10">
        <f>VLOOKUP(A570,dataset_2!$A$2:$G$611,2,0)</f>
        <v>0.2273</v>
      </c>
      <c r="L570" s="10">
        <f>VLOOKUP(A570,dataset_2!$A$2:$G$611,3,0)</f>
        <v>0.64</v>
      </c>
      <c r="M570" s="10">
        <f>VLOOKUP(A570,dataset_2!$A$2:$G$611,4,0)</f>
        <v>0.1642</v>
      </c>
      <c r="N570" s="10">
        <f>VLOOKUP(A570,dataset_2!$A$2:$G$611,5,0)</f>
        <v>3</v>
      </c>
      <c r="O570" s="10">
        <f>VLOOKUP(A570,dataset_2!$A$2:$G$611,6,0)</f>
        <v>37</v>
      </c>
      <c r="P570" s="10">
        <f>VLOOKUP(A570,dataset_2!$A$2:$G$611,7,0)</f>
        <v>40</v>
      </c>
      <c r="Q570" s="10"/>
      <c r="R570" s="10" t="str">
        <f t="shared" si="1"/>
        <v>OK</v>
      </c>
      <c r="S570" s="10">
        <f t="shared" si="2"/>
        <v>1</v>
      </c>
      <c r="T570" s="10" t="str">
        <f t="shared" si="3"/>
        <v>OK</v>
      </c>
      <c r="U570" s="10">
        <f t="shared" si="4"/>
        <v>1</v>
      </c>
      <c r="V570" s="10"/>
      <c r="W570" s="10"/>
      <c r="X570" s="10"/>
      <c r="Y570" s="10"/>
      <c r="Z570" s="10"/>
    </row>
    <row r="571" ht="13.5" customHeight="1">
      <c r="A571" s="3">
        <v>734.0</v>
      </c>
      <c r="B571" s="12">
        <v>40576.0</v>
      </c>
      <c r="C571" s="3">
        <v>1.0</v>
      </c>
      <c r="D571" s="3">
        <v>0.0</v>
      </c>
      <c r="E571" s="3">
        <v>2.0</v>
      </c>
      <c r="F571" s="3">
        <v>22.0</v>
      </c>
      <c r="G571" s="3" t="b">
        <f t="shared" ref="G571:G572" si="64">FALSE()</f>
        <v>0</v>
      </c>
      <c r="H571" s="3">
        <v>3.0</v>
      </c>
      <c r="I571" s="3">
        <v>1.0</v>
      </c>
      <c r="J571" s="3">
        <v>0.22</v>
      </c>
      <c r="K571" s="3">
        <v>0.2121</v>
      </c>
      <c r="L571" s="3">
        <v>0.44</v>
      </c>
      <c r="M571" s="3">
        <v>0.2537</v>
      </c>
      <c r="N571" s="3">
        <v>5.0</v>
      </c>
      <c r="O571" s="3">
        <v>35.0</v>
      </c>
      <c r="P571" s="3">
        <v>40.0</v>
      </c>
      <c r="Q571" s="10"/>
      <c r="R571" s="10" t="str">
        <f t="shared" si="1"/>
        <v>OK</v>
      </c>
      <c r="S571" s="10">
        <f t="shared" si="2"/>
        <v>1</v>
      </c>
      <c r="T571" s="10" t="str">
        <f t="shared" si="3"/>
        <v>OK</v>
      </c>
      <c r="U571" s="10">
        <f t="shared" si="4"/>
        <v>1</v>
      </c>
      <c r="V571" s="10"/>
      <c r="W571" s="10"/>
      <c r="X571" s="10"/>
      <c r="Y571" s="10"/>
      <c r="Z571" s="10"/>
    </row>
    <row r="572" ht="13.5" customHeight="1">
      <c r="A572" s="3">
        <v>966.0</v>
      </c>
      <c r="B572" s="12">
        <v>40586.0</v>
      </c>
      <c r="C572" s="3">
        <v>1.0</v>
      </c>
      <c r="D572" s="3">
        <v>0.0</v>
      </c>
      <c r="E572" s="3">
        <v>2.0</v>
      </c>
      <c r="F572" s="3">
        <v>20.0</v>
      </c>
      <c r="G572" s="3" t="b">
        <f t="shared" si="64"/>
        <v>0</v>
      </c>
      <c r="H572" s="3">
        <v>6.0</v>
      </c>
      <c r="I572" s="3">
        <v>1.0</v>
      </c>
      <c r="J572" s="3">
        <v>0.26</v>
      </c>
      <c r="K572" s="3">
        <v>0.2576</v>
      </c>
      <c r="L572" s="3">
        <v>0.41</v>
      </c>
      <c r="M572" s="3">
        <v>0.2239</v>
      </c>
      <c r="N572" s="3">
        <v>1.0</v>
      </c>
      <c r="O572" s="3">
        <v>39.0</v>
      </c>
      <c r="P572" s="3">
        <v>40.0</v>
      </c>
      <c r="Q572" s="10"/>
      <c r="R572" s="10" t="str">
        <f t="shared" si="1"/>
        <v>OK</v>
      </c>
      <c r="S572" s="10">
        <f t="shared" si="2"/>
        <v>1</v>
      </c>
      <c r="T572" s="10" t="str">
        <f t="shared" si="3"/>
        <v>OK</v>
      </c>
      <c r="U572" s="10">
        <f t="shared" si="4"/>
        <v>1</v>
      </c>
      <c r="V572" s="10"/>
      <c r="W572" s="10"/>
      <c r="X572" s="10"/>
      <c r="Y572" s="10"/>
      <c r="Z572" s="10"/>
    </row>
    <row r="573" ht="13.5" customHeight="1">
      <c r="A573" s="10">
        <f>dataset_1!A25</f>
        <v>24</v>
      </c>
      <c r="B573" s="11">
        <f>dataset_1!B25</f>
        <v>40544</v>
      </c>
      <c r="C573" s="10">
        <f>dataset_1!C25</f>
        <v>1</v>
      </c>
      <c r="D573" s="10">
        <f>dataset_1!D25</f>
        <v>0</v>
      </c>
      <c r="E573" s="10">
        <f>dataset_1!E25</f>
        <v>1</v>
      </c>
      <c r="F573" s="10">
        <f>dataset_1!F25</f>
        <v>23</v>
      </c>
      <c r="G573" s="10" t="b">
        <f>dataset_1!G25</f>
        <v>0</v>
      </c>
      <c r="H573" s="10">
        <f>dataset_1!H25</f>
        <v>6</v>
      </c>
      <c r="I573" s="10">
        <f>dataset_1!I25</f>
        <v>2</v>
      </c>
      <c r="J573" s="10">
        <f>dataset_1!J25</f>
        <v>0.46</v>
      </c>
      <c r="K573" s="10" t="str">
        <f>VLOOKUP(A573,dataset_2!$A$2:$G$611,2,0)</f>
        <v/>
      </c>
      <c r="L573" s="10">
        <f>VLOOKUP(A573,dataset_2!$A$2:$G$611,3,0)</f>
        <v>0.88</v>
      </c>
      <c r="M573" s="10">
        <f>VLOOKUP(A573,dataset_2!$A$2:$G$611,4,0)</f>
        <v>0.2985</v>
      </c>
      <c r="N573" s="10">
        <f>VLOOKUP(A573,dataset_2!$A$2:$G$611,5,0)</f>
        <v>15</v>
      </c>
      <c r="O573" s="10">
        <f>VLOOKUP(A573,dataset_2!$A$2:$G$611,6,0)</f>
        <v>24</v>
      </c>
      <c r="P573" s="10">
        <f>VLOOKUP(A573,dataset_2!$A$2:$G$611,7,0)</f>
        <v>39</v>
      </c>
      <c r="Q573" s="10"/>
      <c r="R573" s="10" t="str">
        <f t="shared" si="1"/>
        <v>CHECK</v>
      </c>
      <c r="S573" s="10">
        <f t="shared" si="2"/>
        <v>1</v>
      </c>
      <c r="T573" s="10" t="str">
        <f t="shared" si="3"/>
        <v>OK</v>
      </c>
      <c r="U573" s="10">
        <f t="shared" si="4"/>
        <v>1</v>
      </c>
      <c r="V573" s="10"/>
      <c r="W573" s="10"/>
      <c r="X573" s="10"/>
      <c r="Y573" s="10"/>
      <c r="Z573" s="10"/>
    </row>
    <row r="574" ht="13.5" customHeight="1">
      <c r="A574" s="10">
        <f>dataset_1!A160</f>
        <v>159</v>
      </c>
      <c r="B574" s="11">
        <f>dataset_1!B160</f>
        <v>40550</v>
      </c>
      <c r="C574" s="10">
        <f>dataset_1!C160</f>
        <v>1</v>
      </c>
      <c r="D574" s="10">
        <f>dataset_1!D160</f>
        <v>0</v>
      </c>
      <c r="E574" s="10">
        <f>dataset_1!E160</f>
        <v>1</v>
      </c>
      <c r="F574" s="10">
        <f>dataset_1!F160</f>
        <v>21</v>
      </c>
      <c r="G574" s="10" t="b">
        <f>dataset_1!G160</f>
        <v>0</v>
      </c>
      <c r="H574" s="10">
        <f>dataset_1!H160</f>
        <v>5</v>
      </c>
      <c r="I574" s="10">
        <f>dataset_1!I160</f>
        <v>1</v>
      </c>
      <c r="J574" s="10">
        <f>dataset_1!J160</f>
        <v>0.18</v>
      </c>
      <c r="K574" s="10">
        <f>VLOOKUP(A574,dataset_2!$A$2:$G$611,2,0)</f>
        <v>0.197</v>
      </c>
      <c r="L574" s="10">
        <f>VLOOKUP(A574,dataset_2!$A$2:$G$611,3,0)</f>
        <v>0.47</v>
      </c>
      <c r="M574" s="10">
        <f>VLOOKUP(A574,dataset_2!$A$2:$G$611,4,0)</f>
        <v>0.1343</v>
      </c>
      <c r="N574" s="10">
        <f>VLOOKUP(A574,dataset_2!$A$2:$G$611,5,0)</f>
        <v>0</v>
      </c>
      <c r="O574" s="10">
        <f>VLOOKUP(A574,dataset_2!$A$2:$G$611,6,0)</f>
        <v>39</v>
      </c>
      <c r="P574" s="10">
        <f>VLOOKUP(A574,dataset_2!$A$2:$G$611,7,0)</f>
        <v>39</v>
      </c>
      <c r="Q574" s="10"/>
      <c r="R574" s="10" t="str">
        <f t="shared" si="1"/>
        <v>OK</v>
      </c>
      <c r="S574" s="10">
        <f t="shared" si="2"/>
        <v>0</v>
      </c>
      <c r="T574" s="10" t="str">
        <f t="shared" si="3"/>
        <v>OK</v>
      </c>
      <c r="U574" s="10">
        <f t="shared" si="4"/>
        <v>1</v>
      </c>
      <c r="V574" s="10"/>
      <c r="W574" s="10"/>
      <c r="X574" s="10"/>
      <c r="Y574" s="10"/>
      <c r="Z574" s="10"/>
    </row>
    <row r="575" ht="13.5" customHeight="1">
      <c r="A575" s="10">
        <f>dataset_1!A265</f>
        <v>264</v>
      </c>
      <c r="B575" s="11">
        <f>dataset_1!B265</f>
        <v>40555</v>
      </c>
      <c r="C575" s="10">
        <f>dataset_1!C265</f>
        <v>1</v>
      </c>
      <c r="D575" s="10">
        <f>dataset_1!D265</f>
        <v>0</v>
      </c>
      <c r="E575" s="10">
        <f>dataset_1!E265</f>
        <v>1</v>
      </c>
      <c r="F575" s="10">
        <f>dataset_1!F265</f>
        <v>10</v>
      </c>
      <c r="G575" s="10" t="b">
        <f>dataset_1!G265</f>
        <v>0</v>
      </c>
      <c r="H575" s="10">
        <f>dataset_1!H265</f>
        <v>3</v>
      </c>
      <c r="I575" s="10">
        <f>dataset_1!I265</f>
        <v>1</v>
      </c>
      <c r="J575" s="10">
        <f>dataset_1!J265</f>
        <v>0.18</v>
      </c>
      <c r="K575" s="10">
        <f>VLOOKUP(A575,dataset_2!$A$2:$G$611,2,0)</f>
        <v>0.1818</v>
      </c>
      <c r="L575" s="10">
        <f>VLOOKUP(A575,dataset_2!$A$2:$G$611,3,0)</f>
        <v>0.55</v>
      </c>
      <c r="M575" s="10">
        <f>VLOOKUP(A575,dataset_2!$A$2:$G$611,4,0)</f>
        <v>0.2239</v>
      </c>
      <c r="N575" s="10">
        <f>VLOOKUP(A575,dataset_2!$A$2:$G$611,5,0)</f>
        <v>0</v>
      </c>
      <c r="O575" s="10">
        <f>VLOOKUP(A575,dataset_2!$A$2:$G$611,6,0)</f>
        <v>39</v>
      </c>
      <c r="P575" s="10">
        <f>VLOOKUP(A575,dataset_2!$A$2:$G$611,7,0)</f>
        <v>39</v>
      </c>
      <c r="Q575" s="10"/>
      <c r="R575" s="10" t="str">
        <f t="shared" si="1"/>
        <v>OK</v>
      </c>
      <c r="S575" s="10">
        <f t="shared" si="2"/>
        <v>0</v>
      </c>
      <c r="T575" s="10" t="str">
        <f t="shared" si="3"/>
        <v>OK</v>
      </c>
      <c r="U575" s="10">
        <f t="shared" si="4"/>
        <v>1</v>
      </c>
      <c r="V575" s="10"/>
      <c r="W575" s="10"/>
      <c r="X575" s="10"/>
      <c r="Y575" s="10"/>
      <c r="Z575" s="10"/>
    </row>
    <row r="576" ht="13.5" customHeight="1">
      <c r="A576" s="10">
        <f>dataset_1!A350</f>
        <v>349</v>
      </c>
      <c r="B576" s="11">
        <f>dataset_1!B350</f>
        <v>40559</v>
      </c>
      <c r="C576" s="10">
        <f>dataset_1!C350</f>
        <v>1</v>
      </c>
      <c r="D576" s="10">
        <f>dataset_1!D350</f>
        <v>0</v>
      </c>
      <c r="E576" s="10">
        <f>dataset_1!E350</f>
        <v>1</v>
      </c>
      <c r="F576" s="10">
        <f>dataset_1!F350</f>
        <v>0</v>
      </c>
      <c r="G576" s="10" t="b">
        <f>dataset_1!G350</f>
        <v>0</v>
      </c>
      <c r="H576" s="10">
        <f>dataset_1!H350</f>
        <v>0</v>
      </c>
      <c r="I576" s="10">
        <f>dataset_1!I350</f>
        <v>1</v>
      </c>
      <c r="J576" s="10">
        <f>dataset_1!J350</f>
        <v>0.26</v>
      </c>
      <c r="K576" s="10">
        <f>VLOOKUP(A576,dataset_2!$A$2:$G$611,2,0)</f>
        <v>0.303</v>
      </c>
      <c r="L576" s="10">
        <f>VLOOKUP(A576,dataset_2!$A$2:$G$611,3,0)</f>
        <v>0.56</v>
      </c>
      <c r="M576" s="10">
        <f>VLOOKUP(A576,dataset_2!$A$2:$G$611,4,0)</f>
        <v>0</v>
      </c>
      <c r="N576" s="10">
        <f>VLOOKUP(A576,dataset_2!$A$2:$G$611,5,0)</f>
        <v>6</v>
      </c>
      <c r="O576" s="10">
        <f>VLOOKUP(A576,dataset_2!$A$2:$G$611,6,0)</f>
        <v>33</v>
      </c>
      <c r="P576" s="10">
        <f>VLOOKUP(A576,dataset_2!$A$2:$G$611,7,0)</f>
        <v>39</v>
      </c>
      <c r="Q576" s="10"/>
      <c r="R576" s="10" t="str">
        <f t="shared" si="1"/>
        <v>OK</v>
      </c>
      <c r="S576" s="10">
        <f t="shared" si="2"/>
        <v>0</v>
      </c>
      <c r="T576" s="10" t="str">
        <f t="shared" si="3"/>
        <v>OK</v>
      </c>
      <c r="U576" s="10">
        <f t="shared" si="4"/>
        <v>1</v>
      </c>
      <c r="V576" s="10"/>
      <c r="W576" s="10"/>
      <c r="X576" s="10"/>
      <c r="Y576" s="10"/>
      <c r="Z576" s="10"/>
    </row>
    <row r="577" ht="13.5" customHeight="1">
      <c r="A577" s="10">
        <f>dataset_1!A501</f>
        <v>500</v>
      </c>
      <c r="B577" s="11">
        <f>dataset_1!B501</f>
        <v>40565</v>
      </c>
      <c r="C577" s="10">
        <f>dataset_1!C501</f>
        <v>1</v>
      </c>
      <c r="D577" s="10">
        <f>dataset_1!D501</f>
        <v>0</v>
      </c>
      <c r="E577" s="10">
        <f>dataset_1!E501</f>
        <v>1</v>
      </c>
      <c r="F577" s="10">
        <f>dataset_1!F501</f>
        <v>21</v>
      </c>
      <c r="G577" s="10" t="b">
        <f>dataset_1!G501</f>
        <v>0</v>
      </c>
      <c r="H577" s="10">
        <f>dataset_1!H501</f>
        <v>6</v>
      </c>
      <c r="I577" s="10">
        <f>dataset_1!I501</f>
        <v>1</v>
      </c>
      <c r="J577" s="10">
        <f>dataset_1!J501</f>
        <v>0.06</v>
      </c>
      <c r="K577" s="10">
        <f>VLOOKUP(A577,dataset_2!$A$2:$G$611,2,0)</f>
        <v>0.1061</v>
      </c>
      <c r="L577" s="10">
        <f>VLOOKUP(A577,dataset_2!$A$2:$G$611,3,0)</f>
        <v>0.41</v>
      </c>
      <c r="M577" s="10">
        <f>VLOOKUP(A577,dataset_2!$A$2:$G$611,4,0)</f>
        <v>0.0896</v>
      </c>
      <c r="N577" s="10">
        <f>VLOOKUP(A577,dataset_2!$A$2:$G$611,5,0)</f>
        <v>0</v>
      </c>
      <c r="O577" s="10">
        <f>VLOOKUP(A577,dataset_2!$A$2:$G$611,6,0)</f>
        <v>39</v>
      </c>
      <c r="P577" s="10">
        <f>VLOOKUP(A577,dataset_2!$A$2:$G$611,7,0)</f>
        <v>39</v>
      </c>
      <c r="Q577" s="10"/>
      <c r="R577" s="10" t="str">
        <f t="shared" si="1"/>
        <v>OK</v>
      </c>
      <c r="S577" s="10">
        <f t="shared" si="2"/>
        <v>0</v>
      </c>
      <c r="T577" s="10" t="str">
        <f t="shared" si="3"/>
        <v>OK</v>
      </c>
      <c r="U577" s="10">
        <f t="shared" si="4"/>
        <v>1</v>
      </c>
      <c r="V577" s="10"/>
      <c r="W577" s="10"/>
      <c r="X577" s="10"/>
      <c r="Y577" s="10"/>
      <c r="Z577" s="10"/>
    </row>
    <row r="578" ht="13.5" customHeight="1">
      <c r="A578" s="3">
        <v>741.0</v>
      </c>
      <c r="B578" s="12">
        <v>40577.0</v>
      </c>
      <c r="C578" s="3">
        <v>1.0</v>
      </c>
      <c r="D578" s="3">
        <v>0.0</v>
      </c>
      <c r="E578" s="3">
        <v>2.0</v>
      </c>
      <c r="F578" s="3">
        <v>6.0</v>
      </c>
      <c r="G578" s="3" t="b">
        <f t="shared" ref="G578:G582" si="65">FALSE()</f>
        <v>0</v>
      </c>
      <c r="H578" s="3">
        <v>4.0</v>
      </c>
      <c r="I578" s="3">
        <v>1.0</v>
      </c>
      <c r="J578" s="3">
        <v>0.16</v>
      </c>
      <c r="K578" s="3">
        <v>0.1364</v>
      </c>
      <c r="L578" s="3">
        <v>0.43</v>
      </c>
      <c r="M578" s="3">
        <v>0.3582</v>
      </c>
      <c r="N578" s="3">
        <v>0.0</v>
      </c>
      <c r="O578" s="3">
        <v>39.0</v>
      </c>
      <c r="P578" s="3">
        <v>39.0</v>
      </c>
      <c r="Q578" s="10"/>
      <c r="R578" s="10" t="str">
        <f t="shared" si="1"/>
        <v>OK</v>
      </c>
      <c r="S578" s="10">
        <f t="shared" si="2"/>
        <v>0</v>
      </c>
      <c r="T578" s="10" t="str">
        <f t="shared" si="3"/>
        <v>OK</v>
      </c>
      <c r="U578" s="10">
        <f t="shared" si="4"/>
        <v>1</v>
      </c>
      <c r="V578" s="10"/>
      <c r="W578" s="10"/>
      <c r="X578" s="10"/>
      <c r="Y578" s="10"/>
      <c r="Z578" s="10"/>
    </row>
    <row r="579" ht="13.5" customHeight="1">
      <c r="A579" s="3">
        <v>782.0</v>
      </c>
      <c r="B579" s="12">
        <v>40579.0</v>
      </c>
      <c r="C579" s="3">
        <v>1.0</v>
      </c>
      <c r="D579" s="3">
        <v>0.0</v>
      </c>
      <c r="E579" s="3">
        <v>2.0</v>
      </c>
      <c r="F579" s="3">
        <v>0.0</v>
      </c>
      <c r="G579" s="3" t="b">
        <f t="shared" si="65"/>
        <v>0</v>
      </c>
      <c r="H579" s="3">
        <v>6.0</v>
      </c>
      <c r="I579" s="3">
        <v>2.0</v>
      </c>
      <c r="J579" s="3">
        <v>0.24</v>
      </c>
      <c r="K579" s="3">
        <v>0.2424</v>
      </c>
      <c r="L579" s="3">
        <v>0.7</v>
      </c>
      <c r="M579" s="3">
        <v>0.1642</v>
      </c>
      <c r="N579" s="3">
        <v>3.0</v>
      </c>
      <c r="O579" s="3">
        <v>36.0</v>
      </c>
      <c r="P579" s="3">
        <v>39.0</v>
      </c>
      <c r="Q579" s="10"/>
      <c r="R579" s="10" t="str">
        <f t="shared" si="1"/>
        <v>OK</v>
      </c>
      <c r="S579" s="10">
        <f t="shared" si="2"/>
        <v>0</v>
      </c>
      <c r="T579" s="10" t="str">
        <f t="shared" si="3"/>
        <v>OK</v>
      </c>
      <c r="U579" s="10">
        <f t="shared" si="4"/>
        <v>1</v>
      </c>
      <c r="V579" s="10"/>
      <c r="W579" s="10"/>
      <c r="X579" s="10"/>
      <c r="Y579" s="10"/>
      <c r="Z579" s="10"/>
    </row>
    <row r="580" ht="13.5" customHeight="1">
      <c r="A580" s="3">
        <v>806.0</v>
      </c>
      <c r="B580" s="12">
        <v>40580.0</v>
      </c>
      <c r="C580" s="3">
        <v>1.0</v>
      </c>
      <c r="D580" s="3">
        <v>0.0</v>
      </c>
      <c r="E580" s="3">
        <v>2.0</v>
      </c>
      <c r="F580" s="3">
        <v>0.0</v>
      </c>
      <c r="G580" s="3" t="b">
        <f t="shared" si="65"/>
        <v>0</v>
      </c>
      <c r="H580" s="3">
        <v>0.0</v>
      </c>
      <c r="I580" s="3">
        <v>1.0</v>
      </c>
      <c r="J580" s="3">
        <v>0.26</v>
      </c>
      <c r="K580" s="3">
        <v>0.2576</v>
      </c>
      <c r="L580" s="3">
        <v>0.7</v>
      </c>
      <c r="M580" s="3">
        <v>0.194</v>
      </c>
      <c r="N580" s="3">
        <v>2.0</v>
      </c>
      <c r="O580" s="3">
        <v>37.0</v>
      </c>
      <c r="P580" s="3">
        <v>39.0</v>
      </c>
      <c r="Q580" s="10"/>
      <c r="R580" s="10" t="str">
        <f t="shared" si="1"/>
        <v>OK</v>
      </c>
      <c r="S580" s="10">
        <f t="shared" si="2"/>
        <v>0</v>
      </c>
      <c r="T580" s="10" t="str">
        <f t="shared" si="3"/>
        <v>OK</v>
      </c>
      <c r="U580" s="10">
        <f t="shared" si="4"/>
        <v>1</v>
      </c>
      <c r="V580" s="10"/>
      <c r="W580" s="10"/>
      <c r="X580" s="10"/>
      <c r="Y580" s="10"/>
      <c r="Z580" s="10"/>
    </row>
    <row r="581" ht="13.5" customHeight="1">
      <c r="A581" s="3">
        <v>860.0</v>
      </c>
      <c r="B581" s="12">
        <v>40582.0</v>
      </c>
      <c r="C581" s="3">
        <v>1.0</v>
      </c>
      <c r="D581" s="3">
        <v>0.0</v>
      </c>
      <c r="E581" s="3">
        <v>2.0</v>
      </c>
      <c r="F581" s="3">
        <v>6.0</v>
      </c>
      <c r="G581" s="3" t="b">
        <f t="shared" si="65"/>
        <v>0</v>
      </c>
      <c r="H581" s="3">
        <v>2.0</v>
      </c>
      <c r="I581" s="3">
        <v>1.0</v>
      </c>
      <c r="J581" s="3">
        <v>0.26</v>
      </c>
      <c r="K581" s="3">
        <v>0.2273</v>
      </c>
      <c r="L581" s="3">
        <v>0.7</v>
      </c>
      <c r="M581" s="3">
        <v>0.3284</v>
      </c>
      <c r="N581" s="3">
        <v>0.0</v>
      </c>
      <c r="O581" s="3">
        <v>39.0</v>
      </c>
      <c r="P581" s="3">
        <v>39.0</v>
      </c>
      <c r="Q581" s="10"/>
      <c r="R581" s="10" t="str">
        <f t="shared" si="1"/>
        <v>OK</v>
      </c>
      <c r="S581" s="10">
        <f t="shared" si="2"/>
        <v>0</v>
      </c>
      <c r="T581" s="10" t="str">
        <f t="shared" si="3"/>
        <v>OK</v>
      </c>
      <c r="U581" s="10">
        <f t="shared" si="4"/>
        <v>1</v>
      </c>
      <c r="V581" s="10"/>
      <c r="W581" s="10"/>
      <c r="X581" s="10"/>
      <c r="Y581" s="10"/>
      <c r="Z581" s="10"/>
    </row>
    <row r="582" ht="13.5" customHeight="1">
      <c r="A582" s="3">
        <v>970.0</v>
      </c>
      <c r="B582" s="12">
        <v>40587.0</v>
      </c>
      <c r="C582" s="3">
        <v>1.0</v>
      </c>
      <c r="D582" s="3">
        <v>0.0</v>
      </c>
      <c r="E582" s="3">
        <v>2.0</v>
      </c>
      <c r="F582" s="3">
        <v>0.0</v>
      </c>
      <c r="G582" s="3" t="b">
        <f t="shared" si="65"/>
        <v>0</v>
      </c>
      <c r="H582" s="3">
        <v>0.0</v>
      </c>
      <c r="I582" s="3">
        <v>1.0</v>
      </c>
      <c r="J582" s="3">
        <v>0.2</v>
      </c>
      <c r="K582" s="3">
        <v>0.2273</v>
      </c>
      <c r="L582" s="3">
        <v>0.64</v>
      </c>
      <c r="M582" s="3">
        <v>0.1045</v>
      </c>
      <c r="N582" s="3">
        <v>5.0</v>
      </c>
      <c r="O582" s="3">
        <v>34.0</v>
      </c>
      <c r="P582" s="3">
        <v>39.0</v>
      </c>
      <c r="Q582" s="10"/>
      <c r="R582" s="10" t="str">
        <f t="shared" si="1"/>
        <v>OK</v>
      </c>
      <c r="S582" s="10">
        <f t="shared" si="2"/>
        <v>0</v>
      </c>
      <c r="T582" s="10" t="str">
        <f t="shared" si="3"/>
        <v>OK</v>
      </c>
      <c r="U582" s="10">
        <f t="shared" si="4"/>
        <v>1</v>
      </c>
      <c r="V582" s="10"/>
      <c r="W582" s="10"/>
      <c r="X582" s="10"/>
      <c r="Y582" s="10"/>
      <c r="Z582" s="10"/>
    </row>
    <row r="583" ht="13.5" customHeight="1">
      <c r="A583" s="10">
        <f>dataset_1!A207</f>
        <v>206</v>
      </c>
      <c r="B583" s="11">
        <f>dataset_1!B207</f>
        <v>40552</v>
      </c>
      <c r="C583" s="10">
        <f>dataset_1!C207</f>
        <v>1</v>
      </c>
      <c r="D583" s="10">
        <f>dataset_1!D207</f>
        <v>0</v>
      </c>
      <c r="E583" s="10">
        <f>dataset_1!E207</f>
        <v>1</v>
      </c>
      <c r="F583" s="10">
        <f>dataset_1!F207</f>
        <v>20</v>
      </c>
      <c r="G583" s="10" t="b">
        <f>dataset_1!G207</f>
        <v>0</v>
      </c>
      <c r="H583" s="10">
        <f>dataset_1!H207</f>
        <v>0</v>
      </c>
      <c r="I583" s="10">
        <f>dataset_1!I207</f>
        <v>1</v>
      </c>
      <c r="J583" s="10">
        <f>dataset_1!J207</f>
        <v>0.14</v>
      </c>
      <c r="K583" s="10">
        <f>VLOOKUP(A583,dataset_2!$A$2:$G$611,2,0)</f>
        <v>0.1212</v>
      </c>
      <c r="L583" s="10">
        <f>VLOOKUP(A583,dataset_2!$A$2:$G$611,3,0)</f>
        <v>0.46</v>
      </c>
      <c r="M583" s="10">
        <f>VLOOKUP(A583,dataset_2!$A$2:$G$611,4,0)</f>
        <v>0.2537</v>
      </c>
      <c r="N583" s="10">
        <f>VLOOKUP(A583,dataset_2!$A$2:$G$611,5,0)</f>
        <v>0</v>
      </c>
      <c r="O583" s="10">
        <f>VLOOKUP(A583,dataset_2!$A$2:$G$611,6,0)</f>
        <v>38</v>
      </c>
      <c r="P583" s="10">
        <f>VLOOKUP(A583,dataset_2!$A$2:$G$611,7,0)</f>
        <v>38</v>
      </c>
      <c r="Q583" s="10"/>
      <c r="R583" s="10" t="str">
        <f t="shared" si="1"/>
        <v>OK</v>
      </c>
      <c r="S583" s="10">
        <f t="shared" si="2"/>
        <v>0</v>
      </c>
      <c r="T583" s="10" t="str">
        <f t="shared" si="3"/>
        <v>OK</v>
      </c>
      <c r="U583" s="10">
        <f t="shared" si="4"/>
        <v>1</v>
      </c>
      <c r="V583" s="10"/>
      <c r="W583" s="10"/>
      <c r="X583" s="10"/>
      <c r="Y583" s="10"/>
      <c r="Z583" s="10"/>
    </row>
    <row r="584" ht="13.5" customHeight="1">
      <c r="A584" s="10">
        <f>dataset_1!A232</f>
        <v>231</v>
      </c>
      <c r="B584" s="11">
        <f>dataset_1!B232</f>
        <v>40553</v>
      </c>
      <c r="C584" s="10">
        <f>dataset_1!C232</f>
        <v>1</v>
      </c>
      <c r="D584" s="10">
        <f>dataset_1!D232</f>
        <v>0</v>
      </c>
      <c r="E584" s="10">
        <f>dataset_1!E232</f>
        <v>1</v>
      </c>
      <c r="F584" s="10">
        <f>dataset_1!F232</f>
        <v>21</v>
      </c>
      <c r="G584" s="10" t="b">
        <f>dataset_1!G232</f>
        <v>0</v>
      </c>
      <c r="H584" s="10">
        <f>dataset_1!H232</f>
        <v>1</v>
      </c>
      <c r="I584" s="10">
        <f>dataset_1!I232</f>
        <v>1</v>
      </c>
      <c r="J584" s="10">
        <f>dataset_1!J232</f>
        <v>0.14</v>
      </c>
      <c r="K584" s="10">
        <f>VLOOKUP(A584,dataset_2!$A$2:$G$611,2,0)</f>
        <v>0.1364</v>
      </c>
      <c r="L584" s="10">
        <f>VLOOKUP(A584,dataset_2!$A$2:$G$611,3,0)</f>
        <v>0.59</v>
      </c>
      <c r="M584" s="10">
        <f>VLOOKUP(A584,dataset_2!$A$2:$G$611,4,0)</f>
        <v>0.194</v>
      </c>
      <c r="N584" s="10">
        <f>VLOOKUP(A584,dataset_2!$A$2:$G$611,5,0)</f>
        <v>1</v>
      </c>
      <c r="O584" s="10">
        <f>VLOOKUP(A584,dataset_2!$A$2:$G$611,6,0)</f>
        <v>37</v>
      </c>
      <c r="P584" s="10">
        <f>VLOOKUP(A584,dataset_2!$A$2:$G$611,7,0)</f>
        <v>38</v>
      </c>
      <c r="Q584" s="10"/>
      <c r="R584" s="10" t="str">
        <f t="shared" si="1"/>
        <v>OK</v>
      </c>
      <c r="S584" s="10">
        <f t="shared" si="2"/>
        <v>0</v>
      </c>
      <c r="T584" s="10" t="str">
        <f t="shared" si="3"/>
        <v>OK</v>
      </c>
      <c r="U584" s="10">
        <f t="shared" si="4"/>
        <v>1</v>
      </c>
      <c r="V584" s="10"/>
      <c r="W584" s="10"/>
      <c r="X584" s="10"/>
      <c r="Y584" s="10"/>
      <c r="Z584" s="10"/>
    </row>
    <row r="585" ht="13.5" customHeight="1">
      <c r="A585" s="10">
        <f>dataset_1!A289</f>
        <v>288</v>
      </c>
      <c r="B585" s="11">
        <f>dataset_1!B289</f>
        <v>40556</v>
      </c>
      <c r="C585" s="10">
        <f>dataset_1!C289</f>
        <v>1</v>
      </c>
      <c r="D585" s="10">
        <f>dataset_1!D289</f>
        <v>0</v>
      </c>
      <c r="E585" s="10">
        <f>dataset_1!E289</f>
        <v>1</v>
      </c>
      <c r="F585" s="10">
        <f>dataset_1!F289</f>
        <v>10</v>
      </c>
      <c r="G585" s="10" t="b">
        <f>dataset_1!G289</f>
        <v>0</v>
      </c>
      <c r="H585" s="10">
        <f>dataset_1!H289</f>
        <v>4</v>
      </c>
      <c r="I585" s="10">
        <f>dataset_1!I289</f>
        <v>2</v>
      </c>
      <c r="J585" s="10">
        <f>dataset_1!J289</f>
        <v>0.16</v>
      </c>
      <c r="K585" s="10">
        <f>VLOOKUP(A585,dataset_2!$A$2:$G$611,2,0)</f>
        <v>0.1364</v>
      </c>
      <c r="L585" s="10">
        <f>VLOOKUP(A585,dataset_2!$A$2:$G$611,3,0)</f>
        <v>0.5</v>
      </c>
      <c r="M585" s="10">
        <f>VLOOKUP(A585,dataset_2!$A$2:$G$611,4,0)</f>
        <v>0.3582</v>
      </c>
      <c r="N585" s="10">
        <f>VLOOKUP(A585,dataset_2!$A$2:$G$611,5,0)</f>
        <v>2</v>
      </c>
      <c r="O585" s="10">
        <f>VLOOKUP(A585,dataset_2!$A$2:$G$611,6,0)</f>
        <v>36</v>
      </c>
      <c r="P585" s="10">
        <f>VLOOKUP(A585,dataset_2!$A$2:$G$611,7,0)</f>
        <v>38</v>
      </c>
      <c r="Q585" s="10"/>
      <c r="R585" s="10" t="str">
        <f t="shared" si="1"/>
        <v>OK</v>
      </c>
      <c r="S585" s="10">
        <f t="shared" si="2"/>
        <v>0</v>
      </c>
      <c r="T585" s="10" t="str">
        <f t="shared" si="3"/>
        <v>OK</v>
      </c>
      <c r="U585" s="10">
        <f t="shared" si="4"/>
        <v>1</v>
      </c>
      <c r="V585" s="10"/>
      <c r="W585" s="10"/>
      <c r="X585" s="10"/>
      <c r="Y585" s="10"/>
      <c r="Z585" s="10"/>
    </row>
    <row r="586" ht="13.5" customHeight="1">
      <c r="A586" s="10">
        <f>dataset_1!A594</f>
        <v>593</v>
      </c>
      <c r="B586" s="11">
        <f>dataset_1!B594</f>
        <v>40570</v>
      </c>
      <c r="C586" s="10">
        <f>dataset_1!C594</f>
        <v>1</v>
      </c>
      <c r="D586" s="10">
        <f>dataset_1!D594</f>
        <v>0</v>
      </c>
      <c r="E586" s="10">
        <f>dataset_1!E594</f>
        <v>1</v>
      </c>
      <c r="F586" s="10">
        <f>dataset_1!F594</f>
        <v>21</v>
      </c>
      <c r="G586" s="10" t="b">
        <f>dataset_1!G594</f>
        <v>0</v>
      </c>
      <c r="H586" s="10">
        <f>dataset_1!H594</f>
        <v>4</v>
      </c>
      <c r="I586" s="10">
        <f>dataset_1!I594</f>
        <v>1</v>
      </c>
      <c r="J586" s="10">
        <f>dataset_1!J594</f>
        <v>0.18</v>
      </c>
      <c r="K586" s="10">
        <f>VLOOKUP(A586,dataset_2!$A$2:$G$611,2,0)</f>
        <v>0.2121</v>
      </c>
      <c r="L586" s="10">
        <f>VLOOKUP(A586,dataset_2!$A$2:$G$611,3,0)</f>
        <v>0.74</v>
      </c>
      <c r="M586" s="10">
        <f>VLOOKUP(A586,dataset_2!$A$2:$G$611,4,0)</f>
        <v>0.0896</v>
      </c>
      <c r="N586" s="10">
        <f>VLOOKUP(A586,dataset_2!$A$2:$G$611,5,0)</f>
        <v>2</v>
      </c>
      <c r="O586" s="10">
        <f>VLOOKUP(A586,dataset_2!$A$2:$G$611,6,0)</f>
        <v>36</v>
      </c>
      <c r="P586" s="10">
        <f>VLOOKUP(A586,dataset_2!$A$2:$G$611,7,0)</f>
        <v>38</v>
      </c>
      <c r="Q586" s="10"/>
      <c r="R586" s="10" t="str">
        <f t="shared" si="1"/>
        <v>OK</v>
      </c>
      <c r="S586" s="10">
        <f t="shared" si="2"/>
        <v>0</v>
      </c>
      <c r="T586" s="10" t="str">
        <f t="shared" si="3"/>
        <v>OK</v>
      </c>
      <c r="U586" s="10">
        <f t="shared" si="4"/>
        <v>1</v>
      </c>
      <c r="V586" s="10"/>
      <c r="W586" s="10"/>
      <c r="X586" s="10"/>
      <c r="Y586" s="10"/>
      <c r="Z586" s="10"/>
    </row>
    <row r="587" ht="13.5" customHeight="1">
      <c r="A587" s="10">
        <f>dataset_1!A610</f>
        <v>609</v>
      </c>
      <c r="B587" s="11">
        <f>dataset_1!B610</f>
        <v>40571</v>
      </c>
      <c r="C587" s="10">
        <f>dataset_1!C610</f>
        <v>1</v>
      </c>
      <c r="D587" s="10">
        <f>dataset_1!D610</f>
        <v>0</v>
      </c>
      <c r="E587" s="10">
        <f>dataset_1!E610</f>
        <v>1</v>
      </c>
      <c r="F587" s="10">
        <f>dataset_1!F610</f>
        <v>14</v>
      </c>
      <c r="G587" s="10" t="b">
        <f>dataset_1!G610</f>
        <v>0</v>
      </c>
      <c r="H587" s="10">
        <f>dataset_1!H610</f>
        <v>5</v>
      </c>
      <c r="I587" s="10">
        <f>dataset_1!I610</f>
        <v>3</v>
      </c>
      <c r="J587" s="10">
        <f>dataset_1!J610</f>
        <v>0.22</v>
      </c>
      <c r="K587" s="10">
        <f>VLOOKUP(A587,dataset_2!$A$2:$G$611,2,0)</f>
        <v>0.2727</v>
      </c>
      <c r="L587" s="10">
        <f>VLOOKUP(A587,dataset_2!$A$2:$G$611,3,0)</f>
        <v>0.8</v>
      </c>
      <c r="M587" s="10">
        <f>VLOOKUP(A587,dataset_2!$A$2:$G$611,4,0)</f>
        <v>0</v>
      </c>
      <c r="N587" s="10">
        <f>VLOOKUP(A587,dataset_2!$A$2:$G$611,5,0)</f>
        <v>2</v>
      </c>
      <c r="O587" s="10">
        <f>VLOOKUP(A587,dataset_2!$A$2:$G$611,6,0)</f>
        <v>36</v>
      </c>
      <c r="P587" s="10">
        <f>VLOOKUP(A587,dataset_2!$A$2:$G$611,7,0)</f>
        <v>38</v>
      </c>
      <c r="Q587" s="10"/>
      <c r="R587" s="10" t="str">
        <f t="shared" si="1"/>
        <v>OK</v>
      </c>
      <c r="S587" s="10">
        <f t="shared" si="2"/>
        <v>0</v>
      </c>
      <c r="T587" s="10" t="str">
        <f t="shared" si="3"/>
        <v>OK</v>
      </c>
      <c r="U587" s="10">
        <f t="shared" si="4"/>
        <v>1</v>
      </c>
      <c r="V587" s="10"/>
      <c r="W587" s="10"/>
      <c r="X587" s="10"/>
      <c r="Y587" s="10"/>
      <c r="Z587" s="10"/>
    </row>
    <row r="588" ht="13.5" customHeight="1">
      <c r="A588" s="3">
        <v>650.0</v>
      </c>
      <c r="B588" s="12">
        <v>40573.0</v>
      </c>
      <c r="C588" s="3">
        <v>1.0</v>
      </c>
      <c r="D588" s="3">
        <v>0.0</v>
      </c>
      <c r="E588" s="3">
        <v>1.0</v>
      </c>
      <c r="F588" s="3">
        <v>9.0</v>
      </c>
      <c r="G588" s="3" t="b">
        <f t="shared" ref="G588:G589" si="66">FALSE()</f>
        <v>0</v>
      </c>
      <c r="H588" s="3">
        <v>0.0</v>
      </c>
      <c r="I588" s="3">
        <v>2.0</v>
      </c>
      <c r="J588" s="3">
        <v>0.16</v>
      </c>
      <c r="K588" s="3">
        <v>0.2273</v>
      </c>
      <c r="L588" s="3">
        <v>0.8</v>
      </c>
      <c r="M588" s="3">
        <v>0.0</v>
      </c>
      <c r="N588" s="3">
        <v>4.0</v>
      </c>
      <c r="O588" s="3">
        <v>34.0</v>
      </c>
      <c r="P588" s="3">
        <v>38.0</v>
      </c>
      <c r="Q588" s="10"/>
      <c r="R588" s="10" t="str">
        <f t="shared" si="1"/>
        <v>OK</v>
      </c>
      <c r="S588" s="10">
        <f t="shared" si="2"/>
        <v>0</v>
      </c>
      <c r="T588" s="10" t="str">
        <f t="shared" si="3"/>
        <v>OK</v>
      </c>
      <c r="U588" s="10">
        <f t="shared" si="4"/>
        <v>1</v>
      </c>
      <c r="V588" s="10"/>
      <c r="W588" s="10"/>
      <c r="X588" s="10"/>
      <c r="Y588" s="10"/>
      <c r="Z588" s="10"/>
    </row>
    <row r="589" ht="13.5" customHeight="1">
      <c r="A589" s="3">
        <v>758.0</v>
      </c>
      <c r="B589" s="12">
        <v>40577.0</v>
      </c>
      <c r="C589" s="3">
        <v>1.0</v>
      </c>
      <c r="D589" s="3">
        <v>0.0</v>
      </c>
      <c r="E589" s="3">
        <v>2.0</v>
      </c>
      <c r="F589" s="3">
        <v>23.0</v>
      </c>
      <c r="G589" s="3" t="b">
        <f t="shared" si="66"/>
        <v>0</v>
      </c>
      <c r="H589" s="3">
        <v>4.0</v>
      </c>
      <c r="I589" s="3">
        <v>1.0</v>
      </c>
      <c r="J589" s="3">
        <v>0.2</v>
      </c>
      <c r="K589" s="3">
        <v>0.2273</v>
      </c>
      <c r="L589" s="3">
        <v>0.47</v>
      </c>
      <c r="M589" s="3">
        <v>0.1045</v>
      </c>
      <c r="N589" s="3">
        <v>4.0</v>
      </c>
      <c r="O589" s="3">
        <v>34.0</v>
      </c>
      <c r="P589" s="3">
        <v>38.0</v>
      </c>
      <c r="Q589" s="10"/>
      <c r="R589" s="10" t="str">
        <f t="shared" si="1"/>
        <v>OK</v>
      </c>
      <c r="S589" s="10">
        <f t="shared" si="2"/>
        <v>0</v>
      </c>
      <c r="T589" s="10" t="str">
        <f t="shared" si="3"/>
        <v>OK</v>
      </c>
      <c r="U589" s="10">
        <f t="shared" si="4"/>
        <v>1</v>
      </c>
      <c r="V589" s="10"/>
      <c r="W589" s="10"/>
      <c r="X589" s="10"/>
      <c r="Y589" s="10"/>
      <c r="Z589" s="10"/>
    </row>
    <row r="590" ht="13.5" customHeight="1">
      <c r="A590" s="10">
        <f>dataset_1!A21</f>
        <v>20</v>
      </c>
      <c r="B590" s="11">
        <f>dataset_1!B21</f>
        <v>40544</v>
      </c>
      <c r="C590" s="10">
        <f>dataset_1!C21</f>
        <v>1</v>
      </c>
      <c r="D590" s="10">
        <f>dataset_1!D21</f>
        <v>0</v>
      </c>
      <c r="E590" s="10">
        <f>dataset_1!E21</f>
        <v>1</v>
      </c>
      <c r="F590" s="10">
        <f>dataset_1!F21</f>
        <v>19</v>
      </c>
      <c r="G590" s="10" t="b">
        <f>dataset_1!G21</f>
        <v>0</v>
      </c>
      <c r="H590" s="10">
        <f>dataset_1!H21</f>
        <v>6</v>
      </c>
      <c r="I590" s="10">
        <f>dataset_1!I21</f>
        <v>3</v>
      </c>
      <c r="J590" s="10">
        <f>dataset_1!J21</f>
        <v>0.42</v>
      </c>
      <c r="K590" s="10">
        <f>VLOOKUP(A590,dataset_2!$A$2:$G$611,2,0)</f>
        <v>0.4242</v>
      </c>
      <c r="L590" s="10">
        <f>VLOOKUP(A590,dataset_2!$A$2:$G$611,3,0)</f>
        <v>0.88</v>
      </c>
      <c r="M590" s="10">
        <f>VLOOKUP(A590,dataset_2!$A$2:$G$611,4,0)</f>
        <v>0.2537</v>
      </c>
      <c r="N590" s="10">
        <f>VLOOKUP(A590,dataset_2!$A$2:$G$611,5,0)</f>
        <v>6</v>
      </c>
      <c r="O590" s="10">
        <f>VLOOKUP(A590,dataset_2!$A$2:$G$611,6,0)</f>
        <v>31</v>
      </c>
      <c r="P590" s="10">
        <f>VLOOKUP(A590,dataset_2!$A$2:$G$611,7,0)</f>
        <v>37</v>
      </c>
      <c r="Q590" s="10"/>
      <c r="R590" s="10" t="str">
        <f t="shared" si="1"/>
        <v>OK</v>
      </c>
      <c r="S590" s="10">
        <f t="shared" si="2"/>
        <v>0</v>
      </c>
      <c r="T590" s="10" t="str">
        <f t="shared" si="3"/>
        <v>OK</v>
      </c>
      <c r="U590" s="10">
        <f t="shared" si="4"/>
        <v>1</v>
      </c>
      <c r="V590" s="10"/>
      <c r="W590" s="10"/>
      <c r="X590" s="10"/>
      <c r="Y590" s="10"/>
      <c r="Z590" s="10"/>
    </row>
    <row r="591" ht="13.5" customHeight="1">
      <c r="A591" s="10">
        <f>dataset_1!A184</f>
        <v>183</v>
      </c>
      <c r="B591" s="11">
        <f>dataset_1!B184</f>
        <v>40551</v>
      </c>
      <c r="C591" s="10">
        <f>dataset_1!C184</f>
        <v>1</v>
      </c>
      <c r="D591" s="10">
        <f>dataset_1!D184</f>
        <v>0</v>
      </c>
      <c r="E591" s="10">
        <f>dataset_1!E184</f>
        <v>1</v>
      </c>
      <c r="F591" s="10">
        <f>dataset_1!F184</f>
        <v>21</v>
      </c>
      <c r="G591" s="10" t="b">
        <f>dataset_1!G184</f>
        <v>0</v>
      </c>
      <c r="H591" s="10">
        <f>dataset_1!H184</f>
        <v>6</v>
      </c>
      <c r="I591" s="10">
        <f>dataset_1!I184</f>
        <v>1</v>
      </c>
      <c r="J591" s="10">
        <f>dataset_1!J184</f>
        <v>0.12</v>
      </c>
      <c r="K591" s="10">
        <f>VLOOKUP(A591,dataset_2!$A$2:$G$611,2,0)</f>
        <v>0.1061</v>
      </c>
      <c r="L591" s="10">
        <f>VLOOKUP(A591,dataset_2!$A$2:$G$611,3,0)</f>
        <v>0.39</v>
      </c>
      <c r="M591" s="10">
        <f>VLOOKUP(A591,dataset_2!$A$2:$G$611,4,0)</f>
        <v>0.3582</v>
      </c>
      <c r="N591" s="10">
        <f>VLOOKUP(A591,dataset_2!$A$2:$G$611,5,0)</f>
        <v>2</v>
      </c>
      <c r="O591" s="10">
        <f>VLOOKUP(A591,dataset_2!$A$2:$G$611,6,0)</f>
        <v>35</v>
      </c>
      <c r="P591" s="10">
        <f>VLOOKUP(A591,dataset_2!$A$2:$G$611,7,0)</f>
        <v>37</v>
      </c>
      <c r="Q591" s="10"/>
      <c r="R591" s="10" t="str">
        <f t="shared" si="1"/>
        <v>OK</v>
      </c>
      <c r="S591" s="10">
        <f t="shared" si="2"/>
        <v>0</v>
      </c>
      <c r="T591" s="10" t="str">
        <f t="shared" si="3"/>
        <v>OK</v>
      </c>
      <c r="U591" s="10">
        <f t="shared" si="4"/>
        <v>1</v>
      </c>
      <c r="V591" s="10"/>
      <c r="W591" s="10"/>
      <c r="X591" s="10"/>
      <c r="Y591" s="10"/>
      <c r="Z591" s="10"/>
    </row>
    <row r="592" ht="13.5" customHeight="1">
      <c r="A592" s="10">
        <f>dataset_1!A290</f>
        <v>289</v>
      </c>
      <c r="B592" s="11">
        <f>dataset_1!B290</f>
        <v>40556</v>
      </c>
      <c r="C592" s="10">
        <f>dataset_1!C290</f>
        <v>1</v>
      </c>
      <c r="D592" s="10">
        <f>dataset_1!D290</f>
        <v>0</v>
      </c>
      <c r="E592" s="10">
        <f>dataset_1!E290</f>
        <v>1</v>
      </c>
      <c r="F592" s="10">
        <f>dataset_1!F290</f>
        <v>11</v>
      </c>
      <c r="G592" s="10" t="b">
        <f>dataset_1!G290</f>
        <v>0</v>
      </c>
      <c r="H592" s="10">
        <f>dataset_1!H290</f>
        <v>4</v>
      </c>
      <c r="I592" s="10">
        <f>dataset_1!I290</f>
        <v>2</v>
      </c>
      <c r="J592" s="10">
        <f>dataset_1!J290</f>
        <v>0.2</v>
      </c>
      <c r="K592" s="10">
        <f>VLOOKUP(A592,dataset_2!$A$2:$G$611,2,0)</f>
        <v>0.1667</v>
      </c>
      <c r="L592" s="10">
        <f>VLOOKUP(A592,dataset_2!$A$2:$G$611,3,0)</f>
        <v>0.44</v>
      </c>
      <c r="M592" s="10">
        <f>VLOOKUP(A592,dataset_2!$A$2:$G$611,4,0)</f>
        <v>0.4478</v>
      </c>
      <c r="N592" s="10">
        <f>VLOOKUP(A592,dataset_2!$A$2:$G$611,5,0)</f>
        <v>4</v>
      </c>
      <c r="O592" s="10">
        <f>VLOOKUP(A592,dataset_2!$A$2:$G$611,6,0)</f>
        <v>33</v>
      </c>
      <c r="P592" s="10">
        <f>VLOOKUP(A592,dataset_2!$A$2:$G$611,7,0)</f>
        <v>37</v>
      </c>
      <c r="Q592" s="10"/>
      <c r="R592" s="10" t="str">
        <f t="shared" si="1"/>
        <v>OK</v>
      </c>
      <c r="S592" s="10">
        <f t="shared" si="2"/>
        <v>0</v>
      </c>
      <c r="T592" s="10" t="str">
        <f t="shared" si="3"/>
        <v>OK</v>
      </c>
      <c r="U592" s="10">
        <f t="shared" si="4"/>
        <v>1</v>
      </c>
      <c r="V592" s="10"/>
      <c r="W592" s="10"/>
      <c r="X592" s="10"/>
      <c r="Y592" s="10"/>
      <c r="Z592" s="10"/>
    </row>
    <row r="593" ht="13.5" customHeight="1">
      <c r="A593" s="3">
        <v>671.0</v>
      </c>
      <c r="B593" s="12">
        <v>40574.0</v>
      </c>
      <c r="C593" s="3">
        <v>1.0</v>
      </c>
      <c r="D593" s="3">
        <v>0.0</v>
      </c>
      <c r="E593" s="3">
        <v>1.0</v>
      </c>
      <c r="F593" s="3">
        <v>6.0</v>
      </c>
      <c r="G593" s="3" t="b">
        <f t="shared" ref="G593:G595" si="67">FALSE()</f>
        <v>0</v>
      </c>
      <c r="H593" s="3">
        <v>1.0</v>
      </c>
      <c r="I593" s="3">
        <v>1.0</v>
      </c>
      <c r="J593" s="3">
        <v>0.16</v>
      </c>
      <c r="K593" s="3">
        <v>0.1364</v>
      </c>
      <c r="L593" s="3">
        <v>0.69</v>
      </c>
      <c r="M593" s="3">
        <v>0.3284</v>
      </c>
      <c r="N593" s="3">
        <v>0.0</v>
      </c>
      <c r="O593" s="3">
        <v>37.0</v>
      </c>
      <c r="P593" s="3">
        <v>37.0</v>
      </c>
      <c r="Q593" s="10"/>
      <c r="R593" s="10" t="str">
        <f t="shared" si="1"/>
        <v>OK</v>
      </c>
      <c r="S593" s="10">
        <f t="shared" si="2"/>
        <v>0</v>
      </c>
      <c r="T593" s="10" t="str">
        <f t="shared" si="3"/>
        <v>OK</v>
      </c>
      <c r="U593" s="10">
        <f t="shared" si="4"/>
        <v>1</v>
      </c>
      <c r="V593" s="10"/>
      <c r="W593" s="10"/>
      <c r="X593" s="10"/>
      <c r="Y593" s="10"/>
      <c r="Z593" s="10"/>
    </row>
    <row r="594" ht="13.5" customHeight="1">
      <c r="A594" s="3">
        <v>852.0</v>
      </c>
      <c r="B594" s="12">
        <v>40581.0</v>
      </c>
      <c r="C594" s="3">
        <v>1.0</v>
      </c>
      <c r="D594" s="3">
        <v>0.0</v>
      </c>
      <c r="E594" s="3">
        <v>2.0</v>
      </c>
      <c r="F594" s="3">
        <v>22.0</v>
      </c>
      <c r="G594" s="3" t="b">
        <f t="shared" si="67"/>
        <v>0</v>
      </c>
      <c r="H594" s="3">
        <v>1.0</v>
      </c>
      <c r="I594" s="3">
        <v>1.0</v>
      </c>
      <c r="J594" s="3">
        <v>0.28</v>
      </c>
      <c r="K594" s="3">
        <v>0.303</v>
      </c>
      <c r="L594" s="3">
        <v>0.81</v>
      </c>
      <c r="M594" s="3">
        <v>0.0896</v>
      </c>
      <c r="N594" s="3">
        <v>3.0</v>
      </c>
      <c r="O594" s="3">
        <v>34.0</v>
      </c>
      <c r="P594" s="3">
        <v>37.0</v>
      </c>
      <c r="Q594" s="10"/>
      <c r="R594" s="10" t="str">
        <f t="shared" si="1"/>
        <v>OK</v>
      </c>
      <c r="S594" s="10">
        <f t="shared" si="2"/>
        <v>0</v>
      </c>
      <c r="T594" s="10" t="str">
        <f t="shared" si="3"/>
        <v>OK</v>
      </c>
      <c r="U594" s="10">
        <f t="shared" si="4"/>
        <v>1</v>
      </c>
      <c r="V594" s="10"/>
      <c r="W594" s="10"/>
      <c r="X594" s="10"/>
      <c r="Y594" s="10"/>
      <c r="Z594" s="10"/>
    </row>
    <row r="595" ht="13.5" customHeight="1">
      <c r="A595" s="3">
        <v>900.0</v>
      </c>
      <c r="B595" s="12">
        <v>40583.0</v>
      </c>
      <c r="C595" s="3">
        <v>1.0</v>
      </c>
      <c r="D595" s="3">
        <v>0.0</v>
      </c>
      <c r="E595" s="3">
        <v>2.0</v>
      </c>
      <c r="F595" s="3">
        <v>23.0</v>
      </c>
      <c r="G595" s="3" t="b">
        <f t="shared" si="67"/>
        <v>0</v>
      </c>
      <c r="H595" s="3">
        <v>3.0</v>
      </c>
      <c r="I595" s="3">
        <v>3.0</v>
      </c>
      <c r="J595" s="3">
        <v>0.16</v>
      </c>
      <c r="K595" s="3">
        <v>0.1515</v>
      </c>
      <c r="L595" s="3">
        <v>0.8</v>
      </c>
      <c r="M595" s="3">
        <v>0.194</v>
      </c>
      <c r="N595" s="3">
        <v>0.0</v>
      </c>
      <c r="O595" s="3">
        <v>37.0</v>
      </c>
      <c r="P595" s="3">
        <v>37.0</v>
      </c>
      <c r="Q595" s="10"/>
      <c r="R595" s="10" t="str">
        <f t="shared" si="1"/>
        <v>OK</v>
      </c>
      <c r="S595" s="10">
        <f t="shared" si="2"/>
        <v>0</v>
      </c>
      <c r="T595" s="10" t="str">
        <f t="shared" si="3"/>
        <v>OK</v>
      </c>
      <c r="U595" s="10">
        <f t="shared" si="4"/>
        <v>1</v>
      </c>
      <c r="V595" s="10"/>
      <c r="W595" s="10"/>
      <c r="X595" s="10"/>
      <c r="Y595" s="10"/>
      <c r="Z595" s="10"/>
    </row>
    <row r="596" ht="13.5" customHeight="1">
      <c r="A596" s="10">
        <f>dataset_1!A12</f>
        <v>11</v>
      </c>
      <c r="B596" s="11">
        <f>dataset_1!B12</f>
        <v>40544</v>
      </c>
      <c r="C596" s="10">
        <f>dataset_1!C12</f>
        <v>1</v>
      </c>
      <c r="D596" s="10">
        <f>dataset_1!D12</f>
        <v>0</v>
      </c>
      <c r="E596" s="10">
        <f>dataset_1!E12</f>
        <v>1</v>
      </c>
      <c r="F596" s="10">
        <f>dataset_1!F12</f>
        <v>10</v>
      </c>
      <c r="G596" s="10" t="b">
        <f>dataset_1!G12</f>
        <v>0</v>
      </c>
      <c r="H596" s="10">
        <f>dataset_1!H12</f>
        <v>6</v>
      </c>
      <c r="I596" s="10">
        <f>dataset_1!I12</f>
        <v>1</v>
      </c>
      <c r="J596" s="10">
        <f>dataset_1!J12</f>
        <v>0.38</v>
      </c>
      <c r="K596" s="10">
        <f>VLOOKUP(A596,dataset_2!$A$2:$G$611,2,0)</f>
        <v>0.3939</v>
      </c>
      <c r="L596" s="10">
        <f>VLOOKUP(A596,dataset_2!$A$2:$G$611,3,0)</f>
        <v>0.76</v>
      </c>
      <c r="M596" s="10">
        <f>VLOOKUP(A596,dataset_2!$A$2:$G$611,4,0)</f>
        <v>0.2537</v>
      </c>
      <c r="N596" s="10">
        <f>VLOOKUP(A596,dataset_2!$A$2:$G$611,5,0)</f>
        <v>12</v>
      </c>
      <c r="O596" s="10">
        <f>VLOOKUP(A596,dataset_2!$A$2:$G$611,6,0)</f>
        <v>24</v>
      </c>
      <c r="P596" s="10">
        <f>VLOOKUP(A596,dataset_2!$A$2:$G$611,7,0)</f>
        <v>36</v>
      </c>
      <c r="Q596" s="10"/>
      <c r="R596" s="10" t="str">
        <f t="shared" si="1"/>
        <v>OK</v>
      </c>
      <c r="S596" s="10">
        <f t="shared" si="2"/>
        <v>0</v>
      </c>
      <c r="T596" s="10" t="str">
        <f t="shared" si="3"/>
        <v>OK</v>
      </c>
      <c r="U596" s="10">
        <f t="shared" si="4"/>
        <v>1</v>
      </c>
      <c r="V596" s="10"/>
      <c r="W596" s="10"/>
      <c r="X596" s="10"/>
      <c r="Y596" s="10"/>
      <c r="Z596" s="10"/>
    </row>
    <row r="597" ht="13.5" customHeight="1">
      <c r="A597" s="10">
        <f>dataset_1!A22</f>
        <v>21</v>
      </c>
      <c r="B597" s="11">
        <f>dataset_1!B22</f>
        <v>40544</v>
      </c>
      <c r="C597" s="10">
        <f>dataset_1!C22</f>
        <v>1</v>
      </c>
      <c r="D597" s="10">
        <f>dataset_1!D22</f>
        <v>0</v>
      </c>
      <c r="E597" s="10">
        <f>dataset_1!E22</f>
        <v>1</v>
      </c>
      <c r="F597" s="10">
        <f>dataset_1!F22</f>
        <v>20</v>
      </c>
      <c r="G597" s="10" t="b">
        <f>dataset_1!G22</f>
        <v>0</v>
      </c>
      <c r="H597" s="10">
        <f>dataset_1!H22</f>
        <v>6</v>
      </c>
      <c r="I597" s="10">
        <f>dataset_1!I22</f>
        <v>2</v>
      </c>
      <c r="J597" s="10">
        <f>dataset_1!J22</f>
        <v>0.4</v>
      </c>
      <c r="K597" s="10">
        <f>VLOOKUP(A597,dataset_2!$A$2:$G$611,2,0)</f>
        <v>0.4091</v>
      </c>
      <c r="L597" s="10">
        <f>VLOOKUP(A597,dataset_2!$A$2:$G$611,3,0)</f>
        <v>0.87</v>
      </c>
      <c r="M597" s="10">
        <f>VLOOKUP(A597,dataset_2!$A$2:$G$611,4,0)</f>
        <v>0.2537</v>
      </c>
      <c r="N597" s="10">
        <f>VLOOKUP(A597,dataset_2!$A$2:$G$611,5,0)</f>
        <v>11</v>
      </c>
      <c r="O597" s="10">
        <f>VLOOKUP(A597,dataset_2!$A$2:$G$611,6,0)</f>
        <v>25</v>
      </c>
      <c r="P597" s="10">
        <f>VLOOKUP(A597,dataset_2!$A$2:$G$611,7,0)</f>
        <v>36</v>
      </c>
      <c r="Q597" s="10"/>
      <c r="R597" s="10" t="str">
        <f t="shared" si="1"/>
        <v>OK</v>
      </c>
      <c r="S597" s="10">
        <f t="shared" si="2"/>
        <v>0</v>
      </c>
      <c r="T597" s="10" t="str">
        <f t="shared" si="3"/>
        <v>OK</v>
      </c>
      <c r="U597" s="10">
        <f t="shared" si="4"/>
        <v>1</v>
      </c>
      <c r="V597" s="10"/>
      <c r="W597" s="10"/>
      <c r="X597" s="10"/>
      <c r="Y597" s="10"/>
      <c r="Z597" s="10"/>
    </row>
    <row r="598" ht="13.5" customHeight="1">
      <c r="A598" s="10">
        <f>dataset_1!A76</f>
        <v>75</v>
      </c>
      <c r="B598" s="11">
        <f>dataset_1!B76</f>
        <v>40547</v>
      </c>
      <c r="C598" s="10">
        <f>dataset_1!C76</f>
        <v>1</v>
      </c>
      <c r="D598" s="10">
        <f>dataset_1!D76</f>
        <v>0</v>
      </c>
      <c r="E598" s="10">
        <f>dataset_1!E76</f>
        <v>1</v>
      </c>
      <c r="F598" s="10">
        <f>dataset_1!F76</f>
        <v>6</v>
      </c>
      <c r="G598" s="10" t="b">
        <f>dataset_1!G76</f>
        <v>0</v>
      </c>
      <c r="H598" s="10">
        <f>dataset_1!H76</f>
        <v>2</v>
      </c>
      <c r="I598" s="10">
        <f>dataset_1!I76</f>
        <v>1</v>
      </c>
      <c r="J598" s="10">
        <f>dataset_1!J76</f>
        <v>0.12</v>
      </c>
      <c r="K598" s="10">
        <f>VLOOKUP(A598,dataset_2!$A$2:$G$611,2,0)</f>
        <v>0.1515</v>
      </c>
      <c r="L598" s="10">
        <f>VLOOKUP(A598,dataset_2!$A$2:$G$611,3,0)</f>
        <v>0.74</v>
      </c>
      <c r="M598" s="10">
        <f>VLOOKUP(A598,dataset_2!$A$2:$G$611,4,0)</f>
        <v>0.1045</v>
      </c>
      <c r="N598" s="10">
        <f>VLOOKUP(A598,dataset_2!$A$2:$G$611,5,0)</f>
        <v>0</v>
      </c>
      <c r="O598" s="10">
        <f>VLOOKUP(A598,dataset_2!$A$2:$G$611,6,0)</f>
        <v>36</v>
      </c>
      <c r="P598" s="10">
        <f>VLOOKUP(A598,dataset_2!$A$2:$G$611,7,0)</f>
        <v>36</v>
      </c>
      <c r="Q598" s="10"/>
      <c r="R598" s="10" t="str">
        <f t="shared" si="1"/>
        <v>OK</v>
      </c>
      <c r="S598" s="10">
        <f t="shared" si="2"/>
        <v>0</v>
      </c>
      <c r="T598" s="10" t="str">
        <f t="shared" si="3"/>
        <v>OK</v>
      </c>
      <c r="U598" s="10">
        <f t="shared" si="4"/>
        <v>1</v>
      </c>
      <c r="V598" s="10"/>
      <c r="W598" s="10"/>
      <c r="X598" s="10"/>
      <c r="Y598" s="10"/>
      <c r="Z598" s="10"/>
    </row>
    <row r="599" ht="13.5" customHeight="1">
      <c r="A599" s="10">
        <f>dataset_1!A122</f>
        <v>121</v>
      </c>
      <c r="B599" s="11">
        <f>dataset_1!B122</f>
        <v>40549</v>
      </c>
      <c r="C599" s="10">
        <f>dataset_1!C122</f>
        <v>1</v>
      </c>
      <c r="D599" s="10">
        <f>dataset_1!D122</f>
        <v>0</v>
      </c>
      <c r="E599" s="10">
        <f>dataset_1!E122</f>
        <v>1</v>
      </c>
      <c r="F599" s="10">
        <f>dataset_1!F122</f>
        <v>6</v>
      </c>
      <c r="G599" s="10" t="b">
        <f>dataset_1!G122</f>
        <v>0</v>
      </c>
      <c r="H599" s="10">
        <f>dataset_1!H122</f>
        <v>4</v>
      </c>
      <c r="I599" s="10">
        <f>dataset_1!I122</f>
        <v>2</v>
      </c>
      <c r="J599" s="10">
        <f>dataset_1!J122</f>
        <v>0.14</v>
      </c>
      <c r="K599" s="10">
        <f>VLOOKUP(A599,dataset_2!$A$2:$G$611,2,0)</f>
        <v>0.1667</v>
      </c>
      <c r="L599" s="10">
        <f>VLOOKUP(A599,dataset_2!$A$2:$G$611,3,0)</f>
        <v>0.63</v>
      </c>
      <c r="M599" s="10">
        <f>VLOOKUP(A599,dataset_2!$A$2:$G$611,4,0)</f>
        <v>0.1045</v>
      </c>
      <c r="N599" s="10">
        <f>VLOOKUP(A599,dataset_2!$A$2:$G$611,5,0)</f>
        <v>0</v>
      </c>
      <c r="O599" s="10">
        <f>VLOOKUP(A599,dataset_2!$A$2:$G$611,6,0)</f>
        <v>36</v>
      </c>
      <c r="P599" s="10">
        <f>VLOOKUP(A599,dataset_2!$A$2:$G$611,7,0)</f>
        <v>36</v>
      </c>
      <c r="Q599" s="10"/>
      <c r="R599" s="10" t="str">
        <f t="shared" si="1"/>
        <v>OK</v>
      </c>
      <c r="S599" s="10">
        <f t="shared" si="2"/>
        <v>0</v>
      </c>
      <c r="T599" s="10" t="str">
        <f t="shared" si="3"/>
        <v>OK</v>
      </c>
      <c r="U599" s="10">
        <f t="shared" si="4"/>
        <v>1</v>
      </c>
      <c r="V599" s="10"/>
      <c r="W599" s="10"/>
      <c r="X599" s="10"/>
      <c r="Y599" s="10"/>
      <c r="Z599" s="10"/>
    </row>
    <row r="600" ht="13.5" customHeight="1">
      <c r="A600" s="10">
        <f>dataset_1!A161</f>
        <v>160</v>
      </c>
      <c r="B600" s="11">
        <f>dataset_1!B161</f>
        <v>40550</v>
      </c>
      <c r="C600" s="10">
        <f>dataset_1!C161</f>
        <v>1</v>
      </c>
      <c r="D600" s="10">
        <f>dataset_1!D161</f>
        <v>0</v>
      </c>
      <c r="E600" s="10">
        <f>dataset_1!E161</f>
        <v>1</v>
      </c>
      <c r="F600" s="10">
        <f>dataset_1!F161</f>
        <v>22</v>
      </c>
      <c r="G600" s="10" t="b">
        <f>dataset_1!G161</f>
        <v>0</v>
      </c>
      <c r="H600" s="10">
        <f>dataset_1!H161</f>
        <v>5</v>
      </c>
      <c r="I600" s="10">
        <f>dataset_1!I161</f>
        <v>2</v>
      </c>
      <c r="J600" s="10">
        <f>dataset_1!J161</f>
        <v>0.18</v>
      </c>
      <c r="K600" s="10">
        <f>VLOOKUP(A600,dataset_2!$A$2:$G$611,2,0)</f>
        <v>0.197</v>
      </c>
      <c r="L600" s="10">
        <f>VLOOKUP(A600,dataset_2!$A$2:$G$611,3,0)</f>
        <v>0.43</v>
      </c>
      <c r="M600" s="10">
        <f>VLOOKUP(A600,dataset_2!$A$2:$G$611,4,0)</f>
        <v>0.1642</v>
      </c>
      <c r="N600" s="10">
        <f>VLOOKUP(A600,dataset_2!$A$2:$G$611,5,0)</f>
        <v>2</v>
      </c>
      <c r="O600" s="10">
        <f>VLOOKUP(A600,dataset_2!$A$2:$G$611,6,0)</f>
        <v>34</v>
      </c>
      <c r="P600" s="10">
        <f>VLOOKUP(A600,dataset_2!$A$2:$G$611,7,0)</f>
        <v>36</v>
      </c>
      <c r="Q600" s="10"/>
      <c r="R600" s="10" t="str">
        <f t="shared" si="1"/>
        <v>OK</v>
      </c>
      <c r="S600" s="10">
        <f t="shared" si="2"/>
        <v>0</v>
      </c>
      <c r="T600" s="10" t="str">
        <f t="shared" si="3"/>
        <v>OK</v>
      </c>
      <c r="U600" s="10">
        <f t="shared" si="4"/>
        <v>1</v>
      </c>
      <c r="V600" s="10"/>
      <c r="W600" s="10"/>
      <c r="X600" s="10"/>
      <c r="Y600" s="10"/>
      <c r="Z600" s="10"/>
    </row>
    <row r="601" ht="13.5" customHeight="1">
      <c r="A601" s="10">
        <f>dataset_1!A324</f>
        <v>323</v>
      </c>
      <c r="B601" s="11">
        <f>dataset_1!B324</f>
        <v>40557</v>
      </c>
      <c r="C601" s="10">
        <f>dataset_1!C324</f>
        <v>1</v>
      </c>
      <c r="D601" s="10">
        <f>dataset_1!D324</f>
        <v>0</v>
      </c>
      <c r="E601" s="10">
        <f>dataset_1!E324</f>
        <v>1</v>
      </c>
      <c r="F601" s="10">
        <f>dataset_1!F324</f>
        <v>22</v>
      </c>
      <c r="G601" s="10" t="b">
        <f>dataset_1!G324</f>
        <v>0</v>
      </c>
      <c r="H601" s="10">
        <f>dataset_1!H324</f>
        <v>5</v>
      </c>
      <c r="I601" s="10">
        <f>dataset_1!I324</f>
        <v>2</v>
      </c>
      <c r="J601" s="10">
        <f>dataset_1!J324</f>
        <v>0.16</v>
      </c>
      <c r="K601" s="10">
        <f>VLOOKUP(A601,dataset_2!$A$2:$G$611,2,0)</f>
        <v>0.2273</v>
      </c>
      <c r="L601" s="10">
        <f>VLOOKUP(A601,dataset_2!$A$2:$G$611,3,0)</f>
        <v>0.69</v>
      </c>
      <c r="M601" s="10">
        <f>VLOOKUP(A601,dataset_2!$A$2:$G$611,4,0)</f>
        <v>0</v>
      </c>
      <c r="N601" s="10">
        <f>VLOOKUP(A601,dataset_2!$A$2:$G$611,5,0)</f>
        <v>2</v>
      </c>
      <c r="O601" s="10">
        <f>VLOOKUP(A601,dataset_2!$A$2:$G$611,6,0)</f>
        <v>34</v>
      </c>
      <c r="P601" s="10">
        <f>VLOOKUP(A601,dataset_2!$A$2:$G$611,7,0)</f>
        <v>36</v>
      </c>
      <c r="Q601" s="10"/>
      <c r="R601" s="10" t="str">
        <f t="shared" si="1"/>
        <v>OK</v>
      </c>
      <c r="S601" s="10">
        <f t="shared" si="2"/>
        <v>0</v>
      </c>
      <c r="T601" s="10" t="str">
        <f t="shared" si="3"/>
        <v>OK</v>
      </c>
      <c r="U601" s="10">
        <f t="shared" si="4"/>
        <v>1</v>
      </c>
      <c r="V601" s="10"/>
      <c r="W601" s="10"/>
      <c r="X601" s="10"/>
      <c r="Y601" s="10"/>
      <c r="Z601" s="10"/>
    </row>
    <row r="602" ht="13.5" customHeight="1">
      <c r="A602" s="10">
        <f>dataset_1!A555</f>
        <v>554</v>
      </c>
      <c r="B602" s="11">
        <f>dataset_1!B555</f>
        <v>40568</v>
      </c>
      <c r="C602" s="10">
        <f>dataset_1!C555</f>
        <v>1</v>
      </c>
      <c r="D602" s="10">
        <f>dataset_1!D555</f>
        <v>0</v>
      </c>
      <c r="E602" s="10">
        <f>dataset_1!E555</f>
        <v>1</v>
      </c>
      <c r="F602" s="10">
        <f>dataset_1!F555</f>
        <v>6</v>
      </c>
      <c r="G602" s="10" t="b">
        <f>dataset_1!G555</f>
        <v>0</v>
      </c>
      <c r="H602" s="10">
        <f>dataset_1!H555</f>
        <v>2</v>
      </c>
      <c r="I602" s="10">
        <f>dataset_1!I555</f>
        <v>1</v>
      </c>
      <c r="J602" s="10">
        <f>dataset_1!J555</f>
        <v>0.16</v>
      </c>
      <c r="K602" s="10">
        <f>VLOOKUP(A602,dataset_2!$A$2:$G$611,2,0)</f>
        <v>0.1818</v>
      </c>
      <c r="L602" s="10">
        <f>VLOOKUP(A602,dataset_2!$A$2:$G$611,3,0)</f>
        <v>0.74</v>
      </c>
      <c r="M602" s="10">
        <f>VLOOKUP(A602,dataset_2!$A$2:$G$611,4,0)</f>
        <v>0.1045</v>
      </c>
      <c r="N602" s="10">
        <f>VLOOKUP(A602,dataset_2!$A$2:$G$611,5,0)</f>
        <v>1</v>
      </c>
      <c r="O602" s="10">
        <f>VLOOKUP(A602,dataset_2!$A$2:$G$611,6,0)</f>
        <v>35</v>
      </c>
      <c r="P602" s="10">
        <f>VLOOKUP(A602,dataset_2!$A$2:$G$611,7,0)</f>
        <v>36</v>
      </c>
      <c r="Q602" s="10"/>
      <c r="R602" s="10" t="str">
        <f t="shared" si="1"/>
        <v>OK</v>
      </c>
      <c r="S602" s="10">
        <f t="shared" si="2"/>
        <v>0</v>
      </c>
      <c r="T602" s="10" t="str">
        <f t="shared" si="3"/>
        <v>OK</v>
      </c>
      <c r="U602" s="10">
        <f t="shared" si="4"/>
        <v>1</v>
      </c>
      <c r="V602" s="10"/>
      <c r="W602" s="10"/>
      <c r="X602" s="10"/>
      <c r="Y602" s="10"/>
      <c r="Z602" s="10"/>
    </row>
    <row r="603" ht="13.5" customHeight="1">
      <c r="A603" s="10">
        <f>dataset_1!A585</f>
        <v>584</v>
      </c>
      <c r="B603" s="11">
        <f>dataset_1!B585</f>
        <v>40569</v>
      </c>
      <c r="C603" s="10">
        <f>dataset_1!C585</f>
        <v>1</v>
      </c>
      <c r="D603" s="10">
        <f>dataset_1!D585</f>
        <v>0</v>
      </c>
      <c r="E603" s="10">
        <f>dataset_1!E585</f>
        <v>1</v>
      </c>
      <c r="F603" s="10">
        <f>dataset_1!F585</f>
        <v>14</v>
      </c>
      <c r="G603" s="10" t="b">
        <f>dataset_1!G585</f>
        <v>0</v>
      </c>
      <c r="H603" s="10">
        <f>dataset_1!H585</f>
        <v>3</v>
      </c>
      <c r="I603" s="10">
        <f>dataset_1!I585</f>
        <v>3</v>
      </c>
      <c r="J603" s="10">
        <f>dataset_1!J585</f>
        <v>0.22</v>
      </c>
      <c r="K603" s="10">
        <f>VLOOKUP(A603,dataset_2!$A$2:$G$611,2,0)</f>
        <v>0.197</v>
      </c>
      <c r="L603" s="10">
        <f>VLOOKUP(A603,dataset_2!$A$2:$G$611,3,0)</f>
        <v>0.93</v>
      </c>
      <c r="M603" s="10">
        <f>VLOOKUP(A603,dataset_2!$A$2:$G$611,4,0)</f>
        <v>0.3582</v>
      </c>
      <c r="N603" s="10">
        <f>VLOOKUP(A603,dataset_2!$A$2:$G$611,5,0)</f>
        <v>0</v>
      </c>
      <c r="O603" s="10">
        <f>VLOOKUP(A603,dataset_2!$A$2:$G$611,6,0)</f>
        <v>36</v>
      </c>
      <c r="P603" s="10">
        <f>VLOOKUP(A603,dataset_2!$A$2:$G$611,7,0)</f>
        <v>36</v>
      </c>
      <c r="Q603" s="10"/>
      <c r="R603" s="10" t="str">
        <f t="shared" si="1"/>
        <v>OK</v>
      </c>
      <c r="S603" s="10">
        <f t="shared" si="2"/>
        <v>0</v>
      </c>
      <c r="T603" s="10" t="str">
        <f t="shared" si="3"/>
        <v>OK</v>
      </c>
      <c r="U603" s="10">
        <f t="shared" si="4"/>
        <v>1</v>
      </c>
      <c r="V603" s="10"/>
      <c r="W603" s="10"/>
      <c r="X603" s="10"/>
      <c r="Y603" s="10"/>
      <c r="Z603" s="10"/>
    </row>
    <row r="604" ht="13.5" customHeight="1">
      <c r="A604" s="10">
        <f>dataset_1!A587</f>
        <v>586</v>
      </c>
      <c r="B604" s="11">
        <f>dataset_1!B587</f>
        <v>40569</v>
      </c>
      <c r="C604" s="10">
        <f>dataset_1!C587</f>
        <v>1</v>
      </c>
      <c r="D604" s="10">
        <f>dataset_1!D587</f>
        <v>0</v>
      </c>
      <c r="E604" s="10">
        <f>dataset_1!E587</f>
        <v>1</v>
      </c>
      <c r="F604" s="10">
        <f>dataset_1!F587</f>
        <v>16</v>
      </c>
      <c r="G604" s="10" t="b">
        <f>dataset_1!G587</f>
        <v>0</v>
      </c>
      <c r="H604" s="10">
        <f>dataset_1!H587</f>
        <v>3</v>
      </c>
      <c r="I604" s="10">
        <f>dataset_1!I587</f>
        <v>4</v>
      </c>
      <c r="J604" s="10">
        <f>dataset_1!J587</f>
        <v>0.22</v>
      </c>
      <c r="K604" s="10">
        <f>VLOOKUP(A604,dataset_2!$A$2:$G$611,2,0)</f>
        <v>0.197</v>
      </c>
      <c r="L604" s="10">
        <f>VLOOKUP(A604,dataset_2!$A$2:$G$611,3,0)</f>
        <v>0.93</v>
      </c>
      <c r="M604" s="10">
        <f>VLOOKUP(A604,dataset_2!$A$2:$G$611,4,0)</f>
        <v>0.3284</v>
      </c>
      <c r="N604" s="10">
        <f>VLOOKUP(A604,dataset_2!$A$2:$G$611,5,0)</f>
        <v>1</v>
      </c>
      <c r="O604" s="10">
        <f>VLOOKUP(A604,dataset_2!$A$2:$G$611,6,0)</f>
        <v>35</v>
      </c>
      <c r="P604" s="10">
        <f>VLOOKUP(A604,dataset_2!$A$2:$G$611,7,0)</f>
        <v>36</v>
      </c>
      <c r="Q604" s="10"/>
      <c r="R604" s="10" t="str">
        <f t="shared" si="1"/>
        <v>OK</v>
      </c>
      <c r="S604" s="10">
        <f t="shared" si="2"/>
        <v>0</v>
      </c>
      <c r="T604" s="10" t="str">
        <f t="shared" si="3"/>
        <v>OK</v>
      </c>
      <c r="U604" s="10">
        <f t="shared" si="4"/>
        <v>1</v>
      </c>
      <c r="V604" s="10"/>
      <c r="W604" s="10"/>
      <c r="X604" s="10"/>
      <c r="Y604" s="10"/>
      <c r="Z604" s="10"/>
    </row>
    <row r="605" ht="13.5" customHeight="1">
      <c r="A605" s="3">
        <v>639.0</v>
      </c>
      <c r="B605" s="12">
        <v>40572.0</v>
      </c>
      <c r="C605" s="3">
        <v>1.0</v>
      </c>
      <c r="D605" s="3">
        <v>0.0</v>
      </c>
      <c r="E605" s="3">
        <v>1.0</v>
      </c>
      <c r="F605" s="3">
        <v>21.0</v>
      </c>
      <c r="G605" s="3" t="b">
        <f t="shared" ref="G605:G607" si="68">FALSE()</f>
        <v>0</v>
      </c>
      <c r="H605" s="3">
        <v>6.0</v>
      </c>
      <c r="I605" s="3">
        <v>1.0</v>
      </c>
      <c r="J605" s="3">
        <v>0.18</v>
      </c>
      <c r="K605" s="3">
        <v>0.2121</v>
      </c>
      <c r="L605" s="3">
        <v>0.74</v>
      </c>
      <c r="M605" s="3">
        <v>0.0896</v>
      </c>
      <c r="N605" s="3">
        <v>1.0</v>
      </c>
      <c r="O605" s="3">
        <v>35.0</v>
      </c>
      <c r="P605" s="3">
        <v>36.0</v>
      </c>
      <c r="Q605" s="10"/>
      <c r="R605" s="10" t="str">
        <f t="shared" si="1"/>
        <v>OK</v>
      </c>
      <c r="S605" s="10">
        <f t="shared" si="2"/>
        <v>0</v>
      </c>
      <c r="T605" s="10" t="str">
        <f t="shared" si="3"/>
        <v>OK</v>
      </c>
      <c r="U605" s="10">
        <f t="shared" si="4"/>
        <v>1</v>
      </c>
      <c r="V605" s="10"/>
      <c r="W605" s="10"/>
      <c r="X605" s="10"/>
      <c r="Y605" s="10"/>
      <c r="Z605" s="10"/>
    </row>
    <row r="606" ht="13.5" customHeight="1">
      <c r="A606" s="3">
        <v>710.0</v>
      </c>
      <c r="B606" s="12">
        <v>40575.0</v>
      </c>
      <c r="C606" s="3">
        <v>1.0</v>
      </c>
      <c r="D606" s="3">
        <v>0.0</v>
      </c>
      <c r="E606" s="3">
        <v>2.0</v>
      </c>
      <c r="F606" s="3">
        <v>22.0</v>
      </c>
      <c r="G606" s="3" t="b">
        <f t="shared" si="68"/>
        <v>0</v>
      </c>
      <c r="H606" s="3">
        <v>2.0</v>
      </c>
      <c r="I606" s="3">
        <v>2.0</v>
      </c>
      <c r="J606" s="3">
        <v>0.22</v>
      </c>
      <c r="K606" s="3">
        <v>0.2576</v>
      </c>
      <c r="L606" s="3">
        <v>0.87</v>
      </c>
      <c r="M606" s="3">
        <v>0.0896</v>
      </c>
      <c r="N606" s="3">
        <v>2.0</v>
      </c>
      <c r="O606" s="3">
        <v>34.0</v>
      </c>
      <c r="P606" s="3">
        <v>36.0</v>
      </c>
      <c r="Q606" s="10"/>
      <c r="R606" s="10" t="str">
        <f t="shared" si="1"/>
        <v>OK</v>
      </c>
      <c r="S606" s="10">
        <f t="shared" si="2"/>
        <v>0</v>
      </c>
      <c r="T606" s="10" t="str">
        <f t="shared" si="3"/>
        <v>OK</v>
      </c>
      <c r="U606" s="10">
        <f t="shared" si="4"/>
        <v>1</v>
      </c>
      <c r="V606" s="10"/>
      <c r="W606" s="10"/>
      <c r="X606" s="10"/>
      <c r="Y606" s="10"/>
      <c r="Z606" s="10"/>
    </row>
    <row r="607" ht="13.5" customHeight="1">
      <c r="A607" s="3">
        <v>991.0</v>
      </c>
      <c r="B607" s="12">
        <v>40587.0</v>
      </c>
      <c r="C607" s="3">
        <v>1.0</v>
      </c>
      <c r="D607" s="3">
        <v>0.0</v>
      </c>
      <c r="E607" s="3">
        <v>2.0</v>
      </c>
      <c r="F607" s="3">
        <v>22.0</v>
      </c>
      <c r="G607" s="3" t="b">
        <f t="shared" si="68"/>
        <v>0</v>
      </c>
      <c r="H607" s="3">
        <v>0.0</v>
      </c>
      <c r="I607" s="3">
        <v>1.0</v>
      </c>
      <c r="J607" s="3">
        <v>0.4</v>
      </c>
      <c r="K607" s="3">
        <v>0.4091</v>
      </c>
      <c r="L607" s="3">
        <v>0.35</v>
      </c>
      <c r="M607" s="3">
        <v>0.2985</v>
      </c>
      <c r="N607" s="3">
        <v>5.0</v>
      </c>
      <c r="O607" s="3">
        <v>31.0</v>
      </c>
      <c r="P607" s="3">
        <v>36.0</v>
      </c>
      <c r="Q607" s="10"/>
      <c r="R607" s="10" t="str">
        <f t="shared" si="1"/>
        <v>OK</v>
      </c>
      <c r="S607" s="10">
        <f t="shared" si="2"/>
        <v>0</v>
      </c>
      <c r="T607" s="10" t="str">
        <f t="shared" si="3"/>
        <v>OK</v>
      </c>
      <c r="U607" s="10">
        <f t="shared" si="4"/>
        <v>1</v>
      </c>
      <c r="V607" s="10"/>
      <c r="W607" s="10"/>
      <c r="X607" s="10"/>
      <c r="Y607" s="10"/>
      <c r="Z607" s="10"/>
    </row>
    <row r="608" ht="13.5" customHeight="1">
      <c r="A608" s="10">
        <f>dataset_1!A20</f>
        <v>19</v>
      </c>
      <c r="B608" s="11">
        <f>dataset_1!B20</f>
        <v>40544</v>
      </c>
      <c r="C608" s="10">
        <f>dataset_1!C20</f>
        <v>1</v>
      </c>
      <c r="D608" s="10">
        <f>dataset_1!D20</f>
        <v>0</v>
      </c>
      <c r="E608" s="10">
        <f>dataset_1!E20</f>
        <v>1</v>
      </c>
      <c r="F608" s="10">
        <f>dataset_1!F20</f>
        <v>18</v>
      </c>
      <c r="G608" s="10" t="b">
        <f>dataset_1!G20</f>
        <v>0</v>
      </c>
      <c r="H608" s="10">
        <f>dataset_1!H20</f>
        <v>6</v>
      </c>
      <c r="I608" s="10">
        <f>dataset_1!I20</f>
        <v>3</v>
      </c>
      <c r="J608" s="10">
        <f>dataset_1!J20</f>
        <v>0.42</v>
      </c>
      <c r="K608" s="10">
        <f>VLOOKUP(A608,dataset_2!$A$2:$G$611,2,0)</f>
        <v>0.4242</v>
      </c>
      <c r="L608" s="10">
        <f>VLOOKUP(A608,dataset_2!$A$2:$G$611,3,0)</f>
        <v>0.88</v>
      </c>
      <c r="M608" s="10">
        <f>VLOOKUP(A608,dataset_2!$A$2:$G$611,4,0)</f>
        <v>0.2537</v>
      </c>
      <c r="N608" s="10">
        <f>VLOOKUP(A608,dataset_2!$A$2:$G$611,5,0)</f>
        <v>9</v>
      </c>
      <c r="O608" s="10">
        <f>VLOOKUP(A608,dataset_2!$A$2:$G$611,6,0)</f>
        <v>26</v>
      </c>
      <c r="P608" s="10">
        <f>VLOOKUP(A608,dataset_2!$A$2:$G$611,7,0)</f>
        <v>35</v>
      </c>
      <c r="Q608" s="10"/>
      <c r="R608" s="10" t="str">
        <f t="shared" si="1"/>
        <v>OK</v>
      </c>
      <c r="S608" s="10">
        <f t="shared" si="2"/>
        <v>0</v>
      </c>
      <c r="T608" s="10" t="str">
        <f t="shared" si="3"/>
        <v>OK</v>
      </c>
      <c r="U608" s="10">
        <f t="shared" si="4"/>
        <v>1</v>
      </c>
      <c r="V608" s="10"/>
      <c r="W608" s="10"/>
      <c r="X608" s="10"/>
      <c r="Y608" s="10"/>
      <c r="Z608" s="10"/>
    </row>
    <row r="609" ht="13.5" customHeight="1">
      <c r="A609" s="10">
        <f>dataset_1!A92</f>
        <v>91</v>
      </c>
      <c r="B609" s="11">
        <f>dataset_1!B92</f>
        <v>40547</v>
      </c>
      <c r="C609" s="10">
        <f>dataset_1!C92</f>
        <v>1</v>
      </c>
      <c r="D609" s="10">
        <f>dataset_1!D92</f>
        <v>0</v>
      </c>
      <c r="E609" s="10">
        <f>dataset_1!E92</f>
        <v>1</v>
      </c>
      <c r="F609" s="10">
        <f>dataset_1!F92</f>
        <v>22</v>
      </c>
      <c r="G609" s="10" t="b">
        <f>dataset_1!G92</f>
        <v>0</v>
      </c>
      <c r="H609" s="10">
        <f>dataset_1!H92</f>
        <v>2</v>
      </c>
      <c r="I609" s="10">
        <f>dataset_1!I92</f>
        <v>1</v>
      </c>
      <c r="J609" s="10">
        <f>dataset_1!J92</f>
        <v>0.22</v>
      </c>
      <c r="K609" s="10">
        <f>VLOOKUP(A609,dataset_2!$A$2:$G$611,2,0)</f>
        <v>0.2576</v>
      </c>
      <c r="L609" s="10">
        <f>VLOOKUP(A609,dataset_2!$A$2:$G$611,3,0)</f>
        <v>0.64</v>
      </c>
      <c r="M609" s="10">
        <f>VLOOKUP(A609,dataset_2!$A$2:$G$611,4,0)</f>
        <v>0.0896</v>
      </c>
      <c r="N609" s="10">
        <f>VLOOKUP(A609,dataset_2!$A$2:$G$611,5,0)</f>
        <v>1</v>
      </c>
      <c r="O609" s="10">
        <f>VLOOKUP(A609,dataset_2!$A$2:$G$611,6,0)</f>
        <v>34</v>
      </c>
      <c r="P609" s="10">
        <f>VLOOKUP(A609,dataset_2!$A$2:$G$611,7,0)</f>
        <v>35</v>
      </c>
      <c r="Q609" s="10"/>
      <c r="R609" s="10" t="str">
        <f t="shared" si="1"/>
        <v>OK</v>
      </c>
      <c r="S609" s="10">
        <f t="shared" si="2"/>
        <v>0</v>
      </c>
      <c r="T609" s="10" t="str">
        <f t="shared" si="3"/>
        <v>OK</v>
      </c>
      <c r="U609" s="10">
        <f t="shared" si="4"/>
        <v>1</v>
      </c>
      <c r="V609" s="10"/>
      <c r="W609" s="10"/>
      <c r="X609" s="10"/>
      <c r="Y609" s="10"/>
      <c r="Z609" s="10"/>
    </row>
    <row r="610" ht="13.5" customHeight="1">
      <c r="A610" s="10">
        <f>dataset_1!A244</f>
        <v>243</v>
      </c>
      <c r="B610" s="11">
        <f>dataset_1!B244</f>
        <v>40554</v>
      </c>
      <c r="C610" s="10">
        <f>dataset_1!C244</f>
        <v>1</v>
      </c>
      <c r="D610" s="10">
        <f>dataset_1!D244</f>
        <v>0</v>
      </c>
      <c r="E610" s="10">
        <f>dataset_1!E244</f>
        <v>1</v>
      </c>
      <c r="F610" s="10">
        <f>dataset_1!F244</f>
        <v>11</v>
      </c>
      <c r="G610" s="10" t="b">
        <f>dataset_1!G244</f>
        <v>0</v>
      </c>
      <c r="H610" s="10">
        <f>dataset_1!H244</f>
        <v>2</v>
      </c>
      <c r="I610" s="10">
        <f>dataset_1!I244</f>
        <v>2</v>
      </c>
      <c r="J610" s="10">
        <f>dataset_1!J244</f>
        <v>0.2</v>
      </c>
      <c r="K610" s="10">
        <f>VLOOKUP(A610,dataset_2!$A$2:$G$611,2,0)</f>
        <v>0.2121</v>
      </c>
      <c r="L610" s="10">
        <f>VLOOKUP(A610,dataset_2!$A$2:$G$611,3,0)</f>
        <v>0.47</v>
      </c>
      <c r="M610" s="10">
        <f>VLOOKUP(A610,dataset_2!$A$2:$G$611,4,0)</f>
        <v>0.1343</v>
      </c>
      <c r="N610" s="10">
        <f>VLOOKUP(A610,dataset_2!$A$2:$G$611,5,0)</f>
        <v>4</v>
      </c>
      <c r="O610" s="10">
        <f>VLOOKUP(A610,dataset_2!$A$2:$G$611,6,0)</f>
        <v>31</v>
      </c>
      <c r="P610" s="10">
        <f>VLOOKUP(A610,dataset_2!$A$2:$G$611,7,0)</f>
        <v>35</v>
      </c>
      <c r="Q610" s="10"/>
      <c r="R610" s="10" t="str">
        <f t="shared" si="1"/>
        <v>OK</v>
      </c>
      <c r="S610" s="10">
        <f t="shared" si="2"/>
        <v>0</v>
      </c>
      <c r="T610" s="10" t="str">
        <f t="shared" si="3"/>
        <v>OK</v>
      </c>
      <c r="U610" s="10">
        <f t="shared" si="4"/>
        <v>1</v>
      </c>
      <c r="V610" s="10"/>
      <c r="W610" s="10"/>
      <c r="X610" s="10"/>
      <c r="Y610" s="10"/>
      <c r="Z610" s="10"/>
    </row>
    <row r="611" ht="13.5" customHeight="1">
      <c r="A611" s="10">
        <f>dataset_1!A266</f>
        <v>265</v>
      </c>
      <c r="B611" s="11">
        <f>dataset_1!B266</f>
        <v>40555</v>
      </c>
      <c r="C611" s="10">
        <f>dataset_1!C266</f>
        <v>1</v>
      </c>
      <c r="D611" s="10">
        <f>dataset_1!D266</f>
        <v>0</v>
      </c>
      <c r="E611" s="10">
        <f>dataset_1!E266</f>
        <v>1</v>
      </c>
      <c r="F611" s="10">
        <f>dataset_1!F266</f>
        <v>11</v>
      </c>
      <c r="G611" s="10" t="b">
        <f>dataset_1!G266</f>
        <v>0</v>
      </c>
      <c r="H611" s="10">
        <f>dataset_1!H266</f>
        <v>3</v>
      </c>
      <c r="I611" s="10">
        <f>dataset_1!I266</f>
        <v>1</v>
      </c>
      <c r="J611" s="10">
        <f>dataset_1!J266</f>
        <v>0.2</v>
      </c>
      <c r="K611" s="10">
        <f>VLOOKUP(A611,dataset_2!$A$2:$G$611,2,0)</f>
        <v>0.1818</v>
      </c>
      <c r="L611" s="10">
        <f>VLOOKUP(A611,dataset_2!$A$2:$G$611,3,0)</f>
        <v>0.51</v>
      </c>
      <c r="M611" s="10">
        <f>VLOOKUP(A611,dataset_2!$A$2:$G$611,4,0)</f>
        <v>0.3881</v>
      </c>
      <c r="N611" s="10">
        <f>VLOOKUP(A611,dataset_2!$A$2:$G$611,5,0)</f>
        <v>3</v>
      </c>
      <c r="O611" s="10">
        <f>VLOOKUP(A611,dataset_2!$A$2:$G$611,6,0)</f>
        <v>32</v>
      </c>
      <c r="P611" s="10">
        <f>VLOOKUP(A611,dataset_2!$A$2:$G$611,7,0)</f>
        <v>35</v>
      </c>
      <c r="Q611" s="10"/>
      <c r="R611" s="10" t="str">
        <f t="shared" si="1"/>
        <v>OK</v>
      </c>
      <c r="S611" s="10">
        <f t="shared" si="2"/>
        <v>0</v>
      </c>
      <c r="T611" s="10" t="str">
        <f t="shared" si="3"/>
        <v>OK</v>
      </c>
      <c r="U611" s="10">
        <f t="shared" si="4"/>
        <v>1</v>
      </c>
      <c r="V611" s="10"/>
      <c r="W611" s="10"/>
      <c r="X611" s="10"/>
      <c r="Y611" s="10"/>
      <c r="Z611" s="10"/>
    </row>
    <row r="612" ht="13.5" customHeight="1">
      <c r="A612" s="10">
        <f>dataset_1!A401</f>
        <v>400</v>
      </c>
      <c r="B612" s="11">
        <f>dataset_1!B401</f>
        <v>40561</v>
      </c>
      <c r="C612" s="10">
        <f>dataset_1!C401</f>
        <v>1</v>
      </c>
      <c r="D612" s="10">
        <f>dataset_1!D401</f>
        <v>0</v>
      </c>
      <c r="E612" s="10">
        <f>dataset_1!E401</f>
        <v>1</v>
      </c>
      <c r="F612" s="10">
        <f>dataset_1!F401</f>
        <v>15</v>
      </c>
      <c r="G612" s="10" t="b">
        <f>dataset_1!G401</f>
        <v>0</v>
      </c>
      <c r="H612" s="10">
        <f>dataset_1!H401</f>
        <v>2</v>
      </c>
      <c r="I612" s="10">
        <f>dataset_1!I401</f>
        <v>2</v>
      </c>
      <c r="J612" s="10">
        <f>dataset_1!J401</f>
        <v>0.22</v>
      </c>
      <c r="K612" s="10">
        <f>VLOOKUP(A612,dataset_2!$A$2:$G$611,2,0)</f>
        <v>0.2273</v>
      </c>
      <c r="L612" s="10">
        <f>VLOOKUP(A612,dataset_2!$A$2:$G$611,3,0)</f>
        <v>0.87</v>
      </c>
      <c r="M612" s="10">
        <f>VLOOKUP(A612,dataset_2!$A$2:$G$611,4,0)</f>
        <v>0.1642</v>
      </c>
      <c r="N612" s="10">
        <f>VLOOKUP(A612,dataset_2!$A$2:$G$611,5,0)</f>
        <v>3</v>
      </c>
      <c r="O612" s="10">
        <f>VLOOKUP(A612,dataset_2!$A$2:$G$611,6,0)</f>
        <v>32</v>
      </c>
      <c r="P612" s="10">
        <f>VLOOKUP(A612,dataset_2!$A$2:$G$611,7,0)</f>
        <v>35</v>
      </c>
      <c r="Q612" s="10"/>
      <c r="R612" s="10"/>
      <c r="S612" s="10"/>
      <c r="T612" s="10"/>
      <c r="U612" s="10">
        <f t="shared" si="4"/>
        <v>1</v>
      </c>
      <c r="V612" s="10"/>
      <c r="W612" s="10"/>
      <c r="X612" s="10"/>
      <c r="Y612" s="10"/>
      <c r="Z612" s="10"/>
    </row>
    <row r="613" ht="13.5" customHeight="1">
      <c r="A613" s="10">
        <f>dataset_1!A439</f>
        <v>438</v>
      </c>
      <c r="B613" s="11">
        <f>dataset_1!B439</f>
        <v>40563</v>
      </c>
      <c r="C613" s="10">
        <f>dataset_1!C439</f>
        <v>1</v>
      </c>
      <c r="D613" s="10">
        <f>dataset_1!D439</f>
        <v>0</v>
      </c>
      <c r="E613" s="10">
        <f>dataset_1!E439</f>
        <v>1</v>
      </c>
      <c r="F613" s="10">
        <f>dataset_1!F439</f>
        <v>6</v>
      </c>
      <c r="G613" s="10" t="b">
        <f>dataset_1!G439</f>
        <v>0</v>
      </c>
      <c r="H613" s="10">
        <f>dataset_1!H439</f>
        <v>4</v>
      </c>
      <c r="I613" s="10">
        <f>dataset_1!I439</f>
        <v>1</v>
      </c>
      <c r="J613" s="10">
        <f>dataset_1!J439</f>
        <v>0.22</v>
      </c>
      <c r="K613" s="10">
        <f>VLOOKUP(A613,dataset_2!$A$2:$G$611,2,0)</f>
        <v>0.2121</v>
      </c>
      <c r="L613" s="10">
        <f>VLOOKUP(A613,dataset_2!$A$2:$G$611,3,0)</f>
        <v>0.6</v>
      </c>
      <c r="M613" s="10">
        <f>VLOOKUP(A613,dataset_2!$A$2:$G$611,4,0)</f>
        <v>0.2239</v>
      </c>
      <c r="N613" s="10">
        <f>VLOOKUP(A613,dataset_2!$A$2:$G$611,5,0)</f>
        <v>0</v>
      </c>
      <c r="O613" s="10">
        <f>VLOOKUP(A613,dataset_2!$A$2:$G$611,6,0)</f>
        <v>35</v>
      </c>
      <c r="P613" s="10">
        <f>VLOOKUP(A613,dataset_2!$A$2:$G$611,7,0)</f>
        <v>35</v>
      </c>
      <c r="Q613" s="10"/>
      <c r="R613" s="10"/>
      <c r="S613" s="10"/>
      <c r="T613" s="10"/>
      <c r="U613" s="10">
        <f t="shared" si="4"/>
        <v>1</v>
      </c>
      <c r="V613" s="10"/>
      <c r="W613" s="10"/>
      <c r="X613" s="10"/>
      <c r="Y613" s="10"/>
      <c r="Z613" s="10"/>
    </row>
    <row r="614" ht="13.5" customHeight="1">
      <c r="A614" s="10">
        <f>dataset_1!A523</f>
        <v>522</v>
      </c>
      <c r="B614" s="11">
        <f>dataset_1!B523</f>
        <v>40566</v>
      </c>
      <c r="C614" s="10">
        <f>dataset_1!C523</f>
        <v>1</v>
      </c>
      <c r="D614" s="10">
        <f>dataset_1!D523</f>
        <v>0</v>
      </c>
      <c r="E614" s="10">
        <f>dataset_1!E523</f>
        <v>1</v>
      </c>
      <c r="F614" s="10">
        <f>dataset_1!F523</f>
        <v>20</v>
      </c>
      <c r="G614" s="10" t="b">
        <f>dataset_1!G523</f>
        <v>0</v>
      </c>
      <c r="H614" s="10">
        <f>dataset_1!H523</f>
        <v>0</v>
      </c>
      <c r="I614" s="10">
        <f>dataset_1!I523</f>
        <v>1</v>
      </c>
      <c r="J614" s="10">
        <f>dataset_1!J523</f>
        <v>0.1</v>
      </c>
      <c r="K614" s="10">
        <f>VLOOKUP(A614,dataset_2!$A$2:$G$611,2,0)</f>
        <v>0.1061</v>
      </c>
      <c r="L614" s="10">
        <f>VLOOKUP(A614,dataset_2!$A$2:$G$611,3,0)</f>
        <v>0.36</v>
      </c>
      <c r="M614" s="10">
        <f>VLOOKUP(A614,dataset_2!$A$2:$G$611,4,0)</f>
        <v>0.2537</v>
      </c>
      <c r="N614" s="10">
        <f>VLOOKUP(A614,dataset_2!$A$2:$G$611,5,0)</f>
        <v>4</v>
      </c>
      <c r="O614" s="10">
        <f>VLOOKUP(A614,dataset_2!$A$2:$G$611,6,0)</f>
        <v>31</v>
      </c>
      <c r="P614" s="10">
        <f>VLOOKUP(A614,dataset_2!$A$2:$G$611,7,0)</f>
        <v>35</v>
      </c>
      <c r="Q614" s="10"/>
      <c r="R614" s="10"/>
      <c r="S614" s="10"/>
      <c r="T614" s="10"/>
      <c r="U614" s="10">
        <f t="shared" si="4"/>
        <v>1</v>
      </c>
      <c r="V614" s="10"/>
      <c r="W614" s="10"/>
      <c r="X614" s="10"/>
      <c r="Y614" s="10"/>
      <c r="Z614" s="10"/>
    </row>
    <row r="615" ht="13.5" customHeight="1">
      <c r="A615" s="10">
        <f>dataset_1!A548</f>
        <v>547</v>
      </c>
      <c r="B615" s="11">
        <f>dataset_1!B548</f>
        <v>40567</v>
      </c>
      <c r="C615" s="10">
        <f>dataset_1!C548</f>
        <v>1</v>
      </c>
      <c r="D615" s="10">
        <f>dataset_1!D548</f>
        <v>0</v>
      </c>
      <c r="E615" s="10">
        <f>dataset_1!E548</f>
        <v>1</v>
      </c>
      <c r="F615" s="10">
        <f>dataset_1!F548</f>
        <v>22</v>
      </c>
      <c r="G615" s="10" t="b">
        <f>dataset_1!G548</f>
        <v>0</v>
      </c>
      <c r="H615" s="10">
        <f>dataset_1!H548</f>
        <v>1</v>
      </c>
      <c r="I615" s="10">
        <f>dataset_1!I548</f>
        <v>2</v>
      </c>
      <c r="J615" s="10">
        <f>dataset_1!J548</f>
        <v>0.14</v>
      </c>
      <c r="K615" s="10">
        <f>VLOOKUP(A615,dataset_2!$A$2:$G$611,2,0)</f>
        <v>0.1364</v>
      </c>
      <c r="L615" s="10">
        <f>VLOOKUP(A615,dataset_2!$A$2:$G$611,3,0)</f>
        <v>0.63</v>
      </c>
      <c r="M615" s="10">
        <f>VLOOKUP(A615,dataset_2!$A$2:$G$611,4,0)</f>
        <v>0.2239</v>
      </c>
      <c r="N615" s="10">
        <f>VLOOKUP(A615,dataset_2!$A$2:$G$611,5,0)</f>
        <v>3</v>
      </c>
      <c r="O615" s="10">
        <f>VLOOKUP(A615,dataset_2!$A$2:$G$611,6,0)</f>
        <v>32</v>
      </c>
      <c r="P615" s="10">
        <f>VLOOKUP(A615,dataset_2!$A$2:$G$611,7,0)</f>
        <v>35</v>
      </c>
      <c r="Q615" s="10"/>
      <c r="R615" s="10"/>
      <c r="S615" s="10"/>
      <c r="T615" s="10"/>
      <c r="U615" s="10">
        <f t="shared" si="4"/>
        <v>1</v>
      </c>
      <c r="V615" s="10"/>
      <c r="W615" s="10"/>
      <c r="X615" s="10"/>
      <c r="Y615" s="10"/>
      <c r="Z615" s="10"/>
    </row>
    <row r="616" ht="13.5" customHeight="1">
      <c r="A616" s="3">
        <v>910.0</v>
      </c>
      <c r="B616" s="12">
        <v>40584.0</v>
      </c>
      <c r="C616" s="3">
        <v>1.0</v>
      </c>
      <c r="D616" s="3">
        <v>0.0</v>
      </c>
      <c r="E616" s="3">
        <v>2.0</v>
      </c>
      <c r="F616" s="3">
        <v>10.0</v>
      </c>
      <c r="G616" s="3" t="b">
        <f>FALSE()</f>
        <v>0</v>
      </c>
      <c r="H616" s="3">
        <v>4.0</v>
      </c>
      <c r="I616" s="3">
        <v>1.0</v>
      </c>
      <c r="J616" s="3">
        <v>0.12</v>
      </c>
      <c r="K616" s="3">
        <v>0.1061</v>
      </c>
      <c r="L616" s="3">
        <v>0.42</v>
      </c>
      <c r="M616" s="3">
        <v>0.2985</v>
      </c>
      <c r="N616" s="3">
        <v>1.0</v>
      </c>
      <c r="O616" s="3">
        <v>34.0</v>
      </c>
      <c r="P616" s="3">
        <v>35.0</v>
      </c>
      <c r="Q616" s="10"/>
      <c r="R616" s="10"/>
      <c r="S616" s="10"/>
      <c r="T616" s="10"/>
      <c r="U616" s="10">
        <f t="shared" si="4"/>
        <v>1</v>
      </c>
      <c r="V616" s="10"/>
      <c r="W616" s="10"/>
      <c r="X616" s="10"/>
      <c r="Y616" s="10"/>
      <c r="Z616" s="10"/>
    </row>
    <row r="617" ht="13.5" customHeight="1">
      <c r="A617" s="10">
        <f>dataset_1!A23</f>
        <v>22</v>
      </c>
      <c r="B617" s="11">
        <f>dataset_1!B23</f>
        <v>40544</v>
      </c>
      <c r="C617" s="10">
        <f>dataset_1!C23</f>
        <v>1</v>
      </c>
      <c r="D617" s="10">
        <f>dataset_1!D23</f>
        <v>0</v>
      </c>
      <c r="E617" s="10">
        <f>dataset_1!E23</f>
        <v>1</v>
      </c>
      <c r="F617" s="10">
        <f>dataset_1!F23</f>
        <v>21</v>
      </c>
      <c r="G617" s="10" t="b">
        <f>dataset_1!G23</f>
        <v>0</v>
      </c>
      <c r="H617" s="10">
        <f>dataset_1!H23</f>
        <v>6</v>
      </c>
      <c r="I617" s="10">
        <f>dataset_1!I23</f>
        <v>2</v>
      </c>
      <c r="J617" s="10">
        <f>dataset_1!J23</f>
        <v>0.4</v>
      </c>
      <c r="K617" s="10">
        <f>VLOOKUP(A617,dataset_2!$A$2:$G$611,2,0)</f>
        <v>0.4091</v>
      </c>
      <c r="L617" s="10">
        <f>VLOOKUP(A617,dataset_2!$A$2:$G$611,3,0)</f>
        <v>0.87</v>
      </c>
      <c r="M617" s="10">
        <f>VLOOKUP(A617,dataset_2!$A$2:$G$611,4,0)</f>
        <v>0.194</v>
      </c>
      <c r="N617" s="10">
        <f>VLOOKUP(A617,dataset_2!$A$2:$G$611,5,0)</f>
        <v>3</v>
      </c>
      <c r="O617" s="10">
        <f>VLOOKUP(A617,dataset_2!$A$2:$G$611,6,0)</f>
        <v>31</v>
      </c>
      <c r="P617" s="10">
        <f>VLOOKUP(A617,dataset_2!$A$2:$G$611,7,0)</f>
        <v>34</v>
      </c>
      <c r="Q617" s="10"/>
      <c r="R617" s="10"/>
      <c r="S617" s="10"/>
      <c r="T617" s="10"/>
      <c r="U617" s="10">
        <f t="shared" si="4"/>
        <v>1</v>
      </c>
      <c r="V617" s="10"/>
      <c r="W617" s="10"/>
      <c r="X617" s="10"/>
      <c r="Y617" s="10"/>
      <c r="Z617" s="10"/>
    </row>
    <row r="618" ht="13.5" customHeight="1">
      <c r="A618" s="10">
        <f>dataset_1!A145</f>
        <v>144</v>
      </c>
      <c r="B618" s="11">
        <f>dataset_1!B145</f>
        <v>40550</v>
      </c>
      <c r="C618" s="10">
        <f>dataset_1!C145</f>
        <v>1</v>
      </c>
      <c r="D618" s="10">
        <f>dataset_1!D145</f>
        <v>0</v>
      </c>
      <c r="E618" s="10">
        <f>dataset_1!E145</f>
        <v>1</v>
      </c>
      <c r="F618" s="10">
        <f>dataset_1!F145</f>
        <v>6</v>
      </c>
      <c r="G618" s="10" t="b">
        <f>dataset_1!G145</f>
        <v>0</v>
      </c>
      <c r="H618" s="10">
        <f>dataset_1!H145</f>
        <v>5</v>
      </c>
      <c r="I618" s="10">
        <f>dataset_1!I145</f>
        <v>2</v>
      </c>
      <c r="J618" s="10">
        <f>dataset_1!J145</f>
        <v>0.2</v>
      </c>
      <c r="K618" s="10">
        <f>VLOOKUP(A618,dataset_2!$A$2:$G$611,2,0)</f>
        <v>0.2576</v>
      </c>
      <c r="L618" s="10">
        <f>VLOOKUP(A618,dataset_2!$A$2:$G$611,3,0)</f>
        <v>0.69</v>
      </c>
      <c r="M618" s="10">
        <f>VLOOKUP(A618,dataset_2!$A$2:$G$611,4,0)</f>
        <v>0</v>
      </c>
      <c r="N618" s="10">
        <f>VLOOKUP(A618,dataset_2!$A$2:$G$611,5,0)</f>
        <v>8</v>
      </c>
      <c r="O618" s="10">
        <f>VLOOKUP(A618,dataset_2!$A$2:$G$611,6,0)</f>
        <v>26</v>
      </c>
      <c r="P618" s="10">
        <f>VLOOKUP(A618,dataset_2!$A$2:$G$611,7,0)</f>
        <v>34</v>
      </c>
      <c r="Q618" s="10"/>
      <c r="R618" s="10"/>
      <c r="S618" s="10"/>
      <c r="T618" s="10"/>
      <c r="U618" s="10">
        <f t="shared" si="4"/>
        <v>1</v>
      </c>
      <c r="V618" s="10"/>
      <c r="W618" s="10"/>
      <c r="X618" s="10"/>
      <c r="Y618" s="10"/>
      <c r="Z618" s="10"/>
    </row>
    <row r="619" ht="13.5" customHeight="1">
      <c r="A619" s="10">
        <f>dataset_1!A185</f>
        <v>184</v>
      </c>
      <c r="B619" s="11">
        <f>dataset_1!B185</f>
        <v>40551</v>
      </c>
      <c r="C619" s="10">
        <f>dataset_1!C185</f>
        <v>1</v>
      </c>
      <c r="D619" s="10">
        <f>dataset_1!D185</f>
        <v>0</v>
      </c>
      <c r="E619" s="10">
        <f>dataset_1!E185</f>
        <v>1</v>
      </c>
      <c r="F619" s="10">
        <f>dataset_1!F185</f>
        <v>22</v>
      </c>
      <c r="G619" s="10" t="b">
        <f>dataset_1!G185</f>
        <v>0</v>
      </c>
      <c r="H619" s="10">
        <f>dataset_1!H185</f>
        <v>6</v>
      </c>
      <c r="I619" s="10">
        <f>dataset_1!I185</f>
        <v>1</v>
      </c>
      <c r="J619" s="10">
        <f>dataset_1!J185</f>
        <v>0.12</v>
      </c>
      <c r="K619" s="10">
        <f>VLOOKUP(A619,dataset_2!$A$2:$G$611,2,0)</f>
        <v>0.1061</v>
      </c>
      <c r="L619" s="10">
        <f>VLOOKUP(A619,dataset_2!$A$2:$G$611,3,0)</f>
        <v>0.36</v>
      </c>
      <c r="M619" s="10">
        <f>VLOOKUP(A619,dataset_2!$A$2:$G$611,4,0)</f>
        <v>0.3881</v>
      </c>
      <c r="N619" s="10">
        <f>VLOOKUP(A619,dataset_2!$A$2:$G$611,5,0)</f>
        <v>1</v>
      </c>
      <c r="O619" s="10">
        <f>VLOOKUP(A619,dataset_2!$A$2:$G$611,6,0)</f>
        <v>33</v>
      </c>
      <c r="P619" s="10">
        <f>VLOOKUP(A619,dataset_2!$A$2:$G$611,7,0)</f>
        <v>34</v>
      </c>
      <c r="Q619" s="10"/>
      <c r="R619" s="10"/>
      <c r="S619" s="10"/>
      <c r="T619" s="10"/>
      <c r="U619" s="10">
        <f t="shared" si="4"/>
        <v>1</v>
      </c>
      <c r="V619" s="10"/>
      <c r="W619" s="10"/>
      <c r="X619" s="10"/>
      <c r="Y619" s="10"/>
      <c r="Z619" s="10"/>
    </row>
    <row r="620" ht="13.5" customHeight="1">
      <c r="A620" s="10">
        <f>dataset_1!A479</f>
        <v>478</v>
      </c>
      <c r="B620" s="11">
        <f>dataset_1!B479</f>
        <v>40564</v>
      </c>
      <c r="C620" s="10">
        <f>dataset_1!C479</f>
        <v>1</v>
      </c>
      <c r="D620" s="10">
        <f>dataset_1!D479</f>
        <v>0</v>
      </c>
      <c r="E620" s="10">
        <f>dataset_1!E479</f>
        <v>1</v>
      </c>
      <c r="F620" s="10">
        <f>dataset_1!F479</f>
        <v>22</v>
      </c>
      <c r="G620" s="10" t="b">
        <f>dataset_1!G479</f>
        <v>0</v>
      </c>
      <c r="H620" s="10">
        <f>dataset_1!H479</f>
        <v>5</v>
      </c>
      <c r="I620" s="10">
        <f>dataset_1!I479</f>
        <v>1</v>
      </c>
      <c r="J620" s="10">
        <f>dataset_1!J479</f>
        <v>0.06</v>
      </c>
      <c r="K620" s="10">
        <f>VLOOKUP(A620,dataset_2!$A$2:$G$611,2,0)</f>
        <v>0.0303</v>
      </c>
      <c r="L620" s="10">
        <f>VLOOKUP(A620,dataset_2!$A$2:$G$611,3,0)</f>
        <v>0.41</v>
      </c>
      <c r="M620" s="10">
        <f>VLOOKUP(A620,dataset_2!$A$2:$G$611,4,0)</f>
        <v>0.3881</v>
      </c>
      <c r="N620" s="10">
        <f>VLOOKUP(A620,dataset_2!$A$2:$G$611,5,0)</f>
        <v>1</v>
      </c>
      <c r="O620" s="10">
        <f>VLOOKUP(A620,dataset_2!$A$2:$G$611,6,0)</f>
        <v>33</v>
      </c>
      <c r="P620" s="10">
        <f>VLOOKUP(A620,dataset_2!$A$2:$G$611,7,0)</f>
        <v>34</v>
      </c>
      <c r="Q620" s="10"/>
      <c r="R620" s="10"/>
      <c r="S620" s="10"/>
      <c r="T620" s="10"/>
      <c r="U620" s="10">
        <f t="shared" si="4"/>
        <v>1</v>
      </c>
      <c r="V620" s="10"/>
      <c r="W620" s="10"/>
      <c r="X620" s="10"/>
      <c r="Y620" s="10"/>
      <c r="Z620" s="10"/>
    </row>
    <row r="621" ht="13.5" customHeight="1">
      <c r="A621" s="3">
        <v>626.0</v>
      </c>
      <c r="B621" s="12">
        <v>40572.0</v>
      </c>
      <c r="C621" s="3">
        <v>1.0</v>
      </c>
      <c r="D621" s="3">
        <v>0.0</v>
      </c>
      <c r="E621" s="3">
        <v>1.0</v>
      </c>
      <c r="F621" s="3">
        <v>8.0</v>
      </c>
      <c r="G621" s="3" t="b">
        <f t="shared" ref="G621:G625" si="69">FALSE()</f>
        <v>0</v>
      </c>
      <c r="H621" s="3">
        <v>6.0</v>
      </c>
      <c r="I621" s="3">
        <v>1.0</v>
      </c>
      <c r="J621" s="3">
        <v>0.18</v>
      </c>
      <c r="K621" s="3">
        <v>0.197</v>
      </c>
      <c r="L621" s="3">
        <v>0.55</v>
      </c>
      <c r="M621" s="3">
        <v>0.1642</v>
      </c>
      <c r="N621" s="3">
        <v>3.0</v>
      </c>
      <c r="O621" s="3">
        <v>31.0</v>
      </c>
      <c r="P621" s="3">
        <v>34.0</v>
      </c>
      <c r="Q621" s="10"/>
      <c r="R621" s="10"/>
      <c r="S621" s="10"/>
      <c r="T621" s="10"/>
      <c r="U621" s="10">
        <f t="shared" si="4"/>
        <v>1</v>
      </c>
      <c r="V621" s="10"/>
      <c r="W621" s="10"/>
      <c r="X621" s="10"/>
      <c r="Y621" s="10"/>
      <c r="Z621" s="10"/>
    </row>
    <row r="622" ht="13.5" customHeight="1">
      <c r="A622" s="3">
        <v>627.0</v>
      </c>
      <c r="B622" s="12">
        <v>40572.0</v>
      </c>
      <c r="C622" s="3">
        <v>1.0</v>
      </c>
      <c r="D622" s="3">
        <v>0.0</v>
      </c>
      <c r="E622" s="3">
        <v>1.0</v>
      </c>
      <c r="F622" s="3">
        <v>9.0</v>
      </c>
      <c r="G622" s="3" t="b">
        <f t="shared" si="69"/>
        <v>0</v>
      </c>
      <c r="H622" s="3">
        <v>6.0</v>
      </c>
      <c r="I622" s="3">
        <v>1.0</v>
      </c>
      <c r="J622" s="3">
        <v>0.18</v>
      </c>
      <c r="K622" s="3">
        <v>0.2121</v>
      </c>
      <c r="L622" s="3">
        <v>0.59</v>
      </c>
      <c r="M622" s="3">
        <v>0.0896</v>
      </c>
      <c r="N622" s="3">
        <v>0.0</v>
      </c>
      <c r="O622" s="3">
        <v>34.0</v>
      </c>
      <c r="P622" s="3">
        <v>34.0</v>
      </c>
      <c r="Q622" s="10"/>
      <c r="R622" s="10"/>
      <c r="S622" s="10"/>
      <c r="T622" s="10"/>
      <c r="U622" s="10">
        <f t="shared" si="4"/>
        <v>1</v>
      </c>
      <c r="V622" s="10"/>
      <c r="W622" s="10"/>
      <c r="X622" s="10"/>
      <c r="Y622" s="10"/>
      <c r="Z622" s="10"/>
    </row>
    <row r="623" ht="13.5" customHeight="1">
      <c r="A623" s="3">
        <v>687.0</v>
      </c>
      <c r="B623" s="12">
        <v>40574.0</v>
      </c>
      <c r="C623" s="3">
        <v>1.0</v>
      </c>
      <c r="D623" s="3">
        <v>0.0</v>
      </c>
      <c r="E623" s="3">
        <v>1.0</v>
      </c>
      <c r="F623" s="3">
        <v>22.0</v>
      </c>
      <c r="G623" s="3" t="b">
        <f t="shared" si="69"/>
        <v>0</v>
      </c>
      <c r="H623" s="3">
        <v>1.0</v>
      </c>
      <c r="I623" s="3">
        <v>2.0</v>
      </c>
      <c r="J623" s="3">
        <v>0.16</v>
      </c>
      <c r="K623" s="3">
        <v>0.1818</v>
      </c>
      <c r="L623" s="3">
        <v>0.59</v>
      </c>
      <c r="M623" s="3">
        <v>0.1045</v>
      </c>
      <c r="N623" s="3">
        <v>0.0</v>
      </c>
      <c r="O623" s="3">
        <v>34.0</v>
      </c>
      <c r="P623" s="3">
        <v>34.0</v>
      </c>
      <c r="Q623" s="10"/>
      <c r="R623" s="10"/>
      <c r="S623" s="10"/>
      <c r="T623" s="10"/>
      <c r="U623" s="10">
        <f t="shared" si="4"/>
        <v>1</v>
      </c>
      <c r="V623" s="10"/>
      <c r="W623" s="10"/>
      <c r="X623" s="10"/>
      <c r="Y623" s="10"/>
      <c r="Z623" s="10"/>
    </row>
    <row r="624" ht="13.5" customHeight="1">
      <c r="A624" s="3">
        <v>792.0</v>
      </c>
      <c r="B624" s="12">
        <v>40579.0</v>
      </c>
      <c r="C624" s="3">
        <v>1.0</v>
      </c>
      <c r="D624" s="3">
        <v>0.0</v>
      </c>
      <c r="E624" s="3">
        <v>2.0</v>
      </c>
      <c r="F624" s="3">
        <v>10.0</v>
      </c>
      <c r="G624" s="3" t="b">
        <f t="shared" si="69"/>
        <v>0</v>
      </c>
      <c r="H624" s="3">
        <v>6.0</v>
      </c>
      <c r="I624" s="3">
        <v>3.0</v>
      </c>
      <c r="J624" s="3">
        <v>0.2</v>
      </c>
      <c r="K624" s="3">
        <v>0.2121</v>
      </c>
      <c r="L624" s="3">
        <v>1.0</v>
      </c>
      <c r="M624" s="3">
        <v>0.1343</v>
      </c>
      <c r="N624" s="3">
        <v>3.0</v>
      </c>
      <c r="O624" s="3">
        <v>31.0</v>
      </c>
      <c r="P624" s="3">
        <v>34.0</v>
      </c>
      <c r="Q624" s="10"/>
      <c r="R624" s="10"/>
      <c r="S624" s="10"/>
      <c r="T624" s="10"/>
      <c r="U624" s="10">
        <f t="shared" si="4"/>
        <v>1</v>
      </c>
      <c r="V624" s="10"/>
      <c r="W624" s="10"/>
      <c r="X624" s="10"/>
      <c r="Y624" s="10"/>
      <c r="Z624" s="10"/>
    </row>
    <row r="625" ht="13.5" customHeight="1">
      <c r="A625" s="3">
        <v>923.0</v>
      </c>
      <c r="B625" s="12">
        <v>40584.0</v>
      </c>
      <c r="C625" s="3">
        <v>1.0</v>
      </c>
      <c r="D625" s="3">
        <v>0.0</v>
      </c>
      <c r="E625" s="3">
        <v>2.0</v>
      </c>
      <c r="F625" s="3">
        <v>23.0</v>
      </c>
      <c r="G625" s="3" t="b">
        <f t="shared" si="69"/>
        <v>0</v>
      </c>
      <c r="H625" s="3">
        <v>4.0</v>
      </c>
      <c r="I625" s="3">
        <v>1.0</v>
      </c>
      <c r="J625" s="3">
        <v>0.12</v>
      </c>
      <c r="K625" s="3">
        <v>0.1515</v>
      </c>
      <c r="L625" s="3">
        <v>0.42</v>
      </c>
      <c r="M625" s="3">
        <v>0.1045</v>
      </c>
      <c r="N625" s="3">
        <v>1.0</v>
      </c>
      <c r="O625" s="3">
        <v>33.0</v>
      </c>
      <c r="P625" s="3">
        <v>34.0</v>
      </c>
      <c r="Q625" s="10"/>
      <c r="R625" s="10"/>
      <c r="S625" s="10"/>
      <c r="T625" s="10"/>
      <c r="U625" s="10">
        <f t="shared" si="4"/>
        <v>1</v>
      </c>
      <c r="V625" s="10"/>
      <c r="W625" s="10"/>
      <c r="X625" s="10"/>
      <c r="Y625" s="10"/>
      <c r="Z625" s="10"/>
    </row>
    <row r="626" ht="13.5" customHeight="1">
      <c r="A626" s="10">
        <f>dataset_1!A99</f>
        <v>98</v>
      </c>
      <c r="B626" s="11">
        <f>dataset_1!B99</f>
        <v>40548</v>
      </c>
      <c r="C626" s="10">
        <f>dataset_1!C99</f>
        <v>1</v>
      </c>
      <c r="D626" s="10">
        <f>dataset_1!D99</f>
        <v>0</v>
      </c>
      <c r="E626" s="10">
        <f>dataset_1!E99</f>
        <v>1</v>
      </c>
      <c r="F626" s="10">
        <f>dataset_1!F99</f>
        <v>6</v>
      </c>
      <c r="G626" s="10" t="b">
        <f>dataset_1!G99</f>
        <v>0</v>
      </c>
      <c r="H626" s="10">
        <f>dataset_1!H99</f>
        <v>3</v>
      </c>
      <c r="I626" s="10">
        <f>dataset_1!I99</f>
        <v>1</v>
      </c>
      <c r="J626" s="10">
        <f>dataset_1!J99</f>
        <v>0.2</v>
      </c>
      <c r="K626" s="10">
        <f>VLOOKUP(A626,dataset_2!$A$2:$G$611,2,0)</f>
        <v>0.197</v>
      </c>
      <c r="L626" s="10">
        <f>VLOOKUP(A626,dataset_2!$A$2:$G$611,3,0)</f>
        <v>0.47</v>
      </c>
      <c r="M626" s="10">
        <f>VLOOKUP(A626,dataset_2!$A$2:$G$611,4,0)</f>
        <v>0.2239</v>
      </c>
      <c r="N626" s="10">
        <f>VLOOKUP(A626,dataset_2!$A$2:$G$611,5,0)</f>
        <v>0</v>
      </c>
      <c r="O626" s="10">
        <f>VLOOKUP(A626,dataset_2!$A$2:$G$611,6,0)</f>
        <v>33</v>
      </c>
      <c r="P626" s="10">
        <f>VLOOKUP(A626,dataset_2!$A$2:$G$611,7,0)</f>
        <v>33</v>
      </c>
      <c r="Q626" s="10"/>
      <c r="R626" s="10"/>
      <c r="S626" s="10"/>
      <c r="T626" s="10"/>
      <c r="U626" s="10">
        <f t="shared" si="4"/>
        <v>1</v>
      </c>
      <c r="V626" s="10"/>
      <c r="W626" s="10"/>
      <c r="X626" s="10"/>
      <c r="Y626" s="10"/>
      <c r="Z626" s="10"/>
    </row>
    <row r="627" ht="13.5" customHeight="1">
      <c r="A627" s="10">
        <f>dataset_1!A277</f>
        <v>276</v>
      </c>
      <c r="B627" s="11">
        <f>dataset_1!B277</f>
        <v>40555</v>
      </c>
      <c r="C627" s="10">
        <f>dataset_1!C277</f>
        <v>1</v>
      </c>
      <c r="D627" s="10">
        <f>dataset_1!D277</f>
        <v>0</v>
      </c>
      <c r="E627" s="10">
        <f>dataset_1!E277</f>
        <v>1</v>
      </c>
      <c r="F627" s="10">
        <f>dataset_1!F277</f>
        <v>22</v>
      </c>
      <c r="G627" s="10" t="b">
        <f>dataset_1!G277</f>
        <v>0</v>
      </c>
      <c r="H627" s="10">
        <f>dataset_1!H277</f>
        <v>3</v>
      </c>
      <c r="I627" s="10">
        <f>dataset_1!I277</f>
        <v>1</v>
      </c>
      <c r="J627" s="10">
        <f>dataset_1!J277</f>
        <v>0.16</v>
      </c>
      <c r="K627" s="10">
        <f>VLOOKUP(A627,dataset_2!$A$2:$G$611,2,0)</f>
        <v>0.1212</v>
      </c>
      <c r="L627" s="10">
        <f>VLOOKUP(A627,dataset_2!$A$2:$G$611,3,0)</f>
        <v>0.55</v>
      </c>
      <c r="M627" s="10">
        <f>VLOOKUP(A627,dataset_2!$A$2:$G$611,4,0)</f>
        <v>0.4478</v>
      </c>
      <c r="N627" s="10">
        <f>VLOOKUP(A627,dataset_2!$A$2:$G$611,5,0)</f>
        <v>1</v>
      </c>
      <c r="O627" s="10">
        <f>VLOOKUP(A627,dataset_2!$A$2:$G$611,6,0)</f>
        <v>32</v>
      </c>
      <c r="P627" s="10">
        <f>VLOOKUP(A627,dataset_2!$A$2:$G$611,7,0)</f>
        <v>33</v>
      </c>
      <c r="Q627" s="10"/>
      <c r="R627" s="10"/>
      <c r="S627" s="10"/>
      <c r="T627" s="10"/>
      <c r="U627" s="10">
        <f t="shared" si="4"/>
        <v>1</v>
      </c>
      <c r="V627" s="10"/>
      <c r="W627" s="10"/>
      <c r="X627" s="10"/>
      <c r="Y627" s="10"/>
      <c r="Z627" s="10"/>
    </row>
    <row r="628" ht="13.5" customHeight="1">
      <c r="A628" s="10">
        <f>dataset_1!A335</f>
        <v>334</v>
      </c>
      <c r="B628" s="11">
        <f>dataset_1!B335</f>
        <v>40558</v>
      </c>
      <c r="C628" s="10">
        <f>dataset_1!C335</f>
        <v>1</v>
      </c>
      <c r="D628" s="10">
        <f>dataset_1!D335</f>
        <v>0</v>
      </c>
      <c r="E628" s="10">
        <f>dataset_1!E335</f>
        <v>1</v>
      </c>
      <c r="F628" s="10">
        <f>dataset_1!F335</f>
        <v>9</v>
      </c>
      <c r="G628" s="10" t="b">
        <f>dataset_1!G335</f>
        <v>0</v>
      </c>
      <c r="H628" s="10">
        <f>dataset_1!H335</f>
        <v>6</v>
      </c>
      <c r="I628" s="10">
        <f>dataset_1!I335</f>
        <v>1</v>
      </c>
      <c r="J628" s="10">
        <f>dataset_1!J335</f>
        <v>0.16</v>
      </c>
      <c r="K628" s="10">
        <f>VLOOKUP(A628,dataset_2!$A$2:$G$611,2,0)</f>
        <v>0.1818</v>
      </c>
      <c r="L628" s="10">
        <f>VLOOKUP(A628,dataset_2!$A$2:$G$611,3,0)</f>
        <v>0.64</v>
      </c>
      <c r="M628" s="10">
        <f>VLOOKUP(A628,dataset_2!$A$2:$G$611,4,0)</f>
        <v>0.1343</v>
      </c>
      <c r="N628" s="10">
        <f>VLOOKUP(A628,dataset_2!$A$2:$G$611,5,0)</f>
        <v>2</v>
      </c>
      <c r="O628" s="10">
        <f>VLOOKUP(A628,dataset_2!$A$2:$G$611,6,0)</f>
        <v>31</v>
      </c>
      <c r="P628" s="10">
        <f>VLOOKUP(A628,dataset_2!$A$2:$G$611,7,0)</f>
        <v>33</v>
      </c>
      <c r="Q628" s="10"/>
      <c r="R628" s="10"/>
      <c r="S628" s="10"/>
      <c r="T628" s="10"/>
      <c r="U628" s="10">
        <f t="shared" si="4"/>
        <v>1</v>
      </c>
      <c r="V628" s="10"/>
      <c r="W628" s="10"/>
      <c r="X628" s="10"/>
      <c r="Y628" s="10"/>
      <c r="Z628" s="10"/>
    </row>
    <row r="629" ht="13.5" customHeight="1">
      <c r="A629" s="10">
        <f>dataset_1!A382</f>
        <v>381</v>
      </c>
      <c r="B629" s="11">
        <f>dataset_1!B382</f>
        <v>40560</v>
      </c>
      <c r="C629" s="10">
        <f>dataset_1!C382</f>
        <v>1</v>
      </c>
      <c r="D629" s="10">
        <f>dataset_1!D382</f>
        <v>0</v>
      </c>
      <c r="E629" s="10">
        <f>dataset_1!E382</f>
        <v>1</v>
      </c>
      <c r="F629" s="10">
        <f>dataset_1!F382</f>
        <v>8</v>
      </c>
      <c r="G629" s="10" t="b">
        <f>dataset_1!G382</f>
        <v>1</v>
      </c>
      <c r="H629" s="10">
        <f>dataset_1!H382</f>
        <v>1</v>
      </c>
      <c r="I629" s="10">
        <f>dataset_1!I382</f>
        <v>2</v>
      </c>
      <c r="J629" s="10">
        <f>dataset_1!J382</f>
        <v>0.16</v>
      </c>
      <c r="K629" s="10">
        <f>VLOOKUP(A629,dataset_2!$A$2:$G$611,2,0)</f>
        <v>0.1515</v>
      </c>
      <c r="L629" s="10">
        <f>VLOOKUP(A629,dataset_2!$A$2:$G$611,3,0)</f>
        <v>0.47</v>
      </c>
      <c r="M629" s="10">
        <f>VLOOKUP(A629,dataset_2!$A$2:$G$611,4,0)</f>
        <v>0.2239</v>
      </c>
      <c r="N629" s="10">
        <f>VLOOKUP(A629,dataset_2!$A$2:$G$611,5,0)</f>
        <v>3</v>
      </c>
      <c r="O629" s="10">
        <f>VLOOKUP(A629,dataset_2!$A$2:$G$611,6,0)</f>
        <v>30</v>
      </c>
      <c r="P629" s="10">
        <f>VLOOKUP(A629,dataset_2!$A$2:$G$611,7,0)</f>
        <v>33</v>
      </c>
      <c r="Q629" s="10"/>
      <c r="R629" s="10"/>
      <c r="S629" s="10"/>
      <c r="T629" s="10"/>
      <c r="U629" s="10">
        <f t="shared" si="4"/>
        <v>1</v>
      </c>
      <c r="V629" s="10"/>
      <c r="W629" s="10"/>
      <c r="X629" s="10"/>
      <c r="Y629" s="10"/>
      <c r="Z629" s="10"/>
    </row>
    <row r="630" ht="13.5" customHeight="1">
      <c r="A630" s="10">
        <f>dataset_1!A394</f>
        <v>393</v>
      </c>
      <c r="B630" s="11">
        <f>dataset_1!B394</f>
        <v>40560</v>
      </c>
      <c r="C630" s="10">
        <f>dataset_1!C394</f>
        <v>1</v>
      </c>
      <c r="D630" s="10">
        <f>dataset_1!D394</f>
        <v>0</v>
      </c>
      <c r="E630" s="10">
        <f>dataset_1!E394</f>
        <v>1</v>
      </c>
      <c r="F630" s="10">
        <f>dataset_1!F394</f>
        <v>20</v>
      </c>
      <c r="G630" s="10" t="b">
        <f>dataset_1!G394</f>
        <v>1</v>
      </c>
      <c r="H630" s="10">
        <f>dataset_1!H394</f>
        <v>1</v>
      </c>
      <c r="I630" s="10">
        <f>dataset_1!I394</f>
        <v>3</v>
      </c>
      <c r="J630" s="10">
        <f>dataset_1!J394</f>
        <v>0.16</v>
      </c>
      <c r="K630" s="10">
        <f>VLOOKUP(A630,dataset_2!$A$2:$G$611,2,0)</f>
        <v>0.1515</v>
      </c>
      <c r="L630" s="10">
        <f>VLOOKUP(A630,dataset_2!$A$2:$G$611,3,0)</f>
        <v>0.8</v>
      </c>
      <c r="M630" s="10">
        <f>VLOOKUP(A630,dataset_2!$A$2:$G$611,4,0)</f>
        <v>0.194</v>
      </c>
      <c r="N630" s="10">
        <f>VLOOKUP(A630,dataset_2!$A$2:$G$611,5,0)</f>
        <v>4</v>
      </c>
      <c r="O630" s="10">
        <f>VLOOKUP(A630,dataset_2!$A$2:$G$611,6,0)</f>
        <v>29</v>
      </c>
      <c r="P630" s="10">
        <f>VLOOKUP(A630,dataset_2!$A$2:$G$611,7,0)</f>
        <v>33</v>
      </c>
      <c r="Q630" s="10"/>
      <c r="R630" s="10"/>
      <c r="S630" s="10"/>
      <c r="T630" s="10"/>
      <c r="U630" s="10">
        <f t="shared" si="4"/>
        <v>1</v>
      </c>
      <c r="V630" s="10"/>
      <c r="W630" s="10"/>
      <c r="X630" s="10"/>
      <c r="Y630" s="10"/>
      <c r="Z630" s="10"/>
    </row>
    <row r="631" ht="13.5" customHeight="1">
      <c r="A631" s="10">
        <f>dataset_1!A408</f>
        <v>407</v>
      </c>
      <c r="B631" s="11">
        <f>dataset_1!B408</f>
        <v>40561</v>
      </c>
      <c r="C631" s="10">
        <f>dataset_1!C408</f>
        <v>1</v>
      </c>
      <c r="D631" s="10">
        <f>dataset_1!D408</f>
        <v>0</v>
      </c>
      <c r="E631" s="10">
        <f>dataset_1!E408</f>
        <v>1</v>
      </c>
      <c r="F631" s="10">
        <f>dataset_1!F408</f>
        <v>22</v>
      </c>
      <c r="G631" s="10" t="b">
        <f>dataset_1!G408</f>
        <v>0</v>
      </c>
      <c r="H631" s="10">
        <f>dataset_1!H408</f>
        <v>2</v>
      </c>
      <c r="I631" s="10">
        <f>dataset_1!I408</f>
        <v>2</v>
      </c>
      <c r="J631" s="10">
        <f>dataset_1!J408</f>
        <v>0.22</v>
      </c>
      <c r="K631" s="10">
        <f>VLOOKUP(A631,dataset_2!$A$2:$G$611,2,0)</f>
        <v>0.2576</v>
      </c>
      <c r="L631" s="10">
        <f>VLOOKUP(A631,dataset_2!$A$2:$G$611,3,0)</f>
        <v>0.93</v>
      </c>
      <c r="M631" s="10">
        <f>VLOOKUP(A631,dataset_2!$A$2:$G$611,4,0)</f>
        <v>0.0896</v>
      </c>
      <c r="N631" s="10">
        <f>VLOOKUP(A631,dataset_2!$A$2:$G$611,5,0)</f>
        <v>0</v>
      </c>
      <c r="O631" s="10">
        <f>VLOOKUP(A631,dataset_2!$A$2:$G$611,6,0)</f>
        <v>33</v>
      </c>
      <c r="P631" s="10">
        <f>VLOOKUP(A631,dataset_2!$A$2:$G$611,7,0)</f>
        <v>33</v>
      </c>
      <c r="Q631" s="10"/>
      <c r="R631" s="10"/>
      <c r="S631" s="10"/>
      <c r="T631" s="10"/>
      <c r="U631" s="10">
        <f t="shared" si="4"/>
        <v>1</v>
      </c>
      <c r="V631" s="10"/>
      <c r="W631" s="10"/>
      <c r="X631" s="10"/>
      <c r="Y631" s="10"/>
      <c r="Z631" s="10"/>
    </row>
    <row r="632" ht="13.5" customHeight="1">
      <c r="A632" s="10">
        <f>dataset_1!A503</f>
        <v>502</v>
      </c>
      <c r="B632" s="11">
        <f>dataset_1!B503</f>
        <v>40565</v>
      </c>
      <c r="C632" s="10">
        <f>dataset_1!C503</f>
        <v>1</v>
      </c>
      <c r="D632" s="10">
        <f>dataset_1!D503</f>
        <v>0</v>
      </c>
      <c r="E632" s="10">
        <f>dataset_1!E503</f>
        <v>1</v>
      </c>
      <c r="F632" s="10">
        <f>dataset_1!F503</f>
        <v>23</v>
      </c>
      <c r="G632" s="10" t="b">
        <f>dataset_1!G503</f>
        <v>0</v>
      </c>
      <c r="H632" s="10">
        <f>dataset_1!H503</f>
        <v>6</v>
      </c>
      <c r="I632" s="10">
        <f>dataset_1!I503</f>
        <v>1</v>
      </c>
      <c r="J632" s="10">
        <f>dataset_1!J503</f>
        <v>0.04</v>
      </c>
      <c r="K632" s="10">
        <f>VLOOKUP(A632,dataset_2!$A$2:$G$611,2,0)</f>
        <v>0.0758</v>
      </c>
      <c r="L632" s="10">
        <f>VLOOKUP(A632,dataset_2!$A$2:$G$611,3,0)</f>
        <v>0.57</v>
      </c>
      <c r="M632" s="10">
        <f>VLOOKUP(A632,dataset_2!$A$2:$G$611,4,0)</f>
        <v>0.1045</v>
      </c>
      <c r="N632" s="10">
        <f>VLOOKUP(A632,dataset_2!$A$2:$G$611,5,0)</f>
        <v>2</v>
      </c>
      <c r="O632" s="10">
        <f>VLOOKUP(A632,dataset_2!$A$2:$G$611,6,0)</f>
        <v>31</v>
      </c>
      <c r="P632" s="10">
        <f>VLOOKUP(A632,dataset_2!$A$2:$G$611,7,0)</f>
        <v>33</v>
      </c>
      <c r="Q632" s="10"/>
      <c r="R632" s="10"/>
      <c r="S632" s="10"/>
      <c r="T632" s="10"/>
      <c r="U632" s="10">
        <f t="shared" si="4"/>
        <v>1</v>
      </c>
      <c r="V632" s="10"/>
      <c r="W632" s="10"/>
      <c r="X632" s="10"/>
      <c r="Y632" s="10"/>
      <c r="Z632" s="10"/>
    </row>
    <row r="633" ht="13.5" customHeight="1">
      <c r="A633" s="3">
        <v>641.0</v>
      </c>
      <c r="B633" s="12">
        <v>40572.0</v>
      </c>
      <c r="C633" s="3">
        <v>1.0</v>
      </c>
      <c r="D633" s="3">
        <v>0.0</v>
      </c>
      <c r="E633" s="3">
        <v>1.0</v>
      </c>
      <c r="F633" s="3">
        <v>23.0</v>
      </c>
      <c r="G633" s="3" t="b">
        <f t="shared" ref="G633:G635" si="70">FALSE()</f>
        <v>0</v>
      </c>
      <c r="H633" s="3">
        <v>6.0</v>
      </c>
      <c r="I633" s="3">
        <v>1.0</v>
      </c>
      <c r="J633" s="3">
        <v>0.16</v>
      </c>
      <c r="K633" s="3">
        <v>0.197</v>
      </c>
      <c r="L633" s="3">
        <v>0.8</v>
      </c>
      <c r="M633" s="3">
        <v>0.0896</v>
      </c>
      <c r="N633" s="3">
        <v>3.0</v>
      </c>
      <c r="O633" s="3">
        <v>30.0</v>
      </c>
      <c r="P633" s="3">
        <v>33.0</v>
      </c>
      <c r="Q633" s="10"/>
      <c r="R633" s="10"/>
      <c r="S633" s="10"/>
      <c r="T633" s="10"/>
      <c r="U633" s="10">
        <f t="shared" si="4"/>
        <v>1</v>
      </c>
      <c r="V633" s="10"/>
      <c r="W633" s="10"/>
      <c r="X633" s="10"/>
      <c r="Y633" s="10"/>
      <c r="Z633" s="10"/>
    </row>
    <row r="634" ht="13.5" customHeight="1">
      <c r="A634" s="3">
        <v>642.0</v>
      </c>
      <c r="B634" s="12">
        <v>40573.0</v>
      </c>
      <c r="C634" s="3">
        <v>1.0</v>
      </c>
      <c r="D634" s="3">
        <v>0.0</v>
      </c>
      <c r="E634" s="3">
        <v>1.0</v>
      </c>
      <c r="F634" s="3">
        <v>0.0</v>
      </c>
      <c r="G634" s="3" t="b">
        <f t="shared" si="70"/>
        <v>0</v>
      </c>
      <c r="H634" s="3">
        <v>0.0</v>
      </c>
      <c r="I634" s="3">
        <v>1.0</v>
      </c>
      <c r="J634" s="3">
        <v>0.16</v>
      </c>
      <c r="K634" s="3">
        <v>0.1818</v>
      </c>
      <c r="L634" s="3">
        <v>0.8</v>
      </c>
      <c r="M634" s="3">
        <v>0.1045</v>
      </c>
      <c r="N634" s="3">
        <v>0.0</v>
      </c>
      <c r="O634" s="3">
        <v>33.0</v>
      </c>
      <c r="P634" s="3">
        <v>33.0</v>
      </c>
      <c r="Q634" s="10"/>
      <c r="R634" s="10"/>
      <c r="S634" s="10"/>
      <c r="T634" s="10"/>
      <c r="U634" s="10">
        <f t="shared" si="4"/>
        <v>1</v>
      </c>
      <c r="V634" s="10"/>
      <c r="W634" s="10"/>
      <c r="X634" s="10"/>
      <c r="Y634" s="10"/>
      <c r="Z634" s="10"/>
    </row>
    <row r="635" ht="13.5" customHeight="1">
      <c r="A635" s="3">
        <v>661.0</v>
      </c>
      <c r="B635" s="12">
        <v>40573.0</v>
      </c>
      <c r="C635" s="3">
        <v>1.0</v>
      </c>
      <c r="D635" s="3">
        <v>0.0</v>
      </c>
      <c r="E635" s="3">
        <v>1.0</v>
      </c>
      <c r="F635" s="3">
        <v>20.0</v>
      </c>
      <c r="G635" s="3" t="b">
        <f t="shared" si="70"/>
        <v>0</v>
      </c>
      <c r="H635" s="3">
        <v>0.0</v>
      </c>
      <c r="I635" s="3">
        <v>2.0</v>
      </c>
      <c r="J635" s="3">
        <v>0.26</v>
      </c>
      <c r="K635" s="3">
        <v>0.2727</v>
      </c>
      <c r="L635" s="3">
        <v>0.65</v>
      </c>
      <c r="M635" s="3">
        <v>0.1045</v>
      </c>
      <c r="N635" s="3">
        <v>3.0</v>
      </c>
      <c r="O635" s="3">
        <v>30.0</v>
      </c>
      <c r="P635" s="3">
        <v>33.0</v>
      </c>
      <c r="Q635" s="10"/>
      <c r="R635" s="10"/>
      <c r="S635" s="10"/>
      <c r="T635" s="10"/>
      <c r="U635" s="10">
        <f t="shared" si="4"/>
        <v>1</v>
      </c>
      <c r="V635" s="10"/>
      <c r="W635" s="10"/>
      <c r="X635" s="10"/>
      <c r="Y635" s="10"/>
      <c r="Z635" s="10"/>
    </row>
    <row r="636" ht="13.5" customHeight="1">
      <c r="A636" s="10">
        <f>dataset_1!A4</f>
        <v>3</v>
      </c>
      <c r="B636" s="11">
        <f>dataset_1!B4</f>
        <v>40544</v>
      </c>
      <c r="C636" s="10">
        <f>dataset_1!C4</f>
        <v>1</v>
      </c>
      <c r="D636" s="10">
        <f>dataset_1!D4</f>
        <v>0</v>
      </c>
      <c r="E636" s="10">
        <f>dataset_1!E4</f>
        <v>1</v>
      </c>
      <c r="F636" s="10">
        <f>dataset_1!F4</f>
        <v>2</v>
      </c>
      <c r="G636" s="10" t="b">
        <f>dataset_1!G4</f>
        <v>0</v>
      </c>
      <c r="H636" s="10">
        <f>dataset_1!H4</f>
        <v>6</v>
      </c>
      <c r="I636" s="10">
        <f>dataset_1!I4</f>
        <v>1</v>
      </c>
      <c r="J636" s="10">
        <f>dataset_1!J4</f>
        <v>0.22</v>
      </c>
      <c r="K636" s="10">
        <f>VLOOKUP(A636,dataset_2!$A$2:$G$611,2,0)</f>
        <v>0.2727</v>
      </c>
      <c r="L636" s="10">
        <f>VLOOKUP(A636,dataset_2!$A$2:$G$611,3,0)</f>
        <v>0.8</v>
      </c>
      <c r="M636" s="10">
        <f>VLOOKUP(A636,dataset_2!$A$2:$G$611,4,0)</f>
        <v>0</v>
      </c>
      <c r="N636" s="10">
        <f>VLOOKUP(A636,dataset_2!$A$2:$G$611,5,0)</f>
        <v>5</v>
      </c>
      <c r="O636" s="10">
        <f>VLOOKUP(A636,dataset_2!$A$2:$G$611,6,0)</f>
        <v>27</v>
      </c>
      <c r="P636" s="10">
        <f>VLOOKUP(A636,dataset_2!$A$2:$G$611,7,0)</f>
        <v>32</v>
      </c>
      <c r="Q636" s="10"/>
      <c r="R636" s="10"/>
      <c r="S636" s="10"/>
      <c r="T636" s="10"/>
      <c r="U636" s="10">
        <f t="shared" si="4"/>
        <v>1</v>
      </c>
      <c r="V636" s="10"/>
      <c r="W636" s="10"/>
      <c r="X636" s="10"/>
      <c r="Y636" s="10"/>
      <c r="Z636" s="10"/>
    </row>
    <row r="637" ht="13.5" customHeight="1">
      <c r="A637" s="10">
        <f>dataset_1!A253</f>
        <v>252</v>
      </c>
      <c r="B637" s="11">
        <f>dataset_1!B253</f>
        <v>40554</v>
      </c>
      <c r="C637" s="10">
        <f>dataset_1!C253</f>
        <v>1</v>
      </c>
      <c r="D637" s="10">
        <f>dataset_1!D253</f>
        <v>0</v>
      </c>
      <c r="E637" s="10">
        <f>dataset_1!E253</f>
        <v>1</v>
      </c>
      <c r="F637" s="10">
        <f>dataset_1!F253</f>
        <v>20</v>
      </c>
      <c r="G637" s="10" t="b">
        <f>dataset_1!G253</f>
        <v>0</v>
      </c>
      <c r="H637" s="10">
        <f>dataset_1!H253</f>
        <v>2</v>
      </c>
      <c r="I637" s="10">
        <f>dataset_1!I253</f>
        <v>3</v>
      </c>
      <c r="J637" s="10">
        <f>dataset_1!J253</f>
        <v>0.16</v>
      </c>
      <c r="K637" s="10">
        <f>VLOOKUP(A637,dataset_2!$A$2:$G$611,2,0)</f>
        <v>0.1515</v>
      </c>
      <c r="L637" s="10">
        <f>VLOOKUP(A637,dataset_2!$A$2:$G$611,3,0)</f>
        <v>0.93</v>
      </c>
      <c r="M637" s="10">
        <f>VLOOKUP(A637,dataset_2!$A$2:$G$611,4,0)</f>
        <v>0.194</v>
      </c>
      <c r="N637" s="10">
        <f>VLOOKUP(A637,dataset_2!$A$2:$G$611,5,0)</f>
        <v>0</v>
      </c>
      <c r="O637" s="10">
        <f>VLOOKUP(A637,dataset_2!$A$2:$G$611,6,0)</f>
        <v>32</v>
      </c>
      <c r="P637" s="10">
        <f>VLOOKUP(A637,dataset_2!$A$2:$G$611,7,0)</f>
        <v>32</v>
      </c>
      <c r="Q637" s="10"/>
      <c r="R637" s="10"/>
      <c r="S637" s="10"/>
      <c r="T637" s="10"/>
      <c r="U637" s="10">
        <f t="shared" si="4"/>
        <v>1</v>
      </c>
      <c r="V637" s="10"/>
      <c r="W637" s="10"/>
      <c r="X637" s="10"/>
      <c r="Y637" s="10"/>
      <c r="Z637" s="10"/>
    </row>
    <row r="638" ht="13.5" customHeight="1">
      <c r="A638" s="10">
        <f>dataset_1!A359</f>
        <v>358</v>
      </c>
      <c r="B638" s="11">
        <f>dataset_1!B359</f>
        <v>40559</v>
      </c>
      <c r="C638" s="10">
        <f>dataset_1!C359</f>
        <v>1</v>
      </c>
      <c r="D638" s="10">
        <f>dataset_1!D359</f>
        <v>0</v>
      </c>
      <c r="E638" s="10">
        <f>dataset_1!E359</f>
        <v>1</v>
      </c>
      <c r="F638" s="10">
        <f>dataset_1!F359</f>
        <v>9</v>
      </c>
      <c r="G638" s="10" t="b">
        <f>dataset_1!G359</f>
        <v>0</v>
      </c>
      <c r="H638" s="10">
        <f>dataset_1!H359</f>
        <v>0</v>
      </c>
      <c r="I638" s="10">
        <f>dataset_1!I359</f>
        <v>1</v>
      </c>
      <c r="J638" s="10">
        <f>dataset_1!J359</f>
        <v>0.22</v>
      </c>
      <c r="K638" s="10">
        <f>VLOOKUP(A638,dataset_2!$A$2:$G$611,2,0)</f>
        <v>0.2121</v>
      </c>
      <c r="L638" s="10">
        <f>VLOOKUP(A638,dataset_2!$A$2:$G$611,3,0)</f>
        <v>0.51</v>
      </c>
      <c r="M638" s="10">
        <f>VLOOKUP(A638,dataset_2!$A$2:$G$611,4,0)</f>
        <v>0.2537</v>
      </c>
      <c r="N638" s="10">
        <f>VLOOKUP(A638,dataset_2!$A$2:$G$611,5,0)</f>
        <v>3</v>
      </c>
      <c r="O638" s="10">
        <f>VLOOKUP(A638,dataset_2!$A$2:$G$611,6,0)</f>
        <v>29</v>
      </c>
      <c r="P638" s="10">
        <f>VLOOKUP(A638,dataset_2!$A$2:$G$611,7,0)</f>
        <v>32</v>
      </c>
      <c r="Q638" s="10"/>
      <c r="R638" s="10"/>
      <c r="S638" s="10"/>
      <c r="T638" s="10"/>
      <c r="U638" s="10">
        <f t="shared" si="4"/>
        <v>1</v>
      </c>
      <c r="V638" s="10"/>
      <c r="W638" s="10"/>
      <c r="X638" s="10"/>
      <c r="Y638" s="10"/>
      <c r="Z638" s="10"/>
    </row>
    <row r="639" ht="13.5" customHeight="1">
      <c r="A639" s="10">
        <f>dataset_1!A415</f>
        <v>414</v>
      </c>
      <c r="B639" s="11">
        <f>dataset_1!B415</f>
        <v>40562</v>
      </c>
      <c r="C639" s="10">
        <f>dataset_1!C415</f>
        <v>1</v>
      </c>
      <c r="D639" s="10">
        <f>dataset_1!D415</f>
        <v>0</v>
      </c>
      <c r="E639" s="10">
        <f>dataset_1!E415</f>
        <v>1</v>
      </c>
      <c r="F639" s="10">
        <f>dataset_1!F415</f>
        <v>6</v>
      </c>
      <c r="G639" s="10" t="b">
        <f>dataset_1!G415</f>
        <v>0</v>
      </c>
      <c r="H639" s="10">
        <f>dataset_1!H415</f>
        <v>3</v>
      </c>
      <c r="I639" s="10">
        <f>dataset_1!I415</f>
        <v>2</v>
      </c>
      <c r="J639" s="10">
        <f>dataset_1!J415</f>
        <v>0.22</v>
      </c>
      <c r="K639" s="10">
        <f>VLOOKUP(A639,dataset_2!$A$2:$G$611,2,0)</f>
        <v>0.2576</v>
      </c>
      <c r="L639" s="10">
        <f>VLOOKUP(A639,dataset_2!$A$2:$G$611,3,0)</f>
        <v>0.93</v>
      </c>
      <c r="M639" s="10">
        <f>VLOOKUP(A639,dataset_2!$A$2:$G$611,4,0)</f>
        <v>0.0896</v>
      </c>
      <c r="N639" s="10">
        <f>VLOOKUP(A639,dataset_2!$A$2:$G$611,5,0)</f>
        <v>0</v>
      </c>
      <c r="O639" s="10">
        <f>VLOOKUP(A639,dataset_2!$A$2:$G$611,6,0)</f>
        <v>32</v>
      </c>
      <c r="P639" s="10">
        <f>VLOOKUP(A639,dataset_2!$A$2:$G$611,7,0)</f>
        <v>32</v>
      </c>
      <c r="Q639" s="10"/>
      <c r="R639" s="10"/>
      <c r="S639" s="10"/>
      <c r="T639" s="10"/>
      <c r="U639" s="10">
        <f t="shared" si="4"/>
        <v>1</v>
      </c>
      <c r="V639" s="10"/>
      <c r="W639" s="10"/>
      <c r="X639" s="10"/>
      <c r="Y639" s="10"/>
      <c r="Z639" s="10"/>
    </row>
    <row r="640" ht="13.5" customHeight="1">
      <c r="A640" s="3">
        <v>640.0</v>
      </c>
      <c r="B640" s="12">
        <v>40572.0</v>
      </c>
      <c r="C640" s="3">
        <v>1.0</v>
      </c>
      <c r="D640" s="3">
        <v>0.0</v>
      </c>
      <c r="E640" s="3">
        <v>1.0</v>
      </c>
      <c r="F640" s="3">
        <v>22.0</v>
      </c>
      <c r="G640" s="3" t="b">
        <f t="shared" ref="G640:G642" si="71">FALSE()</f>
        <v>0</v>
      </c>
      <c r="H640" s="3">
        <v>6.0</v>
      </c>
      <c r="I640" s="3">
        <v>1.0</v>
      </c>
      <c r="J640" s="3">
        <v>0.16</v>
      </c>
      <c r="K640" s="3">
        <v>0.197</v>
      </c>
      <c r="L640" s="3">
        <v>0.8</v>
      </c>
      <c r="M640" s="3">
        <v>0.0896</v>
      </c>
      <c r="N640" s="3">
        <v>4.0</v>
      </c>
      <c r="O640" s="3">
        <v>28.0</v>
      </c>
      <c r="P640" s="3">
        <v>32.0</v>
      </c>
      <c r="Q640" s="10"/>
      <c r="R640" s="10"/>
      <c r="S640" s="10"/>
      <c r="T640" s="10"/>
      <c r="U640" s="10">
        <f t="shared" si="4"/>
        <v>1</v>
      </c>
      <c r="V640" s="10"/>
      <c r="W640" s="10"/>
      <c r="X640" s="10"/>
      <c r="Y640" s="10"/>
      <c r="Z640" s="10"/>
    </row>
    <row r="641" ht="13.5" customHeight="1">
      <c r="A641" s="3">
        <v>735.0</v>
      </c>
      <c r="B641" s="12">
        <v>40576.0</v>
      </c>
      <c r="C641" s="3">
        <v>1.0</v>
      </c>
      <c r="D641" s="3">
        <v>0.0</v>
      </c>
      <c r="E641" s="3">
        <v>2.0</v>
      </c>
      <c r="F641" s="3">
        <v>23.0</v>
      </c>
      <c r="G641" s="3" t="b">
        <f t="shared" si="71"/>
        <v>0</v>
      </c>
      <c r="H641" s="3">
        <v>3.0</v>
      </c>
      <c r="I641" s="3">
        <v>1.0</v>
      </c>
      <c r="J641" s="3">
        <v>0.2</v>
      </c>
      <c r="K641" s="3">
        <v>0.1667</v>
      </c>
      <c r="L641" s="3">
        <v>0.44</v>
      </c>
      <c r="M641" s="3">
        <v>0.4478</v>
      </c>
      <c r="N641" s="3">
        <v>3.0</v>
      </c>
      <c r="O641" s="3">
        <v>29.0</v>
      </c>
      <c r="P641" s="3">
        <v>32.0</v>
      </c>
      <c r="Q641" s="10"/>
      <c r="R641" s="10"/>
      <c r="S641" s="10"/>
      <c r="T641" s="10"/>
      <c r="U641" s="10">
        <f t="shared" si="4"/>
        <v>1</v>
      </c>
      <c r="V641" s="10"/>
      <c r="W641" s="10"/>
      <c r="X641" s="10"/>
      <c r="Y641" s="10"/>
      <c r="Z641" s="10"/>
    </row>
    <row r="642" ht="13.5" customHeight="1">
      <c r="A642" s="3">
        <v>969.0</v>
      </c>
      <c r="B642" s="12">
        <v>40586.0</v>
      </c>
      <c r="C642" s="3">
        <v>1.0</v>
      </c>
      <c r="D642" s="3">
        <v>0.0</v>
      </c>
      <c r="E642" s="3">
        <v>2.0</v>
      </c>
      <c r="F642" s="3">
        <v>23.0</v>
      </c>
      <c r="G642" s="3" t="b">
        <f t="shared" si="71"/>
        <v>0</v>
      </c>
      <c r="H642" s="3">
        <v>6.0</v>
      </c>
      <c r="I642" s="3">
        <v>1.0</v>
      </c>
      <c r="J642" s="3">
        <v>0.22</v>
      </c>
      <c r="K642" s="3">
        <v>0.2273</v>
      </c>
      <c r="L642" s="3">
        <v>0.51</v>
      </c>
      <c r="M642" s="3">
        <v>0.1343</v>
      </c>
      <c r="N642" s="3">
        <v>1.0</v>
      </c>
      <c r="O642" s="3">
        <v>31.0</v>
      </c>
      <c r="P642" s="3">
        <v>32.0</v>
      </c>
      <c r="Q642" s="10"/>
      <c r="R642" s="10"/>
      <c r="S642" s="10"/>
      <c r="T642" s="10"/>
      <c r="U642" s="10">
        <f t="shared" si="4"/>
        <v>1</v>
      </c>
      <c r="V642" s="10"/>
      <c r="W642" s="10"/>
      <c r="X642" s="10"/>
      <c r="Y642" s="10"/>
      <c r="Z642" s="10"/>
    </row>
    <row r="643" ht="13.5" customHeight="1">
      <c r="A643" s="10">
        <f>dataset_1!A46</f>
        <v>45</v>
      </c>
      <c r="B643" s="11">
        <f>dataset_1!B46</f>
        <v>40545</v>
      </c>
      <c r="C643" s="10">
        <f>dataset_1!C46</f>
        <v>1</v>
      </c>
      <c r="D643" s="10">
        <f>dataset_1!D46</f>
        <v>0</v>
      </c>
      <c r="E643" s="10">
        <f>dataset_1!E46</f>
        <v>1</v>
      </c>
      <c r="F643" s="10">
        <f>dataset_1!F46</f>
        <v>21</v>
      </c>
      <c r="G643" s="10" t="b">
        <f>dataset_1!G46</f>
        <v>0</v>
      </c>
      <c r="H643" s="10">
        <f>dataset_1!H46</f>
        <v>0</v>
      </c>
      <c r="I643" s="10">
        <f>dataset_1!I46</f>
        <v>1</v>
      </c>
      <c r="J643" s="10">
        <f>dataset_1!J46</f>
        <v>0.26</v>
      </c>
      <c r="K643" s="10">
        <f>VLOOKUP(A643,dataset_2!$A$2:$G$611,2,0)</f>
        <v>0.2273</v>
      </c>
      <c r="L643" s="10">
        <f>VLOOKUP(A643,dataset_2!$A$2:$G$611,3,0)</f>
        <v>0.44</v>
      </c>
      <c r="M643" s="10">
        <f>VLOOKUP(A643,dataset_2!$A$2:$G$611,4,0)</f>
        <v>0.3284</v>
      </c>
      <c r="N643" s="10">
        <f>VLOOKUP(A643,dataset_2!$A$2:$G$611,5,0)</f>
        <v>11</v>
      </c>
      <c r="O643" s="10">
        <f>VLOOKUP(A643,dataset_2!$A$2:$G$611,6,0)</f>
        <v>20</v>
      </c>
      <c r="P643" s="10">
        <f>VLOOKUP(A643,dataset_2!$A$2:$G$611,7,0)</f>
        <v>31</v>
      </c>
      <c r="Q643" s="10"/>
      <c r="R643" s="10"/>
      <c r="S643" s="10"/>
      <c r="T643" s="10"/>
      <c r="U643" s="10">
        <f t="shared" si="4"/>
        <v>1</v>
      </c>
      <c r="V643" s="10"/>
      <c r="W643" s="10"/>
      <c r="X643" s="10"/>
      <c r="Y643" s="10"/>
      <c r="Z643" s="10"/>
    </row>
    <row r="644" ht="13.5" customHeight="1">
      <c r="A644" s="10">
        <f>dataset_1!A217</f>
        <v>216</v>
      </c>
      <c r="B644" s="11">
        <f>dataset_1!B217</f>
        <v>40553</v>
      </c>
      <c r="C644" s="10">
        <f>dataset_1!C217</f>
        <v>1</v>
      </c>
      <c r="D644" s="10">
        <f>dataset_1!D217</f>
        <v>0</v>
      </c>
      <c r="E644" s="10">
        <f>dataset_1!E217</f>
        <v>1</v>
      </c>
      <c r="F644" s="10">
        <f>dataset_1!F217</f>
        <v>6</v>
      </c>
      <c r="G644" s="10" t="b">
        <f>dataset_1!G217</f>
        <v>0</v>
      </c>
      <c r="H644" s="10">
        <f>dataset_1!H217</f>
        <v>1</v>
      </c>
      <c r="I644" s="10">
        <f>dataset_1!I217</f>
        <v>1</v>
      </c>
      <c r="J644" s="10">
        <f>dataset_1!J217</f>
        <v>0.12</v>
      </c>
      <c r="K644" s="10">
        <f>VLOOKUP(A644,dataset_2!$A$2:$G$611,2,0)</f>
        <v>0.1212</v>
      </c>
      <c r="L644" s="10">
        <f>VLOOKUP(A644,dataset_2!$A$2:$G$611,3,0)</f>
        <v>0.5</v>
      </c>
      <c r="M644" s="10">
        <f>VLOOKUP(A644,dataset_2!$A$2:$G$611,4,0)</f>
        <v>0.2836</v>
      </c>
      <c r="N644" s="10">
        <f>VLOOKUP(A644,dataset_2!$A$2:$G$611,5,0)</f>
        <v>0</v>
      </c>
      <c r="O644" s="10">
        <f>VLOOKUP(A644,dataset_2!$A$2:$G$611,6,0)</f>
        <v>31</v>
      </c>
      <c r="P644" s="10">
        <f>VLOOKUP(A644,dataset_2!$A$2:$G$611,7,0)</f>
        <v>31</v>
      </c>
      <c r="Q644" s="10"/>
      <c r="R644" s="10"/>
      <c r="S644" s="10"/>
      <c r="T644" s="10"/>
      <c r="U644" s="10">
        <f t="shared" si="4"/>
        <v>1</v>
      </c>
      <c r="V644" s="10"/>
      <c r="W644" s="10"/>
      <c r="X644" s="10"/>
      <c r="Y644" s="10"/>
      <c r="Z644" s="10"/>
    </row>
    <row r="645" ht="13.5" customHeight="1">
      <c r="A645" s="10">
        <f>dataset_1!A221</f>
        <v>220</v>
      </c>
      <c r="B645" s="11">
        <f>dataset_1!B221</f>
        <v>40553</v>
      </c>
      <c r="C645" s="10">
        <f>dataset_1!C221</f>
        <v>1</v>
      </c>
      <c r="D645" s="10">
        <f>dataset_1!D221</f>
        <v>0</v>
      </c>
      <c r="E645" s="10">
        <f>dataset_1!E221</f>
        <v>1</v>
      </c>
      <c r="F645" s="10">
        <f>dataset_1!F221</f>
        <v>10</v>
      </c>
      <c r="G645" s="10" t="b">
        <f>dataset_1!G221</f>
        <v>0</v>
      </c>
      <c r="H645" s="10">
        <f>dataset_1!H221</f>
        <v>1</v>
      </c>
      <c r="I645" s="10">
        <f>dataset_1!I221</f>
        <v>2</v>
      </c>
      <c r="J645" s="10">
        <f>dataset_1!J221</f>
        <v>0.14</v>
      </c>
      <c r="K645" s="10">
        <f>VLOOKUP(A645,dataset_2!$A$2:$G$611,2,0)</f>
        <v>0.1212</v>
      </c>
      <c r="L645" s="10">
        <f>VLOOKUP(A645,dataset_2!$A$2:$G$611,3,0)</f>
        <v>0.5</v>
      </c>
      <c r="M645" s="10">
        <f>VLOOKUP(A645,dataset_2!$A$2:$G$611,4,0)</f>
        <v>0.2985</v>
      </c>
      <c r="N645" s="10">
        <f>VLOOKUP(A645,dataset_2!$A$2:$G$611,5,0)</f>
        <v>0</v>
      </c>
      <c r="O645" s="10">
        <f>VLOOKUP(A645,dataset_2!$A$2:$G$611,6,0)</f>
        <v>31</v>
      </c>
      <c r="P645" s="10">
        <f>VLOOKUP(A645,dataset_2!$A$2:$G$611,7,0)</f>
        <v>31</v>
      </c>
      <c r="Q645" s="10"/>
      <c r="R645" s="10"/>
      <c r="S645" s="10"/>
      <c r="T645" s="10"/>
      <c r="U645" s="10">
        <f t="shared" si="4"/>
        <v>1</v>
      </c>
      <c r="V645" s="10"/>
      <c r="W645" s="10"/>
      <c r="X645" s="10"/>
      <c r="Y645" s="10"/>
      <c r="Z645" s="10"/>
    </row>
    <row r="646" ht="13.5" customHeight="1">
      <c r="A646" s="10">
        <f>dataset_1!A456</f>
        <v>455</v>
      </c>
      <c r="B646" s="11">
        <f>dataset_1!B456</f>
        <v>40563</v>
      </c>
      <c r="C646" s="10">
        <f>dataset_1!C456</f>
        <v>1</v>
      </c>
      <c r="D646" s="10">
        <f>dataset_1!D456</f>
        <v>0</v>
      </c>
      <c r="E646" s="10">
        <f>dataset_1!E456</f>
        <v>1</v>
      </c>
      <c r="F646" s="10">
        <f>dataset_1!F456</f>
        <v>23</v>
      </c>
      <c r="G646" s="10" t="b">
        <f>dataset_1!G456</f>
        <v>0</v>
      </c>
      <c r="H646" s="10">
        <f>dataset_1!H456</f>
        <v>4</v>
      </c>
      <c r="I646" s="10">
        <f>dataset_1!I456</f>
        <v>2</v>
      </c>
      <c r="J646" s="10">
        <f>dataset_1!J456</f>
        <v>0.24</v>
      </c>
      <c r="K646" s="10">
        <f>VLOOKUP(A646,dataset_2!$A$2:$G$611,2,0)</f>
        <v>0.2121</v>
      </c>
      <c r="L646" s="10">
        <f>VLOOKUP(A646,dataset_2!$A$2:$G$611,3,0)</f>
        <v>0.65</v>
      </c>
      <c r="M646" s="10">
        <f>VLOOKUP(A646,dataset_2!$A$2:$G$611,4,0)</f>
        <v>0.3284</v>
      </c>
      <c r="N646" s="10">
        <f>VLOOKUP(A646,dataset_2!$A$2:$G$611,5,0)</f>
        <v>3</v>
      </c>
      <c r="O646" s="10">
        <f>VLOOKUP(A646,dataset_2!$A$2:$G$611,6,0)</f>
        <v>28</v>
      </c>
      <c r="P646" s="10">
        <f>VLOOKUP(A646,dataset_2!$A$2:$G$611,7,0)</f>
        <v>31</v>
      </c>
      <c r="Q646" s="10"/>
      <c r="R646" s="10"/>
      <c r="S646" s="10"/>
      <c r="T646" s="10"/>
      <c r="U646" s="10">
        <f t="shared" si="4"/>
        <v>1</v>
      </c>
      <c r="V646" s="10"/>
      <c r="W646" s="10"/>
      <c r="X646" s="10"/>
      <c r="Y646" s="10"/>
      <c r="Z646" s="10"/>
    </row>
    <row r="647" ht="13.5" customHeight="1">
      <c r="A647" s="10">
        <f>dataset_1!A609</f>
        <v>608</v>
      </c>
      <c r="B647" s="11">
        <f>dataset_1!B609</f>
        <v>40571</v>
      </c>
      <c r="C647" s="10">
        <f>dataset_1!C609</f>
        <v>1</v>
      </c>
      <c r="D647" s="10">
        <f>dataset_1!D609</f>
        <v>0</v>
      </c>
      <c r="E647" s="10">
        <f>dataset_1!E609</f>
        <v>1</v>
      </c>
      <c r="F647" s="10">
        <f>dataset_1!F609</f>
        <v>13</v>
      </c>
      <c r="G647" s="10" t="b">
        <f>dataset_1!G609</f>
        <v>0</v>
      </c>
      <c r="H647" s="10">
        <f>dataset_1!H609</f>
        <v>5</v>
      </c>
      <c r="I647" s="10">
        <f>dataset_1!I609</f>
        <v>3</v>
      </c>
      <c r="J647" s="10">
        <f>dataset_1!J609</f>
        <v>0.18</v>
      </c>
      <c r="K647" s="10">
        <f>VLOOKUP(A647,dataset_2!$A$2:$G$611,2,0)</f>
        <v>0.2121</v>
      </c>
      <c r="L647" s="10">
        <f>VLOOKUP(A647,dataset_2!$A$2:$G$611,3,0)</f>
        <v>0.93</v>
      </c>
      <c r="M647" s="10">
        <f>VLOOKUP(A647,dataset_2!$A$2:$G$611,4,0)</f>
        <v>0.1045</v>
      </c>
      <c r="N647" s="10">
        <f>VLOOKUP(A647,dataset_2!$A$2:$G$611,5,0)</f>
        <v>0</v>
      </c>
      <c r="O647" s="10">
        <f>VLOOKUP(A647,dataset_2!$A$2:$G$611,6,0)</f>
        <v>31</v>
      </c>
      <c r="P647" s="10">
        <f>VLOOKUP(A647,dataset_2!$A$2:$G$611,7,0)</f>
        <v>31</v>
      </c>
      <c r="Q647" s="10"/>
      <c r="R647" s="10"/>
      <c r="S647" s="10"/>
      <c r="T647" s="10"/>
      <c r="U647" s="10">
        <f t="shared" si="4"/>
        <v>1</v>
      </c>
      <c r="V647" s="10"/>
      <c r="W647" s="10"/>
      <c r="X647" s="10"/>
      <c r="Y647" s="10"/>
      <c r="Z647" s="10"/>
    </row>
    <row r="648" ht="13.5" customHeight="1">
      <c r="A648" s="3">
        <v>781.0</v>
      </c>
      <c r="B648" s="12">
        <v>40578.0</v>
      </c>
      <c r="C648" s="3">
        <v>1.0</v>
      </c>
      <c r="D648" s="3">
        <v>0.0</v>
      </c>
      <c r="E648" s="3">
        <v>2.0</v>
      </c>
      <c r="F648" s="3">
        <v>23.0</v>
      </c>
      <c r="G648" s="3" t="b">
        <f>FALSE()</f>
        <v>0</v>
      </c>
      <c r="H648" s="3">
        <v>5.0</v>
      </c>
      <c r="I648" s="3">
        <v>2.0</v>
      </c>
      <c r="J648" s="3">
        <v>0.24</v>
      </c>
      <c r="K648" s="3">
        <v>0.2424</v>
      </c>
      <c r="L648" s="3">
        <v>0.7</v>
      </c>
      <c r="M648" s="3">
        <v>0.1343</v>
      </c>
      <c r="N648" s="3">
        <v>1.0</v>
      </c>
      <c r="O648" s="3">
        <v>30.0</v>
      </c>
      <c r="P648" s="3">
        <v>31.0</v>
      </c>
      <c r="Q648" s="10"/>
      <c r="R648" s="10"/>
      <c r="S648" s="10"/>
      <c r="T648" s="10"/>
      <c r="U648" s="10">
        <f t="shared" si="4"/>
        <v>1</v>
      </c>
      <c r="V648" s="10"/>
      <c r="W648" s="10"/>
      <c r="X648" s="10"/>
      <c r="Y648" s="10"/>
      <c r="Z648" s="10"/>
    </row>
    <row r="649" ht="13.5" customHeight="1">
      <c r="A649" s="10">
        <f>dataset_1!A44</f>
        <v>43</v>
      </c>
      <c r="B649" s="11">
        <f>dataset_1!B44</f>
        <v>40545</v>
      </c>
      <c r="C649" s="10">
        <f>dataset_1!C44</f>
        <v>1</v>
      </c>
      <c r="D649" s="10">
        <f>dataset_1!D44</f>
        <v>0</v>
      </c>
      <c r="E649" s="10">
        <f>dataset_1!E44</f>
        <v>1</v>
      </c>
      <c r="F649" s="10">
        <f>dataset_1!F44</f>
        <v>19</v>
      </c>
      <c r="G649" s="10" t="b">
        <f>dataset_1!G44</f>
        <v>0</v>
      </c>
      <c r="H649" s="10">
        <f>dataset_1!H44</f>
        <v>0</v>
      </c>
      <c r="I649" s="10">
        <f>dataset_1!I44</f>
        <v>1</v>
      </c>
      <c r="J649" s="10">
        <f>dataset_1!J44</f>
        <v>0.32</v>
      </c>
      <c r="K649" s="10">
        <f>VLOOKUP(A649,dataset_2!$A$2:$G$611,2,0)</f>
        <v>0.2879</v>
      </c>
      <c r="L649" s="10">
        <f>VLOOKUP(A649,dataset_2!$A$2:$G$611,3,0)</f>
        <v>0.42</v>
      </c>
      <c r="M649" s="10">
        <f>VLOOKUP(A649,dataset_2!$A$2:$G$611,4,0)</f>
        <v>0.4478</v>
      </c>
      <c r="N649" s="10">
        <f>VLOOKUP(A649,dataset_2!$A$2:$G$611,5,0)</f>
        <v>1</v>
      </c>
      <c r="O649" s="10">
        <f>VLOOKUP(A649,dataset_2!$A$2:$G$611,6,0)</f>
        <v>29</v>
      </c>
      <c r="P649" s="10">
        <f>VLOOKUP(A649,dataset_2!$A$2:$G$611,7,0)</f>
        <v>30</v>
      </c>
      <c r="Q649" s="10"/>
      <c r="R649" s="10"/>
      <c r="S649" s="10"/>
      <c r="T649" s="10"/>
      <c r="U649" s="10">
        <f t="shared" si="4"/>
        <v>1</v>
      </c>
      <c r="V649" s="10"/>
      <c r="W649" s="10"/>
      <c r="X649" s="10"/>
      <c r="Y649" s="10"/>
      <c r="Z649" s="10"/>
    </row>
    <row r="650" ht="13.5" customHeight="1">
      <c r="A650" s="10">
        <f>dataset_1!A53</f>
        <v>52</v>
      </c>
      <c r="B650" s="11">
        <f>dataset_1!B53</f>
        <v>40546</v>
      </c>
      <c r="C650" s="10">
        <f>dataset_1!C53</f>
        <v>1</v>
      </c>
      <c r="D650" s="10">
        <f>dataset_1!D53</f>
        <v>0</v>
      </c>
      <c r="E650" s="10">
        <f>dataset_1!E53</f>
        <v>1</v>
      </c>
      <c r="F650" s="10">
        <f>dataset_1!F53</f>
        <v>6</v>
      </c>
      <c r="G650" s="10" t="b">
        <f>dataset_1!G53</f>
        <v>0</v>
      </c>
      <c r="H650" s="10">
        <f>dataset_1!H53</f>
        <v>1</v>
      </c>
      <c r="I650" s="10">
        <f>dataset_1!I53</f>
        <v>1</v>
      </c>
      <c r="J650" s="10">
        <f>dataset_1!J53</f>
        <v>0.14</v>
      </c>
      <c r="K650" s="10">
        <f>VLOOKUP(A650,dataset_2!$A$2:$G$611,2,0)</f>
        <v>0.1061</v>
      </c>
      <c r="L650" s="10">
        <f>VLOOKUP(A650,dataset_2!$A$2:$G$611,3,0)</f>
        <v>0.5</v>
      </c>
      <c r="M650" s="10">
        <f>VLOOKUP(A650,dataset_2!$A$2:$G$611,4,0)</f>
        <v>0.3881</v>
      </c>
      <c r="N650" s="10">
        <f>VLOOKUP(A650,dataset_2!$A$2:$G$611,5,0)</f>
        <v>0</v>
      </c>
      <c r="O650" s="10">
        <f>VLOOKUP(A650,dataset_2!$A$2:$G$611,6,0)</f>
        <v>30</v>
      </c>
      <c r="P650" s="10">
        <f>VLOOKUP(A650,dataset_2!$A$2:$G$611,7,0)</f>
        <v>30</v>
      </c>
      <c r="Q650" s="10"/>
      <c r="R650" s="10"/>
      <c r="S650" s="10"/>
      <c r="T650" s="10"/>
      <c r="U650" s="10">
        <f t="shared" si="4"/>
        <v>1</v>
      </c>
      <c r="V650" s="10"/>
      <c r="W650" s="10"/>
      <c r="X650" s="10"/>
      <c r="Y650" s="10"/>
      <c r="Z650" s="10"/>
    </row>
    <row r="651" ht="13.5" customHeight="1">
      <c r="A651" s="10">
        <f>dataset_1!A182</f>
        <v>181</v>
      </c>
      <c r="B651" s="11">
        <f>dataset_1!B182</f>
        <v>40551</v>
      </c>
      <c r="C651" s="10">
        <f>dataset_1!C182</f>
        <v>1</v>
      </c>
      <c r="D651" s="10">
        <f>dataset_1!D182</f>
        <v>0</v>
      </c>
      <c r="E651" s="10">
        <f>dataset_1!E182</f>
        <v>1</v>
      </c>
      <c r="F651" s="10">
        <f>dataset_1!F182</f>
        <v>19</v>
      </c>
      <c r="G651" s="10" t="b">
        <f>dataset_1!G182</f>
        <v>0</v>
      </c>
      <c r="H651" s="10">
        <f>dataset_1!H182</f>
        <v>6</v>
      </c>
      <c r="I651" s="10">
        <f>dataset_1!I182</f>
        <v>1</v>
      </c>
      <c r="J651" s="10">
        <f>dataset_1!J182</f>
        <v>0.14</v>
      </c>
      <c r="K651" s="10">
        <f>VLOOKUP(A651,dataset_2!$A$2:$G$611,2,0)</f>
        <v>0.1212</v>
      </c>
      <c r="L651" s="10">
        <f>VLOOKUP(A651,dataset_2!$A$2:$G$611,3,0)</f>
        <v>0.36</v>
      </c>
      <c r="M651" s="10">
        <f>VLOOKUP(A651,dataset_2!$A$2:$G$611,4,0)</f>
        <v>0.2537</v>
      </c>
      <c r="N651" s="10">
        <f>VLOOKUP(A651,dataset_2!$A$2:$G$611,5,0)</f>
        <v>4</v>
      </c>
      <c r="O651" s="10">
        <f>VLOOKUP(A651,dataset_2!$A$2:$G$611,6,0)</f>
        <v>26</v>
      </c>
      <c r="P651" s="10">
        <f>VLOOKUP(A651,dataset_2!$A$2:$G$611,7,0)</f>
        <v>30</v>
      </c>
      <c r="Q651" s="10"/>
      <c r="R651" s="10"/>
      <c r="S651" s="10"/>
      <c r="T651" s="10"/>
      <c r="U651" s="10">
        <f t="shared" si="4"/>
        <v>1</v>
      </c>
      <c r="V651" s="10"/>
      <c r="W651" s="10"/>
      <c r="X651" s="10"/>
      <c r="Y651" s="10"/>
      <c r="Z651" s="10"/>
    </row>
    <row r="652" ht="13.5" customHeight="1">
      <c r="A652" s="10">
        <f>dataset_1!A222</f>
        <v>221</v>
      </c>
      <c r="B652" s="11">
        <f>dataset_1!B222</f>
        <v>40553</v>
      </c>
      <c r="C652" s="10">
        <f>dataset_1!C222</f>
        <v>1</v>
      </c>
      <c r="D652" s="10">
        <f>dataset_1!D222</f>
        <v>0</v>
      </c>
      <c r="E652" s="10">
        <f>dataset_1!E222</f>
        <v>1</v>
      </c>
      <c r="F652" s="10">
        <f>dataset_1!F222</f>
        <v>11</v>
      </c>
      <c r="G652" s="10" t="b">
        <f>dataset_1!G222</f>
        <v>0</v>
      </c>
      <c r="H652" s="10">
        <f>dataset_1!H222</f>
        <v>1</v>
      </c>
      <c r="I652" s="10">
        <f>dataset_1!I222</f>
        <v>2</v>
      </c>
      <c r="J652" s="10">
        <f>dataset_1!J222</f>
        <v>0.16</v>
      </c>
      <c r="K652" s="10">
        <f>VLOOKUP(A652,dataset_2!$A$2:$G$611,2,0)</f>
        <v>0.1364</v>
      </c>
      <c r="L652" s="10">
        <f>VLOOKUP(A652,dataset_2!$A$2:$G$611,3,0)</f>
        <v>0.47</v>
      </c>
      <c r="M652" s="10">
        <f>VLOOKUP(A652,dataset_2!$A$2:$G$611,4,0)</f>
        <v>0.2836</v>
      </c>
      <c r="N652" s="10">
        <f>VLOOKUP(A652,dataset_2!$A$2:$G$611,5,0)</f>
        <v>2</v>
      </c>
      <c r="O652" s="10">
        <f>VLOOKUP(A652,dataset_2!$A$2:$G$611,6,0)</f>
        <v>28</v>
      </c>
      <c r="P652" s="10">
        <f>VLOOKUP(A652,dataset_2!$A$2:$G$611,7,0)</f>
        <v>30</v>
      </c>
      <c r="Q652" s="10"/>
      <c r="R652" s="10"/>
      <c r="S652" s="10"/>
      <c r="T652" s="10"/>
      <c r="U652" s="10">
        <f t="shared" si="4"/>
        <v>1</v>
      </c>
      <c r="V652" s="10"/>
      <c r="W652" s="10"/>
      <c r="X652" s="10"/>
      <c r="Y652" s="10"/>
      <c r="Z652" s="10"/>
    </row>
    <row r="653" ht="13.5" customHeight="1">
      <c r="A653" s="10">
        <f>dataset_1!A301</f>
        <v>300</v>
      </c>
      <c r="B653" s="11">
        <f>dataset_1!B301</f>
        <v>40556</v>
      </c>
      <c r="C653" s="10">
        <f>dataset_1!C301</f>
        <v>1</v>
      </c>
      <c r="D653" s="10">
        <f>dataset_1!D301</f>
        <v>0</v>
      </c>
      <c r="E653" s="10">
        <f>dataset_1!E301</f>
        <v>1</v>
      </c>
      <c r="F653" s="10">
        <f>dataset_1!F301</f>
        <v>22</v>
      </c>
      <c r="G653" s="10" t="b">
        <f>dataset_1!G301</f>
        <v>0</v>
      </c>
      <c r="H653" s="10">
        <f>dataset_1!H301</f>
        <v>4</v>
      </c>
      <c r="I653" s="10">
        <f>dataset_1!I301</f>
        <v>1</v>
      </c>
      <c r="J653" s="10">
        <f>dataset_1!J301</f>
        <v>0.14</v>
      </c>
      <c r="K653" s="10">
        <f>VLOOKUP(A653,dataset_2!$A$2:$G$611,2,0)</f>
        <v>0.1212</v>
      </c>
      <c r="L653" s="10">
        <f>VLOOKUP(A653,dataset_2!$A$2:$G$611,3,0)</f>
        <v>0.46</v>
      </c>
      <c r="M653" s="10">
        <f>VLOOKUP(A653,dataset_2!$A$2:$G$611,4,0)</f>
        <v>0.3284</v>
      </c>
      <c r="N653" s="10">
        <f>VLOOKUP(A653,dataset_2!$A$2:$G$611,5,0)</f>
        <v>0</v>
      </c>
      <c r="O653" s="10">
        <f>VLOOKUP(A653,dataset_2!$A$2:$G$611,6,0)</f>
        <v>30</v>
      </c>
      <c r="P653" s="10">
        <f>VLOOKUP(A653,dataset_2!$A$2:$G$611,7,0)</f>
        <v>30</v>
      </c>
      <c r="Q653" s="10"/>
      <c r="R653" s="10"/>
      <c r="S653" s="10"/>
      <c r="T653" s="10"/>
      <c r="U653" s="10">
        <f t="shared" si="4"/>
        <v>1</v>
      </c>
      <c r="V653" s="10"/>
      <c r="W653" s="10"/>
      <c r="X653" s="10"/>
      <c r="Y653" s="10"/>
      <c r="Z653" s="10"/>
    </row>
    <row r="654" ht="13.5" customHeight="1">
      <c r="A654" s="10">
        <f>dataset_1!A502</f>
        <v>501</v>
      </c>
      <c r="B654" s="11">
        <f>dataset_1!B502</f>
        <v>40565</v>
      </c>
      <c r="C654" s="10">
        <f>dataset_1!C502</f>
        <v>1</v>
      </c>
      <c r="D654" s="10">
        <f>dataset_1!D502</f>
        <v>0</v>
      </c>
      <c r="E654" s="10">
        <f>dataset_1!E502</f>
        <v>1</v>
      </c>
      <c r="F654" s="10">
        <f>dataset_1!F502</f>
        <v>22</v>
      </c>
      <c r="G654" s="10" t="b">
        <f>dataset_1!G502</f>
        <v>0</v>
      </c>
      <c r="H654" s="10">
        <f>dataset_1!H502</f>
        <v>6</v>
      </c>
      <c r="I654" s="10">
        <f>dataset_1!I502</f>
        <v>1</v>
      </c>
      <c r="J654" s="10">
        <f>dataset_1!J502</f>
        <v>0.06</v>
      </c>
      <c r="K654" s="10">
        <f>VLOOKUP(A654,dataset_2!$A$2:$G$611,2,0)</f>
        <v>0.1515</v>
      </c>
      <c r="L654" s="10">
        <f>VLOOKUP(A654,dataset_2!$A$2:$G$611,3,0)</f>
        <v>0.49</v>
      </c>
      <c r="M654" s="10">
        <f>VLOOKUP(A654,dataset_2!$A$2:$G$611,4,0)</f>
        <v>0</v>
      </c>
      <c r="N654" s="10">
        <f>VLOOKUP(A654,dataset_2!$A$2:$G$611,5,0)</f>
        <v>7</v>
      </c>
      <c r="O654" s="10">
        <f>VLOOKUP(A654,dataset_2!$A$2:$G$611,6,0)</f>
        <v>23</v>
      </c>
      <c r="P654" s="10">
        <f>VLOOKUP(A654,dataset_2!$A$2:$G$611,7,0)</f>
        <v>30</v>
      </c>
      <c r="Q654" s="10"/>
      <c r="R654" s="10"/>
      <c r="S654" s="10"/>
      <c r="T654" s="10"/>
      <c r="U654" s="10">
        <f t="shared" si="4"/>
        <v>1</v>
      </c>
      <c r="V654" s="10"/>
      <c r="W654" s="10"/>
      <c r="X654" s="10"/>
      <c r="Y654" s="10"/>
      <c r="Z654" s="10"/>
    </row>
    <row r="655" ht="13.5" customHeight="1">
      <c r="A655" s="10">
        <f>dataset_1!A578</f>
        <v>577</v>
      </c>
      <c r="B655" s="11">
        <f>dataset_1!B578</f>
        <v>40569</v>
      </c>
      <c r="C655" s="10">
        <f>dataset_1!C578</f>
        <v>1</v>
      </c>
      <c r="D655" s="10">
        <f>dataset_1!D578</f>
        <v>0</v>
      </c>
      <c r="E655" s="10">
        <f>dataset_1!E578</f>
        <v>1</v>
      </c>
      <c r="F655" s="10">
        <f>dataset_1!F578</f>
        <v>7</v>
      </c>
      <c r="G655" s="10" t="b">
        <f>dataset_1!G578</f>
        <v>0</v>
      </c>
      <c r="H655" s="10">
        <f>dataset_1!H578</f>
        <v>3</v>
      </c>
      <c r="I655" s="10">
        <f>dataset_1!I578</f>
        <v>3</v>
      </c>
      <c r="J655" s="10">
        <f>dataset_1!J578</f>
        <v>0.22</v>
      </c>
      <c r="K655" s="10">
        <f>VLOOKUP(A655,dataset_2!$A$2:$G$611,2,0)</f>
        <v>0.2121</v>
      </c>
      <c r="L655" s="10">
        <f>VLOOKUP(A655,dataset_2!$A$2:$G$611,3,0)</f>
        <v>0.87</v>
      </c>
      <c r="M655" s="10">
        <f>VLOOKUP(A655,dataset_2!$A$2:$G$611,4,0)</f>
        <v>0.2985</v>
      </c>
      <c r="N655" s="10">
        <f>VLOOKUP(A655,dataset_2!$A$2:$G$611,5,0)</f>
        <v>1</v>
      </c>
      <c r="O655" s="10">
        <f>VLOOKUP(A655,dataset_2!$A$2:$G$611,6,0)</f>
        <v>29</v>
      </c>
      <c r="P655" s="10">
        <f>VLOOKUP(A655,dataset_2!$A$2:$G$611,7,0)</f>
        <v>30</v>
      </c>
      <c r="Q655" s="10"/>
      <c r="R655" s="10"/>
      <c r="S655" s="10"/>
      <c r="T655" s="10"/>
      <c r="U655" s="10">
        <f t="shared" si="4"/>
        <v>1</v>
      </c>
      <c r="V655" s="10"/>
      <c r="W655" s="10"/>
      <c r="X655" s="10"/>
      <c r="Y655" s="10"/>
      <c r="Z655" s="10"/>
    </row>
    <row r="656" ht="13.5" customHeight="1">
      <c r="A656" s="10">
        <f>dataset_1!A607</f>
        <v>606</v>
      </c>
      <c r="B656" s="11">
        <f>dataset_1!B607</f>
        <v>40571</v>
      </c>
      <c r="C656" s="10">
        <f>dataset_1!C607</f>
        <v>1</v>
      </c>
      <c r="D656" s="10">
        <f>dataset_1!D607</f>
        <v>0</v>
      </c>
      <c r="E656" s="10">
        <f>dataset_1!E607</f>
        <v>1</v>
      </c>
      <c r="F656" s="10">
        <f>dataset_1!F607</f>
        <v>11</v>
      </c>
      <c r="G656" s="10" t="b">
        <f>dataset_1!G607</f>
        <v>0</v>
      </c>
      <c r="H656" s="10">
        <f>dataset_1!H607</f>
        <v>5</v>
      </c>
      <c r="I656" s="10">
        <f>dataset_1!I607</f>
        <v>3</v>
      </c>
      <c r="J656" s="10">
        <f>dataset_1!J607</f>
        <v>0.18</v>
      </c>
      <c r="K656" s="10">
        <f>VLOOKUP(A656,dataset_2!$A$2:$G$611,2,0)</f>
        <v>0.2121</v>
      </c>
      <c r="L656" s="10">
        <f>VLOOKUP(A656,dataset_2!$A$2:$G$611,3,0)</f>
        <v>0.93</v>
      </c>
      <c r="M656" s="10">
        <f>VLOOKUP(A656,dataset_2!$A$2:$G$611,4,0)</f>
        <v>0.1045</v>
      </c>
      <c r="N656" s="10">
        <f>VLOOKUP(A656,dataset_2!$A$2:$G$611,5,0)</f>
        <v>0</v>
      </c>
      <c r="O656" s="10">
        <f>VLOOKUP(A656,dataset_2!$A$2:$G$611,6,0)</f>
        <v>30</v>
      </c>
      <c r="P656" s="10">
        <f>VLOOKUP(A656,dataset_2!$A$2:$G$611,7,0)</f>
        <v>30</v>
      </c>
      <c r="Q656" s="10"/>
      <c r="R656" s="10"/>
      <c r="S656" s="10"/>
      <c r="T656" s="10"/>
      <c r="U656" s="10">
        <f t="shared" si="4"/>
        <v>1</v>
      </c>
      <c r="V656" s="10"/>
      <c r="W656" s="10"/>
      <c r="X656" s="10"/>
      <c r="Y656" s="10"/>
      <c r="Z656" s="10"/>
    </row>
    <row r="657" ht="13.5" customHeight="1">
      <c r="A657" s="3">
        <v>829.0</v>
      </c>
      <c r="B657" s="12">
        <v>40580.0</v>
      </c>
      <c r="C657" s="3">
        <v>1.0</v>
      </c>
      <c r="D657" s="3">
        <v>0.0</v>
      </c>
      <c r="E657" s="3">
        <v>2.0</v>
      </c>
      <c r="F657" s="3">
        <v>23.0</v>
      </c>
      <c r="G657" s="3" t="b">
        <f t="shared" ref="G657:G661" si="72">FALSE()</f>
        <v>0</v>
      </c>
      <c r="H657" s="3">
        <v>0.0</v>
      </c>
      <c r="I657" s="3">
        <v>1.0</v>
      </c>
      <c r="J657" s="3">
        <v>0.24</v>
      </c>
      <c r="K657" s="3">
        <v>0.2879</v>
      </c>
      <c r="L657" s="3">
        <v>0.65</v>
      </c>
      <c r="M657" s="3">
        <v>0.0</v>
      </c>
      <c r="N657" s="3">
        <v>4.0</v>
      </c>
      <c r="O657" s="3">
        <v>26.0</v>
      </c>
      <c r="P657" s="3">
        <v>30.0</v>
      </c>
      <c r="Q657" s="10"/>
      <c r="R657" s="10"/>
      <c r="S657" s="10"/>
      <c r="T657" s="10"/>
      <c r="U657" s="10">
        <f t="shared" si="4"/>
        <v>1</v>
      </c>
      <c r="V657" s="10"/>
      <c r="W657" s="10"/>
      <c r="X657" s="10"/>
      <c r="Y657" s="10"/>
      <c r="Z657" s="10"/>
    </row>
    <row r="658" ht="13.5" customHeight="1">
      <c r="A658" s="3">
        <v>836.0</v>
      </c>
      <c r="B658" s="12">
        <v>40581.0</v>
      </c>
      <c r="C658" s="3">
        <v>1.0</v>
      </c>
      <c r="D658" s="3">
        <v>0.0</v>
      </c>
      <c r="E658" s="3">
        <v>2.0</v>
      </c>
      <c r="F658" s="3">
        <v>6.0</v>
      </c>
      <c r="G658" s="3" t="b">
        <f t="shared" si="72"/>
        <v>0</v>
      </c>
      <c r="H658" s="3">
        <v>1.0</v>
      </c>
      <c r="I658" s="3">
        <v>1.0</v>
      </c>
      <c r="J658" s="3">
        <v>0.18</v>
      </c>
      <c r="K658" s="3">
        <v>0.2424</v>
      </c>
      <c r="L658" s="3">
        <v>0.93</v>
      </c>
      <c r="M658" s="3">
        <v>0.0</v>
      </c>
      <c r="N658" s="3">
        <v>1.0</v>
      </c>
      <c r="O658" s="3">
        <v>29.0</v>
      </c>
      <c r="P658" s="3">
        <v>30.0</v>
      </c>
      <c r="Q658" s="10"/>
      <c r="R658" s="10"/>
      <c r="S658" s="10"/>
      <c r="T658" s="10"/>
      <c r="U658" s="10">
        <f t="shared" si="4"/>
        <v>1</v>
      </c>
      <c r="V658" s="10"/>
      <c r="W658" s="10"/>
      <c r="X658" s="10"/>
      <c r="Y658" s="10"/>
      <c r="Z658" s="10"/>
    </row>
    <row r="659" ht="13.5" customHeight="1">
      <c r="A659" s="3">
        <v>946.0</v>
      </c>
      <c r="B659" s="12">
        <v>40586.0</v>
      </c>
      <c r="C659" s="3">
        <v>1.0</v>
      </c>
      <c r="D659" s="3">
        <v>0.0</v>
      </c>
      <c r="E659" s="3">
        <v>2.0</v>
      </c>
      <c r="F659" s="3">
        <v>0.0</v>
      </c>
      <c r="G659" s="3" t="b">
        <f t="shared" si="72"/>
        <v>0</v>
      </c>
      <c r="H659" s="3">
        <v>6.0</v>
      </c>
      <c r="I659" s="3">
        <v>1.0</v>
      </c>
      <c r="J659" s="3">
        <v>0.16</v>
      </c>
      <c r="K659" s="3">
        <v>0.197</v>
      </c>
      <c r="L659" s="3">
        <v>0.69</v>
      </c>
      <c r="M659" s="3">
        <v>0.0896</v>
      </c>
      <c r="N659" s="3">
        <v>3.0</v>
      </c>
      <c r="O659" s="3">
        <v>27.0</v>
      </c>
      <c r="P659" s="3">
        <v>30.0</v>
      </c>
      <c r="Q659" s="10"/>
      <c r="R659" s="10"/>
      <c r="S659" s="10"/>
      <c r="T659" s="10"/>
      <c r="U659" s="10">
        <f t="shared" si="4"/>
        <v>1</v>
      </c>
      <c r="V659" s="10"/>
      <c r="W659" s="10"/>
      <c r="X659" s="10"/>
      <c r="Y659" s="10"/>
      <c r="Z659" s="10"/>
    </row>
    <row r="660" ht="13.5" customHeight="1">
      <c r="A660" s="3">
        <v>954.0</v>
      </c>
      <c r="B660" s="12">
        <v>40586.0</v>
      </c>
      <c r="C660" s="3">
        <v>1.0</v>
      </c>
      <c r="D660" s="3">
        <v>0.0</v>
      </c>
      <c r="E660" s="3">
        <v>2.0</v>
      </c>
      <c r="F660" s="3">
        <v>8.0</v>
      </c>
      <c r="G660" s="3" t="b">
        <f t="shared" si="72"/>
        <v>0</v>
      </c>
      <c r="H660" s="3">
        <v>6.0</v>
      </c>
      <c r="I660" s="3">
        <v>1.0</v>
      </c>
      <c r="J660" s="3">
        <v>0.14</v>
      </c>
      <c r="K660" s="3">
        <v>0.1515</v>
      </c>
      <c r="L660" s="3">
        <v>0.86</v>
      </c>
      <c r="M660" s="3">
        <v>0.1343</v>
      </c>
      <c r="N660" s="3">
        <v>2.0</v>
      </c>
      <c r="O660" s="3">
        <v>28.0</v>
      </c>
      <c r="P660" s="3">
        <v>30.0</v>
      </c>
      <c r="Q660" s="10"/>
      <c r="R660" s="10"/>
      <c r="S660" s="10"/>
      <c r="T660" s="10"/>
      <c r="U660" s="10">
        <f t="shared" si="4"/>
        <v>1</v>
      </c>
      <c r="V660" s="10"/>
      <c r="W660" s="10"/>
      <c r="X660" s="10"/>
      <c r="Y660" s="10"/>
      <c r="Z660" s="10"/>
    </row>
    <row r="661" ht="13.5" customHeight="1">
      <c r="A661" s="3">
        <v>992.0</v>
      </c>
      <c r="B661" s="12">
        <v>40587.0</v>
      </c>
      <c r="C661" s="3">
        <v>1.0</v>
      </c>
      <c r="D661" s="3">
        <v>0.0</v>
      </c>
      <c r="E661" s="3">
        <v>2.0</v>
      </c>
      <c r="F661" s="3">
        <v>23.0</v>
      </c>
      <c r="G661" s="3" t="b">
        <f t="shared" si="72"/>
        <v>0</v>
      </c>
      <c r="H661" s="3">
        <v>0.0</v>
      </c>
      <c r="I661" s="3">
        <v>1.0</v>
      </c>
      <c r="J661" s="3">
        <v>0.4</v>
      </c>
      <c r="K661" s="3">
        <v>0.4091</v>
      </c>
      <c r="L661" s="3">
        <v>0.35</v>
      </c>
      <c r="M661" s="3">
        <v>0.3582</v>
      </c>
      <c r="N661" s="3">
        <v>3.0</v>
      </c>
      <c r="O661" s="3">
        <v>27.0</v>
      </c>
      <c r="P661" s="3">
        <v>30.0</v>
      </c>
      <c r="Q661" s="10"/>
      <c r="R661" s="10"/>
      <c r="S661" s="10"/>
      <c r="T661" s="10"/>
      <c r="U661" s="10">
        <f t="shared" si="4"/>
        <v>1</v>
      </c>
      <c r="V661" s="10"/>
      <c r="W661" s="10"/>
      <c r="X661" s="10"/>
      <c r="Y661" s="10"/>
      <c r="Z661" s="10"/>
    </row>
    <row r="662" ht="13.5" customHeight="1">
      <c r="A662" s="10">
        <f>dataset_1!A255</f>
        <v>254</v>
      </c>
      <c r="B662" s="11">
        <f>dataset_1!B255</f>
        <v>40554</v>
      </c>
      <c r="C662" s="10">
        <f>dataset_1!C255</f>
        <v>1</v>
      </c>
      <c r="D662" s="10">
        <f>dataset_1!D255</f>
        <v>0</v>
      </c>
      <c r="E662" s="10">
        <f>dataset_1!E255</f>
        <v>1</v>
      </c>
      <c r="F662" s="10">
        <f>dataset_1!F255</f>
        <v>22</v>
      </c>
      <c r="G662" s="10" t="b">
        <f>dataset_1!G255</f>
        <v>0</v>
      </c>
      <c r="H662" s="10">
        <f>dataset_1!H255</f>
        <v>2</v>
      </c>
      <c r="I662" s="10">
        <f>dataset_1!I255</f>
        <v>3</v>
      </c>
      <c r="J662" s="10">
        <f>dataset_1!J255</f>
        <v>0.16</v>
      </c>
      <c r="K662" s="10">
        <f>VLOOKUP(A662,dataset_2!$A$2:$G$611,2,0)</f>
        <v>0.1818</v>
      </c>
      <c r="L662" s="10">
        <f>VLOOKUP(A662,dataset_2!$A$2:$G$611,3,0)</f>
        <v>0.93</v>
      </c>
      <c r="M662" s="10">
        <f>VLOOKUP(A662,dataset_2!$A$2:$G$611,4,0)</f>
        <v>0.1045</v>
      </c>
      <c r="N662" s="10">
        <f>VLOOKUP(A662,dataset_2!$A$2:$G$611,5,0)</f>
        <v>1</v>
      </c>
      <c r="O662" s="10">
        <f>VLOOKUP(A662,dataset_2!$A$2:$G$611,6,0)</f>
        <v>28</v>
      </c>
      <c r="P662" s="10">
        <f>VLOOKUP(A662,dataset_2!$A$2:$G$611,7,0)</f>
        <v>29</v>
      </c>
      <c r="Q662" s="10"/>
      <c r="R662" s="10"/>
      <c r="S662" s="10"/>
      <c r="T662" s="10"/>
      <c r="U662" s="10">
        <f t="shared" si="4"/>
        <v>1</v>
      </c>
      <c r="V662" s="10"/>
      <c r="W662" s="10"/>
      <c r="X662" s="10"/>
      <c r="Y662" s="10"/>
      <c r="Z662" s="10"/>
    </row>
    <row r="663" ht="13.5" customHeight="1">
      <c r="A663" s="10">
        <f>dataset_1!A608</f>
        <v>607</v>
      </c>
      <c r="B663" s="11">
        <f>dataset_1!B608</f>
        <v>40571</v>
      </c>
      <c r="C663" s="10">
        <f>dataset_1!C608</f>
        <v>1</v>
      </c>
      <c r="D663" s="10">
        <f>dataset_1!D608</f>
        <v>0</v>
      </c>
      <c r="E663" s="10">
        <f>dataset_1!E608</f>
        <v>1</v>
      </c>
      <c r="F663" s="10">
        <f>dataset_1!F608</f>
        <v>12</v>
      </c>
      <c r="G663" s="10" t="b">
        <f>dataset_1!G608</f>
        <v>0</v>
      </c>
      <c r="H663" s="10">
        <f>dataset_1!H608</f>
        <v>5</v>
      </c>
      <c r="I663" s="10">
        <f>dataset_1!I608</f>
        <v>3</v>
      </c>
      <c r="J663" s="10">
        <f>dataset_1!J608</f>
        <v>0.18</v>
      </c>
      <c r="K663" s="10">
        <f>VLOOKUP(A663,dataset_2!$A$2:$G$611,2,0)</f>
        <v>0.2121</v>
      </c>
      <c r="L663" s="10">
        <f>VLOOKUP(A663,dataset_2!$A$2:$G$611,3,0)</f>
        <v>0.93</v>
      </c>
      <c r="M663" s="10">
        <f>VLOOKUP(A663,dataset_2!$A$2:$G$611,4,0)</f>
        <v>0.1045</v>
      </c>
      <c r="N663" s="10">
        <f>VLOOKUP(A663,dataset_2!$A$2:$G$611,5,0)</f>
        <v>1</v>
      </c>
      <c r="O663" s="10">
        <f>VLOOKUP(A663,dataset_2!$A$2:$G$611,6,0)</f>
        <v>28</v>
      </c>
      <c r="P663" s="10">
        <f>VLOOKUP(A663,dataset_2!$A$2:$G$611,7,0)</f>
        <v>29</v>
      </c>
      <c r="Q663" s="10"/>
      <c r="R663" s="10"/>
      <c r="S663" s="10"/>
      <c r="T663" s="10"/>
      <c r="U663" s="10">
        <f t="shared" si="4"/>
        <v>1</v>
      </c>
      <c r="V663" s="10"/>
      <c r="W663" s="10"/>
      <c r="X663" s="10"/>
      <c r="Y663" s="10"/>
      <c r="Z663" s="10"/>
    </row>
    <row r="664" ht="13.5" customHeight="1">
      <c r="A664" s="3">
        <v>643.0</v>
      </c>
      <c r="B664" s="12">
        <v>40573.0</v>
      </c>
      <c r="C664" s="3">
        <v>1.0</v>
      </c>
      <c r="D664" s="3">
        <v>0.0</v>
      </c>
      <c r="E664" s="3">
        <v>1.0</v>
      </c>
      <c r="F664" s="3">
        <v>1.0</v>
      </c>
      <c r="G664" s="3" t="b">
        <f t="shared" ref="G664:G665" si="73">FALSE()</f>
        <v>0</v>
      </c>
      <c r="H664" s="3">
        <v>0.0</v>
      </c>
      <c r="I664" s="3">
        <v>1.0</v>
      </c>
      <c r="J664" s="3">
        <v>0.14</v>
      </c>
      <c r="K664" s="3">
        <v>0.2121</v>
      </c>
      <c r="L664" s="3">
        <v>0.8</v>
      </c>
      <c r="M664" s="3">
        <v>0.0</v>
      </c>
      <c r="N664" s="3">
        <v>7.0</v>
      </c>
      <c r="O664" s="3">
        <v>22.0</v>
      </c>
      <c r="P664" s="3">
        <v>29.0</v>
      </c>
      <c r="Q664" s="10"/>
      <c r="R664" s="10"/>
      <c r="S664" s="10"/>
      <c r="T664" s="10"/>
      <c r="U664" s="10">
        <f t="shared" si="4"/>
        <v>1</v>
      </c>
      <c r="V664" s="10"/>
      <c r="W664" s="10"/>
      <c r="X664" s="10"/>
      <c r="Y664" s="10"/>
      <c r="Z664" s="10"/>
    </row>
    <row r="665" ht="13.5" customHeight="1">
      <c r="A665" s="3">
        <v>876.0</v>
      </c>
      <c r="B665" s="12">
        <v>40582.0</v>
      </c>
      <c r="C665" s="3">
        <v>1.0</v>
      </c>
      <c r="D665" s="3">
        <v>0.0</v>
      </c>
      <c r="E665" s="3">
        <v>2.0</v>
      </c>
      <c r="F665" s="3">
        <v>22.0</v>
      </c>
      <c r="G665" s="3" t="b">
        <f t="shared" si="73"/>
        <v>0</v>
      </c>
      <c r="H665" s="3">
        <v>2.0</v>
      </c>
      <c r="I665" s="3">
        <v>1.0</v>
      </c>
      <c r="J665" s="3">
        <v>0.12</v>
      </c>
      <c r="K665" s="3">
        <v>0.1061</v>
      </c>
      <c r="L665" s="3">
        <v>0.33</v>
      </c>
      <c r="M665" s="3">
        <v>0.3582</v>
      </c>
      <c r="N665" s="3">
        <v>0.0</v>
      </c>
      <c r="O665" s="3">
        <v>29.0</v>
      </c>
      <c r="P665" s="3">
        <v>29.0</v>
      </c>
      <c r="Q665" s="10"/>
      <c r="R665" s="10"/>
      <c r="S665" s="10"/>
      <c r="T665" s="10"/>
      <c r="U665" s="10">
        <f t="shared" si="4"/>
        <v>1</v>
      </c>
      <c r="V665" s="10"/>
      <c r="W665" s="10"/>
      <c r="X665" s="10"/>
      <c r="Y665" s="10"/>
      <c r="Z665" s="10"/>
    </row>
    <row r="666" ht="13.5" customHeight="1">
      <c r="A666" s="10">
        <f>dataset_1!A24</f>
        <v>23</v>
      </c>
      <c r="B666" s="11">
        <f>dataset_1!B24</f>
        <v>40544</v>
      </c>
      <c r="C666" s="10">
        <f>dataset_1!C24</f>
        <v>1</v>
      </c>
      <c r="D666" s="10">
        <f>dataset_1!D24</f>
        <v>0</v>
      </c>
      <c r="E666" s="10">
        <f>dataset_1!E24</f>
        <v>1</v>
      </c>
      <c r="F666" s="10">
        <f>dataset_1!F24</f>
        <v>22</v>
      </c>
      <c r="G666" s="10" t="b">
        <f>dataset_1!G24</f>
        <v>0</v>
      </c>
      <c r="H666" s="10">
        <f>dataset_1!H24</f>
        <v>6</v>
      </c>
      <c r="I666" s="10">
        <f>dataset_1!I24</f>
        <v>2</v>
      </c>
      <c r="J666" s="10">
        <f>dataset_1!J24</f>
        <v>0.4</v>
      </c>
      <c r="K666" s="10">
        <f>VLOOKUP(A666,dataset_2!$A$2:$G$611,2,0)</f>
        <v>0.4091</v>
      </c>
      <c r="L666" s="10">
        <f>VLOOKUP(A666,dataset_2!$A$2:$G$611,3,0)</f>
        <v>0.94</v>
      </c>
      <c r="M666" s="10">
        <f>VLOOKUP(A666,dataset_2!$A$2:$G$611,4,0)</f>
        <v>0.2239</v>
      </c>
      <c r="N666" s="10">
        <f>VLOOKUP(A666,dataset_2!$A$2:$G$611,5,0)</f>
        <v>11</v>
      </c>
      <c r="O666" s="10">
        <f>VLOOKUP(A666,dataset_2!$A$2:$G$611,6,0)</f>
        <v>17</v>
      </c>
      <c r="P666" s="10">
        <f>VLOOKUP(A666,dataset_2!$A$2:$G$611,7,0)</f>
        <v>28</v>
      </c>
      <c r="Q666" s="10"/>
      <c r="R666" s="10"/>
      <c r="S666" s="10"/>
      <c r="T666" s="10"/>
      <c r="U666" s="10">
        <f t="shared" si="4"/>
        <v>1</v>
      </c>
      <c r="V666" s="10"/>
      <c r="W666" s="10"/>
      <c r="X666" s="10"/>
      <c r="Y666" s="10"/>
      <c r="Z666" s="10"/>
    </row>
    <row r="667" ht="13.5" customHeight="1">
      <c r="A667" s="10">
        <f>dataset_1!A183</f>
        <v>182</v>
      </c>
      <c r="B667" s="11">
        <f>dataset_1!B183</f>
        <v>40551</v>
      </c>
      <c r="C667" s="10">
        <f>dataset_1!C183</f>
        <v>1</v>
      </c>
      <c r="D667" s="10">
        <f>dataset_1!D183</f>
        <v>0</v>
      </c>
      <c r="E667" s="10">
        <f>dataset_1!E183</f>
        <v>1</v>
      </c>
      <c r="F667" s="10">
        <f>dataset_1!F183</f>
        <v>20</v>
      </c>
      <c r="G667" s="10" t="b">
        <f>dataset_1!G183</f>
        <v>0</v>
      </c>
      <c r="H667" s="10">
        <f>dataset_1!H183</f>
        <v>6</v>
      </c>
      <c r="I667" s="10">
        <f>dataset_1!I183</f>
        <v>1</v>
      </c>
      <c r="J667" s="10">
        <f>dataset_1!J183</f>
        <v>0.12</v>
      </c>
      <c r="K667" s="10">
        <f>VLOOKUP(A667,dataset_2!$A$2:$G$611,2,0)</f>
        <v>0.1212</v>
      </c>
      <c r="L667" s="10">
        <f>VLOOKUP(A667,dataset_2!$A$2:$G$611,3,0)</f>
        <v>0.36</v>
      </c>
      <c r="M667" s="10">
        <f>VLOOKUP(A667,dataset_2!$A$2:$G$611,4,0)</f>
        <v>0.2537</v>
      </c>
      <c r="N667" s="10">
        <f>VLOOKUP(A667,dataset_2!$A$2:$G$611,5,0)</f>
        <v>0</v>
      </c>
      <c r="O667" s="10">
        <f>VLOOKUP(A667,dataset_2!$A$2:$G$611,6,0)</f>
        <v>28</v>
      </c>
      <c r="P667" s="10">
        <f>VLOOKUP(A667,dataset_2!$A$2:$G$611,7,0)</f>
        <v>28</v>
      </c>
      <c r="Q667" s="10"/>
      <c r="R667" s="10"/>
      <c r="S667" s="10"/>
      <c r="T667" s="10"/>
      <c r="U667" s="10">
        <f t="shared" si="4"/>
        <v>1</v>
      </c>
      <c r="V667" s="10"/>
      <c r="W667" s="10"/>
      <c r="X667" s="10"/>
      <c r="Y667" s="10"/>
      <c r="Z667" s="10"/>
    </row>
    <row r="668" ht="13.5" customHeight="1">
      <c r="A668" s="10">
        <f>dataset_1!A285</f>
        <v>284</v>
      </c>
      <c r="B668" s="11">
        <f>dataset_1!B285</f>
        <v>40556</v>
      </c>
      <c r="C668" s="10">
        <f>dataset_1!C285</f>
        <v>1</v>
      </c>
      <c r="D668" s="10">
        <f>dataset_1!D285</f>
        <v>0</v>
      </c>
      <c r="E668" s="10">
        <f>dataset_1!E285</f>
        <v>1</v>
      </c>
      <c r="F668" s="10">
        <f>dataset_1!F285</f>
        <v>6</v>
      </c>
      <c r="G668" s="10" t="b">
        <f>dataset_1!G285</f>
        <v>0</v>
      </c>
      <c r="H668" s="10">
        <f>dataset_1!H285</f>
        <v>4</v>
      </c>
      <c r="I668" s="10">
        <f>dataset_1!I285</f>
        <v>1</v>
      </c>
      <c r="J668" s="10">
        <f>dataset_1!J285</f>
        <v>0.12</v>
      </c>
      <c r="K668" s="10">
        <f>VLOOKUP(A668,dataset_2!$A$2:$G$611,2,0)</f>
        <v>0.1515</v>
      </c>
      <c r="L668" s="10">
        <f>VLOOKUP(A668,dataset_2!$A$2:$G$611,3,0)</f>
        <v>0.54</v>
      </c>
      <c r="M668" s="10">
        <f>VLOOKUP(A668,dataset_2!$A$2:$G$611,4,0)</f>
        <v>0.1343</v>
      </c>
      <c r="N668" s="10">
        <f>VLOOKUP(A668,dataset_2!$A$2:$G$611,5,0)</f>
        <v>0</v>
      </c>
      <c r="O668" s="10">
        <f>VLOOKUP(A668,dataset_2!$A$2:$G$611,6,0)</f>
        <v>28</v>
      </c>
      <c r="P668" s="10">
        <f>VLOOKUP(A668,dataset_2!$A$2:$G$611,7,0)</f>
        <v>28</v>
      </c>
      <c r="Q668" s="10"/>
      <c r="R668" s="10"/>
      <c r="S668" s="10"/>
      <c r="T668" s="10"/>
      <c r="U668" s="10">
        <f t="shared" si="4"/>
        <v>1</v>
      </c>
      <c r="V668" s="10"/>
      <c r="W668" s="10"/>
      <c r="X668" s="10"/>
      <c r="Y668" s="10"/>
      <c r="Z668" s="10"/>
    </row>
    <row r="669" ht="13.5" customHeight="1">
      <c r="A669" s="10">
        <f>dataset_1!A326</f>
        <v>325</v>
      </c>
      <c r="B669" s="11">
        <f>dataset_1!B326</f>
        <v>40558</v>
      </c>
      <c r="C669" s="10">
        <f>dataset_1!C326</f>
        <v>1</v>
      </c>
      <c r="D669" s="10">
        <f>dataset_1!D326</f>
        <v>0</v>
      </c>
      <c r="E669" s="10">
        <f>dataset_1!E326</f>
        <v>1</v>
      </c>
      <c r="F669" s="10">
        <f>dataset_1!F326</f>
        <v>0</v>
      </c>
      <c r="G669" s="10" t="b">
        <f>dataset_1!G326</f>
        <v>0</v>
      </c>
      <c r="H669" s="10">
        <f>dataset_1!H326</f>
        <v>6</v>
      </c>
      <c r="I669" s="10">
        <f>dataset_1!I326</f>
        <v>1</v>
      </c>
      <c r="J669" s="10">
        <f>dataset_1!J326</f>
        <v>0.18</v>
      </c>
      <c r="K669" s="10">
        <f>VLOOKUP(A669,dataset_2!$A$2:$G$611,2,0)</f>
        <v>0.2424</v>
      </c>
      <c r="L669" s="10">
        <f>VLOOKUP(A669,dataset_2!$A$2:$G$611,3,0)</f>
        <v>0.55</v>
      </c>
      <c r="M669" s="10">
        <f>VLOOKUP(A669,dataset_2!$A$2:$G$611,4,0)</f>
        <v>0</v>
      </c>
      <c r="N669" s="10">
        <f>VLOOKUP(A669,dataset_2!$A$2:$G$611,5,0)</f>
        <v>3</v>
      </c>
      <c r="O669" s="10">
        <f>VLOOKUP(A669,dataset_2!$A$2:$G$611,6,0)</f>
        <v>25</v>
      </c>
      <c r="P669" s="10">
        <f>VLOOKUP(A669,dataset_2!$A$2:$G$611,7,0)</f>
        <v>28</v>
      </c>
      <c r="Q669" s="10"/>
      <c r="R669" s="10"/>
      <c r="S669" s="10"/>
      <c r="T669" s="10"/>
      <c r="U669" s="10">
        <f t="shared" si="4"/>
        <v>1</v>
      </c>
      <c r="V669" s="10"/>
      <c r="W669" s="10"/>
      <c r="X669" s="10"/>
      <c r="Y669" s="10"/>
      <c r="Z669" s="10"/>
    </row>
    <row r="670" ht="13.5" customHeight="1">
      <c r="A670" s="10">
        <f>dataset_1!A371</f>
        <v>370</v>
      </c>
      <c r="B670" s="11">
        <f>dataset_1!B371</f>
        <v>40559</v>
      </c>
      <c r="C670" s="10">
        <f>dataset_1!C371</f>
        <v>1</v>
      </c>
      <c r="D670" s="10">
        <f>dataset_1!D371</f>
        <v>0</v>
      </c>
      <c r="E670" s="10">
        <f>dataset_1!E371</f>
        <v>1</v>
      </c>
      <c r="F670" s="10">
        <f>dataset_1!F371</f>
        <v>21</v>
      </c>
      <c r="G670" s="10" t="b">
        <f>dataset_1!G371</f>
        <v>0</v>
      </c>
      <c r="H670" s="10">
        <f>dataset_1!H371</f>
        <v>0</v>
      </c>
      <c r="I670" s="10">
        <f>dataset_1!I371</f>
        <v>1</v>
      </c>
      <c r="J670" s="10">
        <f>dataset_1!J371</f>
        <v>0.18</v>
      </c>
      <c r="K670" s="10">
        <f>VLOOKUP(A670,dataset_2!$A$2:$G$611,2,0)</f>
        <v>0.197</v>
      </c>
      <c r="L670" s="10">
        <f>VLOOKUP(A670,dataset_2!$A$2:$G$611,3,0)</f>
        <v>0.51</v>
      </c>
      <c r="M670" s="10">
        <f>VLOOKUP(A670,dataset_2!$A$2:$G$611,4,0)</f>
        <v>0.1642</v>
      </c>
      <c r="N670" s="10">
        <f>VLOOKUP(A670,dataset_2!$A$2:$G$611,5,0)</f>
        <v>6</v>
      </c>
      <c r="O670" s="10">
        <f>VLOOKUP(A670,dataset_2!$A$2:$G$611,6,0)</f>
        <v>22</v>
      </c>
      <c r="P670" s="10">
        <f>VLOOKUP(A670,dataset_2!$A$2:$G$611,7,0)</f>
        <v>28</v>
      </c>
      <c r="Q670" s="10"/>
      <c r="R670" s="10"/>
      <c r="S670" s="10"/>
      <c r="T670" s="10"/>
      <c r="U670" s="10">
        <f t="shared" si="4"/>
        <v>1</v>
      </c>
      <c r="V670" s="10"/>
      <c r="W670" s="10"/>
      <c r="X670" s="10"/>
      <c r="Y670" s="10"/>
      <c r="Z670" s="10"/>
    </row>
    <row r="671" ht="13.5" customHeight="1">
      <c r="A671" s="10">
        <f>dataset_1!A400</f>
        <v>399</v>
      </c>
      <c r="B671" s="11">
        <f>dataset_1!B400</f>
        <v>40561</v>
      </c>
      <c r="C671" s="10">
        <f>dataset_1!C400</f>
        <v>1</v>
      </c>
      <c r="D671" s="10">
        <f>dataset_1!D400</f>
        <v>0</v>
      </c>
      <c r="E671" s="10">
        <f>dataset_1!E400</f>
        <v>1</v>
      </c>
      <c r="F671" s="10">
        <f>dataset_1!F400</f>
        <v>14</v>
      </c>
      <c r="G671" s="10" t="b">
        <f>dataset_1!G400</f>
        <v>0</v>
      </c>
      <c r="H671" s="10">
        <f>dataset_1!H400</f>
        <v>2</v>
      </c>
      <c r="I671" s="10">
        <f>dataset_1!I400</f>
        <v>2</v>
      </c>
      <c r="J671" s="10">
        <f>dataset_1!J400</f>
        <v>0.22</v>
      </c>
      <c r="K671" s="10">
        <f>VLOOKUP(A671,dataset_2!$A$2:$G$611,2,0)</f>
        <v>0.2273</v>
      </c>
      <c r="L671" s="10">
        <f>VLOOKUP(A671,dataset_2!$A$2:$G$611,3,0)</f>
        <v>0.8</v>
      </c>
      <c r="M671" s="10">
        <f>VLOOKUP(A671,dataset_2!$A$2:$G$611,4,0)</f>
        <v>0.1642</v>
      </c>
      <c r="N671" s="10">
        <f>VLOOKUP(A671,dataset_2!$A$2:$G$611,5,0)</f>
        <v>2</v>
      </c>
      <c r="O671" s="10">
        <f>VLOOKUP(A671,dataset_2!$A$2:$G$611,6,0)</f>
        <v>26</v>
      </c>
      <c r="P671" s="10">
        <f>VLOOKUP(A671,dataset_2!$A$2:$G$611,7,0)</f>
        <v>28</v>
      </c>
      <c r="Q671" s="10"/>
      <c r="R671" s="10"/>
      <c r="S671" s="10"/>
      <c r="T671" s="10"/>
      <c r="U671" s="10">
        <f t="shared" si="4"/>
        <v>1</v>
      </c>
      <c r="V671" s="10"/>
      <c r="W671" s="10"/>
      <c r="X671" s="10"/>
      <c r="Y671" s="10"/>
      <c r="Z671" s="10"/>
    </row>
    <row r="672" ht="13.5" customHeight="1">
      <c r="A672" s="10">
        <f>dataset_1!A432</f>
        <v>431</v>
      </c>
      <c r="B672" s="11">
        <f>dataset_1!B432</f>
        <v>40562</v>
      </c>
      <c r="C672" s="10">
        <f>dataset_1!C432</f>
        <v>1</v>
      </c>
      <c r="D672" s="10">
        <f>dataset_1!D432</f>
        <v>0</v>
      </c>
      <c r="E672" s="10">
        <f>dataset_1!E432</f>
        <v>1</v>
      </c>
      <c r="F672" s="10">
        <f>dataset_1!F432</f>
        <v>23</v>
      </c>
      <c r="G672" s="10" t="b">
        <f>dataset_1!G432</f>
        <v>0</v>
      </c>
      <c r="H672" s="10">
        <f>dataset_1!H432</f>
        <v>3</v>
      </c>
      <c r="I672" s="10">
        <f>dataset_1!I432</f>
        <v>1</v>
      </c>
      <c r="J672" s="10">
        <f>dataset_1!J432</f>
        <v>0.3</v>
      </c>
      <c r="K672" s="10">
        <f>VLOOKUP(A672,dataset_2!$A$2:$G$611,2,0)</f>
        <v>0.2727</v>
      </c>
      <c r="L672" s="10">
        <f>VLOOKUP(A672,dataset_2!$A$2:$G$611,3,0)</f>
        <v>0.52</v>
      </c>
      <c r="M672" s="10">
        <f>VLOOKUP(A672,dataset_2!$A$2:$G$611,4,0)</f>
        <v>0.4627</v>
      </c>
      <c r="N672" s="10">
        <f>VLOOKUP(A672,dataset_2!$A$2:$G$611,5,0)</f>
        <v>1</v>
      </c>
      <c r="O672" s="10">
        <f>VLOOKUP(A672,dataset_2!$A$2:$G$611,6,0)</f>
        <v>27</v>
      </c>
      <c r="P672" s="10">
        <f>VLOOKUP(A672,dataset_2!$A$2:$G$611,7,0)</f>
        <v>28</v>
      </c>
      <c r="Q672" s="10"/>
      <c r="R672" s="10"/>
      <c r="S672" s="10"/>
      <c r="T672" s="10"/>
      <c r="U672" s="10">
        <f t="shared" si="4"/>
        <v>1</v>
      </c>
      <c r="V672" s="10"/>
      <c r="W672" s="10"/>
      <c r="X672" s="10"/>
      <c r="Y672" s="10"/>
      <c r="Z672" s="10"/>
    </row>
    <row r="673" ht="13.5" customHeight="1">
      <c r="A673" s="10">
        <f>dataset_1!A512</f>
        <v>511</v>
      </c>
      <c r="B673" s="11">
        <f>dataset_1!B512</f>
        <v>40566</v>
      </c>
      <c r="C673" s="10">
        <f>dataset_1!C512</f>
        <v>1</v>
      </c>
      <c r="D673" s="10">
        <f>dataset_1!D512</f>
        <v>0</v>
      </c>
      <c r="E673" s="10">
        <f>dataset_1!E512</f>
        <v>1</v>
      </c>
      <c r="F673" s="10">
        <f>dataset_1!F512</f>
        <v>9</v>
      </c>
      <c r="G673" s="10" t="b">
        <f>dataset_1!G512</f>
        <v>0</v>
      </c>
      <c r="H673" s="10">
        <f>dataset_1!H512</f>
        <v>0</v>
      </c>
      <c r="I673" s="10">
        <f>dataset_1!I512</f>
        <v>1</v>
      </c>
      <c r="J673" s="10">
        <f>dataset_1!J512</f>
        <v>0.1</v>
      </c>
      <c r="K673" s="10">
        <f>VLOOKUP(A673,dataset_2!$A$2:$G$611,2,0)</f>
        <v>0.0758</v>
      </c>
      <c r="L673" s="10">
        <f>VLOOKUP(A673,dataset_2!$A$2:$G$611,3,0)</f>
        <v>0.54</v>
      </c>
      <c r="M673" s="10">
        <f>VLOOKUP(A673,dataset_2!$A$2:$G$611,4,0)</f>
        <v>0.3582</v>
      </c>
      <c r="N673" s="10">
        <f>VLOOKUP(A673,dataset_2!$A$2:$G$611,5,0)</f>
        <v>3</v>
      </c>
      <c r="O673" s="10">
        <f>VLOOKUP(A673,dataset_2!$A$2:$G$611,6,0)</f>
        <v>25</v>
      </c>
      <c r="P673" s="10">
        <f>VLOOKUP(A673,dataset_2!$A$2:$G$611,7,0)</f>
        <v>28</v>
      </c>
      <c r="Q673" s="10"/>
      <c r="R673" s="10"/>
      <c r="S673" s="10"/>
      <c r="T673" s="10"/>
      <c r="U673" s="10">
        <f t="shared" si="4"/>
        <v>1</v>
      </c>
      <c r="V673" s="10"/>
      <c r="W673" s="10"/>
      <c r="X673" s="10"/>
      <c r="Y673" s="10"/>
      <c r="Z673" s="10"/>
    </row>
    <row r="674" ht="13.5" customHeight="1">
      <c r="A674" s="10">
        <f>dataset_1!A525</f>
        <v>524</v>
      </c>
      <c r="B674" s="11">
        <f>dataset_1!B525</f>
        <v>40566</v>
      </c>
      <c r="C674" s="10">
        <f>dataset_1!C525</f>
        <v>1</v>
      </c>
      <c r="D674" s="10">
        <f>dataset_1!D525</f>
        <v>0</v>
      </c>
      <c r="E674" s="10">
        <f>dataset_1!E525</f>
        <v>1</v>
      </c>
      <c r="F674" s="10">
        <f>dataset_1!F525</f>
        <v>22</v>
      </c>
      <c r="G674" s="10" t="b">
        <f>dataset_1!G525</f>
        <v>0</v>
      </c>
      <c r="H674" s="10">
        <f>dataset_1!H525</f>
        <v>0</v>
      </c>
      <c r="I674" s="10">
        <f>dataset_1!I525</f>
        <v>1</v>
      </c>
      <c r="J674" s="10">
        <f>dataset_1!J525</f>
        <v>0.08</v>
      </c>
      <c r="K674" s="10">
        <f>VLOOKUP(A674,dataset_2!$A$2:$G$611,2,0)</f>
        <v>0.0909</v>
      </c>
      <c r="L674" s="10">
        <f>VLOOKUP(A674,dataset_2!$A$2:$G$611,3,0)</f>
        <v>0.38</v>
      </c>
      <c r="M674" s="10">
        <f>VLOOKUP(A674,dataset_2!$A$2:$G$611,4,0)</f>
        <v>0.194</v>
      </c>
      <c r="N674" s="10">
        <f>VLOOKUP(A674,dataset_2!$A$2:$G$611,5,0)</f>
        <v>5</v>
      </c>
      <c r="O674" s="10">
        <f>VLOOKUP(A674,dataset_2!$A$2:$G$611,6,0)</f>
        <v>23</v>
      </c>
      <c r="P674" s="10">
        <f>VLOOKUP(A674,dataset_2!$A$2:$G$611,7,0)</f>
        <v>28</v>
      </c>
      <c r="Q674" s="10"/>
      <c r="R674" s="10"/>
      <c r="S674" s="10"/>
      <c r="T674" s="10"/>
      <c r="U674" s="10">
        <f t="shared" si="4"/>
        <v>1</v>
      </c>
      <c r="V674" s="10"/>
      <c r="W674" s="10"/>
      <c r="X674" s="10"/>
      <c r="Y674" s="10"/>
      <c r="Z674" s="10"/>
    </row>
    <row r="675" ht="13.5" customHeight="1">
      <c r="A675" s="10">
        <f>dataset_1!A581</f>
        <v>580</v>
      </c>
      <c r="B675" s="11">
        <f>dataset_1!B581</f>
        <v>40569</v>
      </c>
      <c r="C675" s="10">
        <f>dataset_1!C581</f>
        <v>1</v>
      </c>
      <c r="D675" s="10">
        <f>dataset_1!D581</f>
        <v>0</v>
      </c>
      <c r="E675" s="10">
        <f>dataset_1!E581</f>
        <v>1</v>
      </c>
      <c r="F675" s="10">
        <f>dataset_1!F581</f>
        <v>10</v>
      </c>
      <c r="G675" s="10" t="b">
        <f>dataset_1!G581</f>
        <v>0</v>
      </c>
      <c r="H675" s="10">
        <f>dataset_1!H581</f>
        <v>3</v>
      </c>
      <c r="I675" s="10">
        <f>dataset_1!I581</f>
        <v>3</v>
      </c>
      <c r="J675" s="10">
        <f>dataset_1!J581</f>
        <v>0.22</v>
      </c>
      <c r="K675" s="10">
        <f>VLOOKUP(A675,dataset_2!$A$2:$G$611,2,0)</f>
        <v>0.2121</v>
      </c>
      <c r="L675" s="10">
        <f>VLOOKUP(A675,dataset_2!$A$2:$G$611,3,0)</f>
        <v>0.93</v>
      </c>
      <c r="M675" s="10">
        <f>VLOOKUP(A675,dataset_2!$A$2:$G$611,4,0)</f>
        <v>0.2836</v>
      </c>
      <c r="N675" s="10">
        <f>VLOOKUP(A675,dataset_2!$A$2:$G$611,5,0)</f>
        <v>2</v>
      </c>
      <c r="O675" s="10">
        <f>VLOOKUP(A675,dataset_2!$A$2:$G$611,6,0)</f>
        <v>26</v>
      </c>
      <c r="P675" s="10">
        <f>VLOOKUP(A675,dataset_2!$A$2:$G$611,7,0)</f>
        <v>28</v>
      </c>
      <c r="Q675" s="10"/>
      <c r="R675" s="10"/>
      <c r="S675" s="10"/>
      <c r="T675" s="10"/>
      <c r="U675" s="10">
        <f t="shared" si="4"/>
        <v>1</v>
      </c>
      <c r="V675" s="10"/>
      <c r="W675" s="10"/>
      <c r="X675" s="10"/>
      <c r="Y675" s="10"/>
      <c r="Z675" s="10"/>
    </row>
    <row r="676" ht="13.5" customHeight="1">
      <c r="A676" s="3">
        <v>619.0</v>
      </c>
      <c r="B676" s="12">
        <v>40572.0</v>
      </c>
      <c r="C676" s="3">
        <v>1.0</v>
      </c>
      <c r="D676" s="3">
        <v>0.0</v>
      </c>
      <c r="E676" s="3">
        <v>1.0</v>
      </c>
      <c r="F676" s="3">
        <v>0.0</v>
      </c>
      <c r="G676" s="3" t="b">
        <f t="shared" ref="G676:G678" si="74">FALSE()</f>
        <v>0</v>
      </c>
      <c r="H676" s="3">
        <v>6.0</v>
      </c>
      <c r="I676" s="3">
        <v>1.0</v>
      </c>
      <c r="J676" s="3">
        <v>0.22</v>
      </c>
      <c r="K676" s="3">
        <v>0.197</v>
      </c>
      <c r="L676" s="3">
        <v>0.64</v>
      </c>
      <c r="M676" s="3">
        <v>0.3582</v>
      </c>
      <c r="N676" s="3">
        <v>2.0</v>
      </c>
      <c r="O676" s="3">
        <v>26.0</v>
      </c>
      <c r="P676" s="3">
        <v>28.0</v>
      </c>
      <c r="Q676" s="10"/>
      <c r="R676" s="10"/>
      <c r="S676" s="10"/>
      <c r="T676" s="10"/>
      <c r="U676" s="10">
        <f t="shared" si="4"/>
        <v>1</v>
      </c>
      <c r="V676" s="10"/>
      <c r="W676" s="10"/>
      <c r="X676" s="10"/>
      <c r="Y676" s="10"/>
      <c r="Z676" s="10"/>
    </row>
    <row r="677" ht="13.5" customHeight="1">
      <c r="A677" s="3">
        <v>662.0</v>
      </c>
      <c r="B677" s="12">
        <v>40573.0</v>
      </c>
      <c r="C677" s="3">
        <v>1.0</v>
      </c>
      <c r="D677" s="3">
        <v>0.0</v>
      </c>
      <c r="E677" s="3">
        <v>1.0</v>
      </c>
      <c r="F677" s="3">
        <v>21.0</v>
      </c>
      <c r="G677" s="3" t="b">
        <f t="shared" si="74"/>
        <v>0</v>
      </c>
      <c r="H677" s="3">
        <v>0.0</v>
      </c>
      <c r="I677" s="3">
        <v>2.0</v>
      </c>
      <c r="J677" s="3">
        <v>0.24</v>
      </c>
      <c r="K677" s="3">
        <v>0.2424</v>
      </c>
      <c r="L677" s="3">
        <v>0.7</v>
      </c>
      <c r="M677" s="3">
        <v>0.1642</v>
      </c>
      <c r="N677" s="3">
        <v>3.0</v>
      </c>
      <c r="O677" s="3">
        <v>25.0</v>
      </c>
      <c r="P677" s="3">
        <v>28.0</v>
      </c>
      <c r="Q677" s="10"/>
      <c r="R677" s="10"/>
      <c r="S677" s="10"/>
      <c r="T677" s="10"/>
      <c r="U677" s="10">
        <f t="shared" si="4"/>
        <v>1</v>
      </c>
      <c r="V677" s="10"/>
      <c r="W677" s="10"/>
      <c r="X677" s="10"/>
      <c r="Y677" s="10"/>
      <c r="Z677" s="10"/>
    </row>
    <row r="678" ht="13.5" customHeight="1">
      <c r="A678" s="3">
        <v>764.0</v>
      </c>
      <c r="B678" s="12">
        <v>40578.0</v>
      </c>
      <c r="C678" s="3">
        <v>1.0</v>
      </c>
      <c r="D678" s="3">
        <v>0.0</v>
      </c>
      <c r="E678" s="3">
        <v>2.0</v>
      </c>
      <c r="F678" s="3">
        <v>6.0</v>
      </c>
      <c r="G678" s="3" t="b">
        <f t="shared" si="74"/>
        <v>0</v>
      </c>
      <c r="H678" s="3">
        <v>5.0</v>
      </c>
      <c r="I678" s="3">
        <v>2.0</v>
      </c>
      <c r="J678" s="3">
        <v>0.16</v>
      </c>
      <c r="K678" s="3">
        <v>0.2273</v>
      </c>
      <c r="L678" s="3">
        <v>0.55</v>
      </c>
      <c r="M678" s="3">
        <v>0.0</v>
      </c>
      <c r="N678" s="3">
        <v>2.0</v>
      </c>
      <c r="O678" s="3">
        <v>26.0</v>
      </c>
      <c r="P678" s="3">
        <v>28.0</v>
      </c>
      <c r="Q678" s="10"/>
      <c r="R678" s="10"/>
      <c r="S678" s="10"/>
      <c r="T678" s="10"/>
      <c r="U678" s="10">
        <f t="shared" si="4"/>
        <v>1</v>
      </c>
      <c r="V678" s="10"/>
      <c r="W678" s="10"/>
      <c r="X678" s="10"/>
      <c r="Y678" s="10"/>
      <c r="Z678" s="10"/>
    </row>
    <row r="679" ht="13.5" customHeight="1">
      <c r="A679" s="10">
        <f>dataset_1!A239</f>
        <v>238</v>
      </c>
      <c r="B679" s="11">
        <f>dataset_1!B239</f>
        <v>40554</v>
      </c>
      <c r="C679" s="10">
        <f>dataset_1!C239</f>
        <v>1</v>
      </c>
      <c r="D679" s="10">
        <f>dataset_1!D239</f>
        <v>0</v>
      </c>
      <c r="E679" s="10">
        <f>dataset_1!E239</f>
        <v>1</v>
      </c>
      <c r="F679" s="10">
        <f>dataset_1!F239</f>
        <v>6</v>
      </c>
      <c r="G679" s="10" t="b">
        <f>dataset_1!G239</f>
        <v>0</v>
      </c>
      <c r="H679" s="10">
        <f>dataset_1!H239</f>
        <v>2</v>
      </c>
      <c r="I679" s="10">
        <f>dataset_1!I239</f>
        <v>2</v>
      </c>
      <c r="J679" s="10">
        <f>dataset_1!J239</f>
        <v>0.16</v>
      </c>
      <c r="K679" s="10">
        <f>VLOOKUP(A679,dataset_2!$A$2:$G$611,2,0)</f>
        <v>0.1818</v>
      </c>
      <c r="L679" s="10">
        <f>VLOOKUP(A679,dataset_2!$A$2:$G$611,3,0)</f>
        <v>0.55</v>
      </c>
      <c r="M679" s="10">
        <f>VLOOKUP(A679,dataset_2!$A$2:$G$611,4,0)</f>
        <v>0.1343</v>
      </c>
      <c r="N679" s="10">
        <f>VLOOKUP(A679,dataset_2!$A$2:$G$611,5,0)</f>
        <v>0</v>
      </c>
      <c r="O679" s="10">
        <f>VLOOKUP(A679,dataset_2!$A$2:$G$611,6,0)</f>
        <v>27</v>
      </c>
      <c r="P679" s="10">
        <f>VLOOKUP(A679,dataset_2!$A$2:$G$611,7,0)</f>
        <v>27</v>
      </c>
      <c r="Q679" s="10"/>
      <c r="R679" s="10"/>
      <c r="S679" s="10"/>
      <c r="T679" s="10"/>
      <c r="U679" s="10">
        <f t="shared" si="4"/>
        <v>1</v>
      </c>
      <c r="V679" s="10"/>
      <c r="W679" s="10"/>
      <c r="X679" s="10"/>
      <c r="Y679" s="10"/>
      <c r="Z679" s="10"/>
    </row>
    <row r="680" ht="13.5" customHeight="1">
      <c r="A680" s="10">
        <f>dataset_1!A325</f>
        <v>324</v>
      </c>
      <c r="B680" s="11">
        <f>dataset_1!B325</f>
        <v>40557</v>
      </c>
      <c r="C680" s="10">
        <f>dataset_1!C325</f>
        <v>1</v>
      </c>
      <c r="D680" s="10">
        <f>dataset_1!D325</f>
        <v>0</v>
      </c>
      <c r="E680" s="10">
        <f>dataset_1!E325</f>
        <v>1</v>
      </c>
      <c r="F680" s="10">
        <f>dataset_1!F325</f>
        <v>23</v>
      </c>
      <c r="G680" s="10" t="b">
        <f>dataset_1!G325</f>
        <v>0</v>
      </c>
      <c r="H680" s="10">
        <f>dataset_1!H325</f>
        <v>5</v>
      </c>
      <c r="I680" s="10">
        <f>dataset_1!I325</f>
        <v>2</v>
      </c>
      <c r="J680" s="10">
        <f>dataset_1!J325</f>
        <v>0.18</v>
      </c>
      <c r="K680" s="10">
        <f>VLOOKUP(A680,dataset_2!$A$2:$G$611,2,0)</f>
        <v>0.2424</v>
      </c>
      <c r="L680" s="10">
        <f>VLOOKUP(A680,dataset_2!$A$2:$G$611,3,0)</f>
        <v>0.55</v>
      </c>
      <c r="M680" s="10">
        <f>VLOOKUP(A680,dataset_2!$A$2:$G$611,4,0)</f>
        <v>0</v>
      </c>
      <c r="N680" s="10">
        <f>VLOOKUP(A680,dataset_2!$A$2:$G$611,5,0)</f>
        <v>1</v>
      </c>
      <c r="O680" s="10">
        <f>VLOOKUP(A680,dataset_2!$A$2:$G$611,6,0)</f>
        <v>26</v>
      </c>
      <c r="P680" s="10">
        <f>VLOOKUP(A680,dataset_2!$A$2:$G$611,7,0)</f>
        <v>27</v>
      </c>
      <c r="Q680" s="10"/>
      <c r="R680" s="10"/>
      <c r="S680" s="10"/>
      <c r="T680" s="10"/>
      <c r="U680" s="10">
        <f t="shared" si="4"/>
        <v>1</v>
      </c>
      <c r="V680" s="10"/>
      <c r="W680" s="10"/>
      <c r="X680" s="10"/>
      <c r="Y680" s="10"/>
      <c r="Z680" s="10"/>
    </row>
    <row r="681" ht="13.5" customHeight="1">
      <c r="A681" s="10">
        <f>dataset_1!A395</f>
        <v>394</v>
      </c>
      <c r="B681" s="11">
        <f>dataset_1!B395</f>
        <v>40560</v>
      </c>
      <c r="C681" s="10">
        <f>dataset_1!C395</f>
        <v>1</v>
      </c>
      <c r="D681" s="10">
        <f>dataset_1!D395</f>
        <v>0</v>
      </c>
      <c r="E681" s="10">
        <f>dataset_1!E395</f>
        <v>1</v>
      </c>
      <c r="F681" s="10">
        <f>dataset_1!F395</f>
        <v>21</v>
      </c>
      <c r="G681" s="10" t="b">
        <f>dataset_1!G395</f>
        <v>1</v>
      </c>
      <c r="H681" s="10">
        <f>dataset_1!H395</f>
        <v>1</v>
      </c>
      <c r="I681" s="10">
        <f>dataset_1!I395</f>
        <v>3</v>
      </c>
      <c r="J681" s="10">
        <f>dataset_1!J395</f>
        <v>0.16</v>
      </c>
      <c r="K681" s="10">
        <f>VLOOKUP(A681,dataset_2!$A$2:$G$611,2,0)</f>
        <v>0.1515</v>
      </c>
      <c r="L681" s="10">
        <f>VLOOKUP(A681,dataset_2!$A$2:$G$611,3,0)</f>
        <v>0.8</v>
      </c>
      <c r="M681" s="10">
        <f>VLOOKUP(A681,dataset_2!$A$2:$G$611,4,0)</f>
        <v>0.194</v>
      </c>
      <c r="N681" s="10">
        <f>VLOOKUP(A681,dataset_2!$A$2:$G$611,5,0)</f>
        <v>3</v>
      </c>
      <c r="O681" s="10">
        <f>VLOOKUP(A681,dataset_2!$A$2:$G$611,6,0)</f>
        <v>24</v>
      </c>
      <c r="P681" s="10">
        <f>VLOOKUP(A681,dataset_2!$A$2:$G$611,7,0)</f>
        <v>27</v>
      </c>
      <c r="Q681" s="10"/>
      <c r="R681" s="10"/>
      <c r="S681" s="10"/>
      <c r="T681" s="10"/>
      <c r="U681" s="10">
        <f t="shared" si="4"/>
        <v>1</v>
      </c>
      <c r="V681" s="10"/>
      <c r="W681" s="10"/>
      <c r="X681" s="10"/>
      <c r="Y681" s="10"/>
      <c r="Z681" s="10"/>
    </row>
    <row r="682" ht="13.5" customHeight="1">
      <c r="A682" s="10">
        <f>dataset_1!A463</f>
        <v>462</v>
      </c>
      <c r="B682" s="11">
        <f>dataset_1!B463</f>
        <v>40564</v>
      </c>
      <c r="C682" s="10">
        <f>dataset_1!C463</f>
        <v>1</v>
      </c>
      <c r="D682" s="10">
        <f>dataset_1!D463</f>
        <v>0</v>
      </c>
      <c r="E682" s="10">
        <f>dataset_1!E463</f>
        <v>1</v>
      </c>
      <c r="F682" s="10">
        <f>dataset_1!F463</f>
        <v>6</v>
      </c>
      <c r="G682" s="10" t="b">
        <f>dataset_1!G463</f>
        <v>0</v>
      </c>
      <c r="H682" s="10">
        <f>dataset_1!H463</f>
        <v>5</v>
      </c>
      <c r="I682" s="10">
        <f>dataset_1!I463</f>
        <v>1</v>
      </c>
      <c r="J682" s="10">
        <f>dataset_1!J463</f>
        <v>0.22</v>
      </c>
      <c r="K682" s="10">
        <f>VLOOKUP(A682,dataset_2!$A$2:$G$611,2,0)</f>
        <v>0.2121</v>
      </c>
      <c r="L682" s="10">
        <f>VLOOKUP(A682,dataset_2!$A$2:$G$611,3,0)</f>
        <v>0.55</v>
      </c>
      <c r="M682" s="10">
        <f>VLOOKUP(A682,dataset_2!$A$2:$G$611,4,0)</f>
        <v>0.2537</v>
      </c>
      <c r="N682" s="10">
        <f>VLOOKUP(A682,dataset_2!$A$2:$G$611,5,0)</f>
        <v>0</v>
      </c>
      <c r="O682" s="10">
        <f>VLOOKUP(A682,dataset_2!$A$2:$G$611,6,0)</f>
        <v>27</v>
      </c>
      <c r="P682" s="10">
        <f>VLOOKUP(A682,dataset_2!$A$2:$G$611,7,0)</f>
        <v>27</v>
      </c>
      <c r="Q682" s="10"/>
      <c r="R682" s="10"/>
      <c r="S682" s="10"/>
      <c r="T682" s="10"/>
      <c r="U682" s="10">
        <f t="shared" si="4"/>
        <v>1</v>
      </c>
      <c r="V682" s="10"/>
      <c r="W682" s="10"/>
      <c r="X682" s="10"/>
      <c r="Y682" s="10"/>
      <c r="Z682" s="10"/>
    </row>
    <row r="683" ht="13.5" customHeight="1">
      <c r="A683" s="10">
        <f>dataset_1!A480</f>
        <v>479</v>
      </c>
      <c r="B683" s="11">
        <f>dataset_1!B480</f>
        <v>40564</v>
      </c>
      <c r="C683" s="10">
        <f>dataset_1!C480</f>
        <v>1</v>
      </c>
      <c r="D683" s="10">
        <f>dataset_1!D480</f>
        <v>0</v>
      </c>
      <c r="E683" s="10">
        <f>dataset_1!E480</f>
        <v>1</v>
      </c>
      <c r="F683" s="10">
        <f>dataset_1!F480</f>
        <v>23</v>
      </c>
      <c r="G683" s="10" t="b">
        <f>dataset_1!G480</f>
        <v>0</v>
      </c>
      <c r="H683" s="10">
        <f>dataset_1!H480</f>
        <v>5</v>
      </c>
      <c r="I683" s="10">
        <f>dataset_1!I480</f>
        <v>1</v>
      </c>
      <c r="J683" s="10">
        <f>dataset_1!J480</f>
        <v>0.06</v>
      </c>
      <c r="K683" s="10">
        <f>VLOOKUP(A683,dataset_2!$A$2:$G$611,2,0)</f>
        <v>0.0455</v>
      </c>
      <c r="L683" s="10">
        <f>VLOOKUP(A683,dataset_2!$A$2:$G$611,3,0)</f>
        <v>0.38</v>
      </c>
      <c r="M683" s="10">
        <f>VLOOKUP(A683,dataset_2!$A$2:$G$611,4,0)</f>
        <v>0.3284</v>
      </c>
      <c r="N683" s="10">
        <f>VLOOKUP(A683,dataset_2!$A$2:$G$611,5,0)</f>
        <v>0</v>
      </c>
      <c r="O683" s="10">
        <f>VLOOKUP(A683,dataset_2!$A$2:$G$611,6,0)</f>
        <v>27</v>
      </c>
      <c r="P683" s="10">
        <f>VLOOKUP(A683,dataset_2!$A$2:$G$611,7,0)</f>
        <v>27</v>
      </c>
      <c r="Q683" s="10"/>
      <c r="R683" s="10"/>
      <c r="S683" s="10"/>
      <c r="T683" s="10"/>
      <c r="U683" s="10">
        <f t="shared" si="4"/>
        <v>1</v>
      </c>
      <c r="V683" s="10"/>
      <c r="W683" s="10"/>
      <c r="X683" s="10"/>
      <c r="Y683" s="10"/>
      <c r="Z683" s="10"/>
    </row>
    <row r="684" ht="13.5" customHeight="1">
      <c r="A684" s="10">
        <f>dataset_1!A488</f>
        <v>487</v>
      </c>
      <c r="B684" s="11">
        <f>dataset_1!B488</f>
        <v>40565</v>
      </c>
      <c r="C684" s="10">
        <f>dataset_1!C488</f>
        <v>1</v>
      </c>
      <c r="D684" s="10">
        <f>dataset_1!D488</f>
        <v>0</v>
      </c>
      <c r="E684" s="10">
        <f>dataset_1!E488</f>
        <v>1</v>
      </c>
      <c r="F684" s="10">
        <f>dataset_1!F488</f>
        <v>8</v>
      </c>
      <c r="G684" s="10" t="b">
        <f>dataset_1!G488</f>
        <v>0</v>
      </c>
      <c r="H684" s="10">
        <f>dataset_1!H488</f>
        <v>6</v>
      </c>
      <c r="I684" s="10">
        <f>dataset_1!I488</f>
        <v>1</v>
      </c>
      <c r="J684" s="10">
        <f>dataset_1!J488</f>
        <v>0.02</v>
      </c>
      <c r="K684" s="10">
        <f>VLOOKUP(A684,dataset_2!$A$2:$G$611,2,0)</f>
        <v>0</v>
      </c>
      <c r="L684" s="10">
        <f>VLOOKUP(A684,dataset_2!$A$2:$G$611,3,0)</f>
        <v>0.44</v>
      </c>
      <c r="M684" s="10">
        <f>VLOOKUP(A684,dataset_2!$A$2:$G$611,4,0)</f>
        <v>0.3284</v>
      </c>
      <c r="N684" s="10">
        <f>VLOOKUP(A684,dataset_2!$A$2:$G$611,5,0)</f>
        <v>1</v>
      </c>
      <c r="O684" s="10">
        <f>VLOOKUP(A684,dataset_2!$A$2:$G$611,6,0)</f>
        <v>26</v>
      </c>
      <c r="P684" s="10">
        <f>VLOOKUP(A684,dataset_2!$A$2:$G$611,7,0)</f>
        <v>27</v>
      </c>
      <c r="Q684" s="10"/>
      <c r="R684" s="10"/>
      <c r="S684" s="10"/>
      <c r="T684" s="10"/>
      <c r="U684" s="10">
        <f t="shared" si="4"/>
        <v>1</v>
      </c>
      <c r="V684" s="10"/>
      <c r="W684" s="10"/>
      <c r="X684" s="10"/>
      <c r="Y684" s="10"/>
      <c r="Z684" s="10"/>
    </row>
    <row r="685" ht="13.5" customHeight="1">
      <c r="A685" s="10">
        <f>dataset_1!A595</f>
        <v>594</v>
      </c>
      <c r="B685" s="11">
        <f>dataset_1!B595</f>
        <v>40570</v>
      </c>
      <c r="C685" s="10">
        <f>dataset_1!C595</f>
        <v>1</v>
      </c>
      <c r="D685" s="10">
        <f>dataset_1!D595</f>
        <v>0</v>
      </c>
      <c r="E685" s="10">
        <f>dataset_1!E595</f>
        <v>1</v>
      </c>
      <c r="F685" s="10">
        <f>dataset_1!F595</f>
        <v>22</v>
      </c>
      <c r="G685" s="10" t="b">
        <f>dataset_1!G595</f>
        <v>0</v>
      </c>
      <c r="H685" s="10">
        <f>dataset_1!H595</f>
        <v>4</v>
      </c>
      <c r="I685" s="10">
        <f>dataset_1!I595</f>
        <v>1</v>
      </c>
      <c r="J685" s="10">
        <f>dataset_1!J595</f>
        <v>0.18</v>
      </c>
      <c r="K685" s="10">
        <f>VLOOKUP(A685,dataset_2!$A$2:$G$611,2,0)</f>
        <v>0.2121</v>
      </c>
      <c r="L685" s="10">
        <f>VLOOKUP(A685,dataset_2!$A$2:$G$611,3,0)</f>
        <v>0.74</v>
      </c>
      <c r="M685" s="10">
        <f>VLOOKUP(A685,dataset_2!$A$2:$G$611,4,0)</f>
        <v>0.0896</v>
      </c>
      <c r="N685" s="10">
        <f>VLOOKUP(A685,dataset_2!$A$2:$G$611,5,0)</f>
        <v>0</v>
      </c>
      <c r="O685" s="10">
        <f>VLOOKUP(A685,dataset_2!$A$2:$G$611,6,0)</f>
        <v>27</v>
      </c>
      <c r="P685" s="10">
        <f>VLOOKUP(A685,dataset_2!$A$2:$G$611,7,0)</f>
        <v>27</v>
      </c>
      <c r="Q685" s="10"/>
      <c r="R685" s="10"/>
      <c r="S685" s="10"/>
      <c r="T685" s="10"/>
      <c r="U685" s="10">
        <f t="shared" si="4"/>
        <v>1</v>
      </c>
      <c r="V685" s="10"/>
      <c r="W685" s="10"/>
      <c r="X685" s="10"/>
      <c r="Y685" s="10"/>
      <c r="Z685" s="10"/>
    </row>
    <row r="686" ht="13.5" customHeight="1">
      <c r="A686" s="3">
        <v>827.0</v>
      </c>
      <c r="B686" s="12">
        <v>40580.0</v>
      </c>
      <c r="C686" s="3">
        <v>1.0</v>
      </c>
      <c r="D686" s="3">
        <v>0.0</v>
      </c>
      <c r="E686" s="3">
        <v>2.0</v>
      </c>
      <c r="F686" s="3">
        <v>21.0</v>
      </c>
      <c r="G686" s="3" t="b">
        <f>FALSE()</f>
        <v>0</v>
      </c>
      <c r="H686" s="3">
        <v>0.0</v>
      </c>
      <c r="I686" s="3">
        <v>1.0</v>
      </c>
      <c r="J686" s="3">
        <v>0.26</v>
      </c>
      <c r="K686" s="3">
        <v>0.303</v>
      </c>
      <c r="L686" s="3">
        <v>0.6</v>
      </c>
      <c r="M686" s="3">
        <v>0.0</v>
      </c>
      <c r="N686" s="3">
        <v>5.0</v>
      </c>
      <c r="O686" s="3">
        <v>22.0</v>
      </c>
      <c r="P686" s="3">
        <v>27.0</v>
      </c>
      <c r="Q686" s="10"/>
      <c r="R686" s="10"/>
      <c r="S686" s="10"/>
      <c r="T686" s="10"/>
      <c r="U686" s="10">
        <f t="shared" si="4"/>
        <v>1</v>
      </c>
      <c r="V686" s="10"/>
      <c r="W686" s="10"/>
      <c r="X686" s="10"/>
      <c r="Y686" s="10"/>
      <c r="Z686" s="10"/>
    </row>
    <row r="687" ht="13.5" customHeight="1">
      <c r="A687" s="10">
        <f>dataset_1!A348</f>
        <v>347</v>
      </c>
      <c r="B687" s="11">
        <f>dataset_1!B348</f>
        <v>40558</v>
      </c>
      <c r="C687" s="10">
        <f>dataset_1!C348</f>
        <v>1</v>
      </c>
      <c r="D687" s="10">
        <f>dataset_1!D348</f>
        <v>0</v>
      </c>
      <c r="E687" s="10">
        <f>dataset_1!E348</f>
        <v>1</v>
      </c>
      <c r="F687" s="10">
        <f>dataset_1!F348</f>
        <v>22</v>
      </c>
      <c r="G687" s="10" t="b">
        <f>dataset_1!G348</f>
        <v>0</v>
      </c>
      <c r="H687" s="10">
        <f>dataset_1!H348</f>
        <v>6</v>
      </c>
      <c r="I687" s="10">
        <f>dataset_1!I348</f>
        <v>2</v>
      </c>
      <c r="J687" s="10">
        <f>dataset_1!J348</f>
        <v>0.3</v>
      </c>
      <c r="K687" s="10">
        <f>VLOOKUP(A687,dataset_2!$A$2:$G$611,2,0)</f>
        <v>0.3182</v>
      </c>
      <c r="L687" s="10">
        <f>VLOOKUP(A687,dataset_2!$A$2:$G$611,3,0)</f>
        <v>0.42</v>
      </c>
      <c r="M687" s="10">
        <f>VLOOKUP(A687,dataset_2!$A$2:$G$611,4,0)</f>
        <v>0.1045</v>
      </c>
      <c r="N687" s="10">
        <f>VLOOKUP(A687,dataset_2!$A$2:$G$611,5,0)</f>
        <v>0</v>
      </c>
      <c r="O687" s="10">
        <f>VLOOKUP(A687,dataset_2!$A$2:$G$611,6,0)</f>
        <v>26</v>
      </c>
      <c r="P687" s="10">
        <f>VLOOKUP(A687,dataset_2!$A$2:$G$611,7,0)</f>
        <v>26</v>
      </c>
      <c r="Q687" s="10"/>
      <c r="R687" s="10"/>
      <c r="S687" s="10"/>
      <c r="T687" s="10"/>
      <c r="U687" s="10">
        <f t="shared" si="4"/>
        <v>1</v>
      </c>
      <c r="V687" s="10"/>
      <c r="W687" s="10"/>
      <c r="X687" s="10"/>
      <c r="Y687" s="10"/>
      <c r="Z687" s="10"/>
    </row>
    <row r="688" ht="13.5" customHeight="1">
      <c r="A688" s="10">
        <f>dataset_1!A588</f>
        <v>587</v>
      </c>
      <c r="B688" s="11">
        <f>dataset_1!B588</f>
        <v>40569</v>
      </c>
      <c r="C688" s="10">
        <f>dataset_1!C588</f>
        <v>1</v>
      </c>
      <c r="D688" s="10">
        <f>dataset_1!D588</f>
        <v>0</v>
      </c>
      <c r="E688" s="10">
        <f>dataset_1!E588</f>
        <v>1</v>
      </c>
      <c r="F688" s="10">
        <f>dataset_1!F588</f>
        <v>17</v>
      </c>
      <c r="G688" s="10" t="b">
        <f>dataset_1!G588</f>
        <v>0</v>
      </c>
      <c r="H688" s="10">
        <f>dataset_1!H588</f>
        <v>3</v>
      </c>
      <c r="I688" s="10">
        <f>dataset_1!I588</f>
        <v>3</v>
      </c>
      <c r="J688" s="10">
        <f>dataset_1!J588</f>
        <v>0.2</v>
      </c>
      <c r="K688" s="10">
        <f>VLOOKUP(A688,dataset_2!$A$2:$G$611,2,0)</f>
        <v>0.1818</v>
      </c>
      <c r="L688" s="10">
        <f>VLOOKUP(A688,dataset_2!$A$2:$G$611,3,0)</f>
        <v>0.93</v>
      </c>
      <c r="M688" s="10">
        <f>VLOOKUP(A688,dataset_2!$A$2:$G$611,4,0)</f>
        <v>0.3582</v>
      </c>
      <c r="N688" s="10">
        <f>VLOOKUP(A688,dataset_2!$A$2:$G$611,5,0)</f>
        <v>0</v>
      </c>
      <c r="O688" s="10">
        <f>VLOOKUP(A688,dataset_2!$A$2:$G$611,6,0)</f>
        <v>26</v>
      </c>
      <c r="P688" s="10">
        <f>VLOOKUP(A688,dataset_2!$A$2:$G$611,7,0)</f>
        <v>26</v>
      </c>
      <c r="Q688" s="10"/>
      <c r="R688" s="10"/>
      <c r="S688" s="10"/>
      <c r="T688" s="10"/>
      <c r="U688" s="10">
        <f t="shared" si="4"/>
        <v>1</v>
      </c>
      <c r="V688" s="10"/>
      <c r="W688" s="10"/>
      <c r="X688" s="10"/>
      <c r="Y688" s="10"/>
      <c r="Z688" s="10"/>
    </row>
    <row r="689" ht="13.5" customHeight="1">
      <c r="A689" s="3">
        <v>617.0</v>
      </c>
      <c r="B689" s="12">
        <v>40571.0</v>
      </c>
      <c r="C689" s="3">
        <v>1.0</v>
      </c>
      <c r="D689" s="3">
        <v>0.0</v>
      </c>
      <c r="E689" s="3">
        <v>1.0</v>
      </c>
      <c r="F689" s="3">
        <v>22.0</v>
      </c>
      <c r="G689" s="3" t="b">
        <f t="shared" ref="G689:G692" si="75">FALSE()</f>
        <v>0</v>
      </c>
      <c r="H689" s="3">
        <v>5.0</v>
      </c>
      <c r="I689" s="3">
        <v>1.0</v>
      </c>
      <c r="J689" s="3">
        <v>0.24</v>
      </c>
      <c r="K689" s="3">
        <v>0.2121</v>
      </c>
      <c r="L689" s="3">
        <v>0.65</v>
      </c>
      <c r="M689" s="3">
        <v>0.3582</v>
      </c>
      <c r="N689" s="3">
        <v>0.0</v>
      </c>
      <c r="O689" s="3">
        <v>26.0</v>
      </c>
      <c r="P689" s="3">
        <v>26.0</v>
      </c>
      <c r="Q689" s="10"/>
      <c r="R689" s="10"/>
      <c r="S689" s="10"/>
      <c r="T689" s="10"/>
      <c r="U689" s="10">
        <f t="shared" si="4"/>
        <v>1</v>
      </c>
      <c r="V689" s="10"/>
      <c r="W689" s="10"/>
      <c r="X689" s="10"/>
      <c r="Y689" s="10"/>
      <c r="Z689" s="10"/>
    </row>
    <row r="690" ht="13.5" customHeight="1">
      <c r="A690" s="3">
        <v>826.0</v>
      </c>
      <c r="B690" s="12">
        <v>40580.0</v>
      </c>
      <c r="C690" s="3">
        <v>1.0</v>
      </c>
      <c r="D690" s="3">
        <v>0.0</v>
      </c>
      <c r="E690" s="3">
        <v>2.0</v>
      </c>
      <c r="F690" s="3">
        <v>20.0</v>
      </c>
      <c r="G690" s="3" t="b">
        <f t="shared" si="75"/>
        <v>0</v>
      </c>
      <c r="H690" s="3">
        <v>0.0</v>
      </c>
      <c r="I690" s="3">
        <v>1.0</v>
      </c>
      <c r="J690" s="3">
        <v>0.28</v>
      </c>
      <c r="K690" s="3">
        <v>0.2879</v>
      </c>
      <c r="L690" s="3">
        <v>0.61</v>
      </c>
      <c r="M690" s="3">
        <v>0.1045</v>
      </c>
      <c r="N690" s="3">
        <v>5.0</v>
      </c>
      <c r="O690" s="3">
        <v>21.0</v>
      </c>
      <c r="P690" s="3">
        <v>26.0</v>
      </c>
      <c r="Q690" s="10"/>
      <c r="R690" s="10"/>
      <c r="S690" s="10"/>
      <c r="T690" s="10"/>
      <c r="U690" s="10">
        <f t="shared" si="4"/>
        <v>1</v>
      </c>
      <c r="V690" s="10"/>
      <c r="W690" s="10"/>
      <c r="X690" s="10"/>
      <c r="Y690" s="10"/>
      <c r="Z690" s="10"/>
    </row>
    <row r="691" ht="13.5" customHeight="1">
      <c r="A691" s="3">
        <v>906.0</v>
      </c>
      <c r="B691" s="12">
        <v>40584.0</v>
      </c>
      <c r="C691" s="3">
        <v>1.0</v>
      </c>
      <c r="D691" s="3">
        <v>0.0</v>
      </c>
      <c r="E691" s="3">
        <v>2.0</v>
      </c>
      <c r="F691" s="3">
        <v>6.0</v>
      </c>
      <c r="G691" s="3" t="b">
        <f t="shared" si="75"/>
        <v>0</v>
      </c>
      <c r="H691" s="3">
        <v>4.0</v>
      </c>
      <c r="I691" s="3">
        <v>2.0</v>
      </c>
      <c r="J691" s="3">
        <v>0.12</v>
      </c>
      <c r="K691" s="3">
        <v>0.1212</v>
      </c>
      <c r="L691" s="3">
        <v>0.54</v>
      </c>
      <c r="M691" s="3">
        <v>0.2836</v>
      </c>
      <c r="N691" s="3">
        <v>0.0</v>
      </c>
      <c r="O691" s="3">
        <v>26.0</v>
      </c>
      <c r="P691" s="3">
        <v>26.0</v>
      </c>
      <c r="Q691" s="10"/>
      <c r="R691" s="10"/>
      <c r="S691" s="10"/>
      <c r="T691" s="10"/>
      <c r="U691" s="10">
        <f t="shared" si="4"/>
        <v>1</v>
      </c>
      <c r="V691" s="10"/>
      <c r="W691" s="10"/>
      <c r="X691" s="10"/>
      <c r="Y691" s="10"/>
      <c r="Z691" s="10"/>
    </row>
    <row r="692" ht="13.5" customHeight="1">
      <c r="A692" s="3">
        <v>999.0</v>
      </c>
      <c r="B692" s="12">
        <v>40588.0</v>
      </c>
      <c r="C692" s="3">
        <v>1.0</v>
      </c>
      <c r="D692" s="3">
        <v>0.0</v>
      </c>
      <c r="E692" s="3">
        <v>2.0</v>
      </c>
      <c r="F692" s="3">
        <v>6.0</v>
      </c>
      <c r="G692" s="3" t="b">
        <f t="shared" si="75"/>
        <v>0</v>
      </c>
      <c r="H692" s="3">
        <v>1.0</v>
      </c>
      <c r="I692" s="3">
        <v>1.0</v>
      </c>
      <c r="J692" s="3">
        <v>0.34</v>
      </c>
      <c r="K692" s="3">
        <v>0.303</v>
      </c>
      <c r="L692" s="3">
        <v>0.46</v>
      </c>
      <c r="M692" s="3">
        <v>0.2985</v>
      </c>
      <c r="N692" s="3">
        <v>1.0</v>
      </c>
      <c r="O692" s="3">
        <v>25.0</v>
      </c>
      <c r="P692" s="3">
        <v>26.0</v>
      </c>
      <c r="Q692" s="10"/>
      <c r="R692" s="10"/>
      <c r="S692" s="10"/>
      <c r="T692" s="10"/>
      <c r="U692" s="10">
        <f t="shared" si="4"/>
        <v>1</v>
      </c>
      <c r="V692" s="10"/>
      <c r="W692" s="10"/>
      <c r="X692" s="10"/>
      <c r="Y692" s="10"/>
      <c r="Z692" s="10"/>
    </row>
    <row r="693" ht="13.5" customHeight="1">
      <c r="A693" s="10">
        <f>dataset_1!A163</f>
        <v>162</v>
      </c>
      <c r="B693" s="11">
        <f>dataset_1!B163</f>
        <v>40551</v>
      </c>
      <c r="C693" s="10">
        <f>dataset_1!C163</f>
        <v>1</v>
      </c>
      <c r="D693" s="10">
        <f>dataset_1!D163</f>
        <v>0</v>
      </c>
      <c r="E693" s="10">
        <f>dataset_1!E163</f>
        <v>1</v>
      </c>
      <c r="F693" s="10">
        <f>dataset_1!F163</f>
        <v>0</v>
      </c>
      <c r="G693" s="10" t="b">
        <f>dataset_1!G163</f>
        <v>0</v>
      </c>
      <c r="H693" s="10">
        <f>dataset_1!H163</f>
        <v>6</v>
      </c>
      <c r="I693" s="10">
        <f>dataset_1!I163</f>
        <v>2</v>
      </c>
      <c r="J693" s="10">
        <f>dataset_1!J163</f>
        <v>0.18</v>
      </c>
      <c r="K693" s="10">
        <f>VLOOKUP(A693,dataset_2!$A$2:$G$611,2,0)</f>
        <v>0.197</v>
      </c>
      <c r="L693" s="10">
        <f>VLOOKUP(A693,dataset_2!$A$2:$G$611,3,0)</f>
        <v>0.51</v>
      </c>
      <c r="M693" s="10">
        <f>VLOOKUP(A693,dataset_2!$A$2:$G$611,4,0)</f>
        <v>0.1642</v>
      </c>
      <c r="N693" s="10">
        <f>VLOOKUP(A693,dataset_2!$A$2:$G$611,5,0)</f>
        <v>1</v>
      </c>
      <c r="O693" s="10">
        <f>VLOOKUP(A693,dataset_2!$A$2:$G$611,6,0)</f>
        <v>24</v>
      </c>
      <c r="P693" s="10">
        <f>VLOOKUP(A693,dataset_2!$A$2:$G$611,7,0)</f>
        <v>25</v>
      </c>
      <c r="Q693" s="10"/>
      <c r="R693" s="10"/>
      <c r="S693" s="10"/>
      <c r="T693" s="10"/>
      <c r="U693" s="10">
        <f t="shared" si="4"/>
        <v>1</v>
      </c>
      <c r="V693" s="10"/>
      <c r="W693" s="10"/>
      <c r="X693" s="10"/>
      <c r="Y693" s="10"/>
      <c r="Z693" s="10"/>
    </row>
    <row r="694" ht="13.5" customHeight="1">
      <c r="A694" s="10">
        <f>dataset_1!A187</f>
        <v>186</v>
      </c>
      <c r="B694" s="11">
        <f>dataset_1!B187</f>
        <v>40552</v>
      </c>
      <c r="C694" s="10">
        <f>dataset_1!C187</f>
        <v>1</v>
      </c>
      <c r="D694" s="10">
        <f>dataset_1!D187</f>
        <v>0</v>
      </c>
      <c r="E694" s="10">
        <f>dataset_1!E187</f>
        <v>1</v>
      </c>
      <c r="F694" s="10">
        <f>dataset_1!F187</f>
        <v>0</v>
      </c>
      <c r="G694" s="10" t="b">
        <f>dataset_1!G187</f>
        <v>0</v>
      </c>
      <c r="H694" s="10">
        <f>dataset_1!H187</f>
        <v>0</v>
      </c>
      <c r="I694" s="10">
        <f>dataset_1!I187</f>
        <v>1</v>
      </c>
      <c r="J694" s="10">
        <f>dataset_1!J187</f>
        <v>0.1</v>
      </c>
      <c r="K694" s="10">
        <f>VLOOKUP(A694,dataset_2!$A$2:$G$611,2,0)</f>
        <v>0.0758</v>
      </c>
      <c r="L694" s="10">
        <f>VLOOKUP(A694,dataset_2!$A$2:$G$611,3,0)</f>
        <v>0.42</v>
      </c>
      <c r="M694" s="10">
        <f>VLOOKUP(A694,dataset_2!$A$2:$G$611,4,0)</f>
        <v>0.3881</v>
      </c>
      <c r="N694" s="10">
        <f>VLOOKUP(A694,dataset_2!$A$2:$G$611,5,0)</f>
        <v>1</v>
      </c>
      <c r="O694" s="10">
        <f>VLOOKUP(A694,dataset_2!$A$2:$G$611,6,0)</f>
        <v>24</v>
      </c>
      <c r="P694" s="10">
        <f>VLOOKUP(A694,dataset_2!$A$2:$G$611,7,0)</f>
        <v>25</v>
      </c>
      <c r="Q694" s="10"/>
      <c r="R694" s="10"/>
      <c r="S694" s="10"/>
      <c r="T694" s="10"/>
      <c r="U694" s="10">
        <f t="shared" si="4"/>
        <v>1</v>
      </c>
      <c r="V694" s="10"/>
      <c r="W694" s="10"/>
      <c r="X694" s="10"/>
      <c r="Y694" s="10"/>
      <c r="Z694" s="10"/>
    </row>
    <row r="695" ht="13.5" customHeight="1">
      <c r="A695" s="10">
        <f>dataset_1!A524</f>
        <v>523</v>
      </c>
      <c r="B695" s="11">
        <f>dataset_1!B524</f>
        <v>40566</v>
      </c>
      <c r="C695" s="10">
        <f>dataset_1!C524</f>
        <v>1</v>
      </c>
      <c r="D695" s="10">
        <f>dataset_1!D524</f>
        <v>0</v>
      </c>
      <c r="E695" s="10">
        <f>dataset_1!E524</f>
        <v>1</v>
      </c>
      <c r="F695" s="10">
        <f>dataset_1!F524</f>
        <v>21</v>
      </c>
      <c r="G695" s="10" t="b">
        <f>dataset_1!G524</f>
        <v>0</v>
      </c>
      <c r="H695" s="10">
        <f>dataset_1!H524</f>
        <v>0</v>
      </c>
      <c r="I695" s="10">
        <f>dataset_1!I524</f>
        <v>1</v>
      </c>
      <c r="J695" s="10">
        <f>dataset_1!J524</f>
        <v>0.1</v>
      </c>
      <c r="K695" s="10">
        <f>VLOOKUP(A695,dataset_2!$A$2:$G$611,2,0)</f>
        <v>0.1061</v>
      </c>
      <c r="L695" s="10">
        <f>VLOOKUP(A695,dataset_2!$A$2:$G$611,3,0)</f>
        <v>0.36</v>
      </c>
      <c r="M695" s="10">
        <f>VLOOKUP(A695,dataset_2!$A$2:$G$611,4,0)</f>
        <v>0.194</v>
      </c>
      <c r="N695" s="10">
        <f>VLOOKUP(A695,dataset_2!$A$2:$G$611,5,0)</f>
        <v>5</v>
      </c>
      <c r="O695" s="10">
        <f>VLOOKUP(A695,dataset_2!$A$2:$G$611,6,0)</f>
        <v>20</v>
      </c>
      <c r="P695" s="10">
        <f>VLOOKUP(A695,dataset_2!$A$2:$G$611,7,0)</f>
        <v>25</v>
      </c>
      <c r="Q695" s="10"/>
      <c r="R695" s="10"/>
      <c r="S695" s="10"/>
      <c r="T695" s="10"/>
      <c r="U695" s="10">
        <f t="shared" si="4"/>
        <v>1</v>
      </c>
      <c r="V695" s="10"/>
      <c r="W695" s="10"/>
      <c r="X695" s="10"/>
      <c r="Y695" s="10"/>
      <c r="Z695" s="10"/>
    </row>
    <row r="696" ht="13.5" customHeight="1">
      <c r="A696" s="3">
        <v>853.0</v>
      </c>
      <c r="B696" s="12">
        <v>40581.0</v>
      </c>
      <c r="C696" s="3">
        <v>1.0</v>
      </c>
      <c r="D696" s="3">
        <v>0.0</v>
      </c>
      <c r="E696" s="3">
        <v>2.0</v>
      </c>
      <c r="F696" s="3">
        <v>23.0</v>
      </c>
      <c r="G696" s="3" t="b">
        <f>FALSE()</f>
        <v>0</v>
      </c>
      <c r="H696" s="3">
        <v>1.0</v>
      </c>
      <c r="I696" s="3">
        <v>2.0</v>
      </c>
      <c r="J696" s="3">
        <v>0.3</v>
      </c>
      <c r="K696" s="3">
        <v>0.3333</v>
      </c>
      <c r="L696" s="3">
        <v>0.81</v>
      </c>
      <c r="M696" s="3">
        <v>0.0</v>
      </c>
      <c r="N696" s="3">
        <v>6.0</v>
      </c>
      <c r="O696" s="3">
        <v>19.0</v>
      </c>
      <c r="P696" s="3">
        <v>25.0</v>
      </c>
      <c r="Q696" s="10"/>
      <c r="R696" s="10"/>
      <c r="S696" s="10"/>
      <c r="T696" s="10"/>
      <c r="U696" s="10">
        <f t="shared" si="4"/>
        <v>1</v>
      </c>
      <c r="V696" s="10"/>
      <c r="W696" s="10"/>
      <c r="X696" s="10"/>
      <c r="Y696" s="10"/>
      <c r="Z696" s="10"/>
    </row>
    <row r="697" ht="13.5" customHeight="1">
      <c r="A697" s="10">
        <f>dataset_1!A233</f>
        <v>232</v>
      </c>
      <c r="B697" s="11">
        <f>dataset_1!B233</f>
        <v>40553</v>
      </c>
      <c r="C697" s="10">
        <f>dataset_1!C233</f>
        <v>1</v>
      </c>
      <c r="D697" s="10">
        <f>dataset_1!D233</f>
        <v>0</v>
      </c>
      <c r="E697" s="10">
        <f>dataset_1!E233</f>
        <v>1</v>
      </c>
      <c r="F697" s="10">
        <f>dataset_1!F233</f>
        <v>22</v>
      </c>
      <c r="G697" s="10" t="b">
        <f>dataset_1!G233</f>
        <v>0</v>
      </c>
      <c r="H697" s="10">
        <f>dataset_1!H233</f>
        <v>1</v>
      </c>
      <c r="I697" s="10">
        <f>dataset_1!I233</f>
        <v>1</v>
      </c>
      <c r="J697" s="10">
        <f>dataset_1!J233</f>
        <v>0.14</v>
      </c>
      <c r="K697" s="10">
        <f>VLOOKUP(A697,dataset_2!$A$2:$G$611,2,0)</f>
        <v>0.1515</v>
      </c>
      <c r="L697" s="10">
        <f>VLOOKUP(A697,dataset_2!$A$2:$G$611,3,0)</f>
        <v>0.59</v>
      </c>
      <c r="M697" s="10">
        <f>VLOOKUP(A697,dataset_2!$A$2:$G$611,4,0)</f>
        <v>0.1642</v>
      </c>
      <c r="N697" s="10">
        <f>VLOOKUP(A697,dataset_2!$A$2:$G$611,5,0)</f>
        <v>2</v>
      </c>
      <c r="O697" s="10">
        <f>VLOOKUP(A697,dataset_2!$A$2:$G$611,6,0)</f>
        <v>22</v>
      </c>
      <c r="P697" s="10">
        <f>VLOOKUP(A697,dataset_2!$A$2:$G$611,7,0)</f>
        <v>24</v>
      </c>
      <c r="Q697" s="10"/>
      <c r="R697" s="10"/>
      <c r="S697" s="10"/>
      <c r="T697" s="10"/>
      <c r="U697" s="10">
        <f t="shared" si="4"/>
        <v>1</v>
      </c>
      <c r="V697" s="10"/>
      <c r="W697" s="10"/>
      <c r="X697" s="10"/>
      <c r="Y697" s="10"/>
      <c r="Z697" s="10"/>
    </row>
    <row r="698" ht="13.5" customHeight="1">
      <c r="A698" s="10">
        <f>dataset_1!A549</f>
        <v>548</v>
      </c>
      <c r="B698" s="11">
        <f>dataset_1!B549</f>
        <v>40567</v>
      </c>
      <c r="C698" s="10">
        <f>dataset_1!C549</f>
        <v>1</v>
      </c>
      <c r="D698" s="10">
        <f>dataset_1!D549</f>
        <v>0</v>
      </c>
      <c r="E698" s="10">
        <f>dataset_1!E549</f>
        <v>1</v>
      </c>
      <c r="F698" s="10">
        <f>dataset_1!F549</f>
        <v>23</v>
      </c>
      <c r="G698" s="10" t="b">
        <f>dataset_1!G549</f>
        <v>0</v>
      </c>
      <c r="H698" s="10">
        <f>dataset_1!H549</f>
        <v>1</v>
      </c>
      <c r="I698" s="10">
        <f>dataset_1!I549</f>
        <v>2</v>
      </c>
      <c r="J698" s="10">
        <f>dataset_1!J549</f>
        <v>0.16</v>
      </c>
      <c r="K698" s="10">
        <f>VLOOKUP(A698,dataset_2!$A$2:$G$611,2,0)</f>
        <v>0.1515</v>
      </c>
      <c r="L698" s="10">
        <f>VLOOKUP(A698,dataset_2!$A$2:$G$611,3,0)</f>
        <v>0.64</v>
      </c>
      <c r="M698" s="10">
        <f>VLOOKUP(A698,dataset_2!$A$2:$G$611,4,0)</f>
        <v>0.2537</v>
      </c>
      <c r="N698" s="10">
        <f>VLOOKUP(A698,dataset_2!$A$2:$G$611,5,0)</f>
        <v>3</v>
      </c>
      <c r="O698" s="10">
        <f>VLOOKUP(A698,dataset_2!$A$2:$G$611,6,0)</f>
        <v>21</v>
      </c>
      <c r="P698" s="10">
        <f>VLOOKUP(A698,dataset_2!$A$2:$G$611,7,0)</f>
        <v>24</v>
      </c>
      <c r="Q698" s="10"/>
      <c r="R698" s="10"/>
      <c r="S698" s="10"/>
      <c r="T698" s="10"/>
      <c r="U698" s="10">
        <f t="shared" si="4"/>
        <v>1</v>
      </c>
      <c r="V698" s="10"/>
      <c r="W698" s="10"/>
      <c r="X698" s="10"/>
      <c r="Y698" s="10"/>
      <c r="Z698" s="10"/>
    </row>
    <row r="699" ht="13.5" customHeight="1">
      <c r="A699" s="10">
        <f>dataset_1!A589</f>
        <v>588</v>
      </c>
      <c r="B699" s="11">
        <f>dataset_1!B589</f>
        <v>40570</v>
      </c>
      <c r="C699" s="10">
        <f>dataset_1!C589</f>
        <v>1</v>
      </c>
      <c r="D699" s="10">
        <f>dataset_1!D589</f>
        <v>0</v>
      </c>
      <c r="E699" s="10">
        <f>dataset_1!E589</f>
        <v>1</v>
      </c>
      <c r="F699" s="10">
        <f>dataset_1!F589</f>
        <v>16</v>
      </c>
      <c r="G699" s="10" t="b">
        <f>dataset_1!G589</f>
        <v>0</v>
      </c>
      <c r="H699" s="10">
        <f>dataset_1!H589</f>
        <v>4</v>
      </c>
      <c r="I699" s="10">
        <f>dataset_1!I589</f>
        <v>1</v>
      </c>
      <c r="J699" s="10">
        <f>dataset_1!J589</f>
        <v>0.22</v>
      </c>
      <c r="K699" s="10">
        <f>VLOOKUP(A699,dataset_2!$A$2:$G$611,2,0)</f>
        <v>0.2273</v>
      </c>
      <c r="L699" s="10">
        <f>VLOOKUP(A699,dataset_2!$A$2:$G$611,3,0)</f>
        <v>0.55</v>
      </c>
      <c r="M699" s="10">
        <f>VLOOKUP(A699,dataset_2!$A$2:$G$611,4,0)</f>
        <v>0.194</v>
      </c>
      <c r="N699" s="10">
        <f>VLOOKUP(A699,dataset_2!$A$2:$G$611,5,0)</f>
        <v>1</v>
      </c>
      <c r="O699" s="10">
        <f>VLOOKUP(A699,dataset_2!$A$2:$G$611,6,0)</f>
        <v>23</v>
      </c>
      <c r="P699" s="10">
        <f>VLOOKUP(A699,dataset_2!$A$2:$G$611,7,0)</f>
        <v>24</v>
      </c>
      <c r="Q699" s="10"/>
      <c r="R699" s="10"/>
      <c r="S699" s="10"/>
      <c r="T699" s="10"/>
      <c r="U699" s="10">
        <f t="shared" si="4"/>
        <v>1</v>
      </c>
      <c r="V699" s="10"/>
      <c r="W699" s="10"/>
      <c r="X699" s="10"/>
      <c r="Y699" s="10"/>
      <c r="Z699" s="10"/>
    </row>
    <row r="700" ht="13.5" customHeight="1">
      <c r="A700" s="3">
        <v>928.0</v>
      </c>
      <c r="B700" s="12">
        <v>40585.0</v>
      </c>
      <c r="C700" s="3">
        <v>1.0</v>
      </c>
      <c r="D700" s="3">
        <v>0.0</v>
      </c>
      <c r="E700" s="3">
        <v>2.0</v>
      </c>
      <c r="F700" s="3">
        <v>6.0</v>
      </c>
      <c r="G700" s="3" t="b">
        <f t="shared" ref="G700:G702" si="76">FALSE()</f>
        <v>0</v>
      </c>
      <c r="H700" s="3">
        <v>5.0</v>
      </c>
      <c r="I700" s="3">
        <v>1.0</v>
      </c>
      <c r="J700" s="3">
        <v>0.1</v>
      </c>
      <c r="K700" s="3">
        <v>0.1818</v>
      </c>
      <c r="L700" s="3">
        <v>0.68</v>
      </c>
      <c r="M700" s="3">
        <v>0.0</v>
      </c>
      <c r="N700" s="3">
        <v>1.0</v>
      </c>
      <c r="O700" s="3">
        <v>23.0</v>
      </c>
      <c r="P700" s="3">
        <v>24.0</v>
      </c>
      <c r="Q700" s="10"/>
      <c r="R700" s="10"/>
      <c r="S700" s="10"/>
      <c r="T700" s="10"/>
      <c r="U700" s="10">
        <f t="shared" si="4"/>
        <v>1</v>
      </c>
      <c r="V700" s="10"/>
      <c r="W700" s="10"/>
      <c r="X700" s="10"/>
      <c r="Y700" s="10"/>
      <c r="Z700" s="10"/>
    </row>
    <row r="701" ht="13.5" customHeight="1">
      <c r="A701" s="3">
        <v>947.0</v>
      </c>
      <c r="B701" s="12">
        <v>40586.0</v>
      </c>
      <c r="C701" s="3">
        <v>1.0</v>
      </c>
      <c r="D701" s="3">
        <v>0.0</v>
      </c>
      <c r="E701" s="3">
        <v>2.0</v>
      </c>
      <c r="F701" s="3">
        <v>1.0</v>
      </c>
      <c r="G701" s="3" t="b">
        <f t="shared" si="76"/>
        <v>0</v>
      </c>
      <c r="H701" s="3">
        <v>6.0</v>
      </c>
      <c r="I701" s="3">
        <v>1.0</v>
      </c>
      <c r="J701" s="3">
        <v>0.14</v>
      </c>
      <c r="K701" s="3">
        <v>0.2121</v>
      </c>
      <c r="L701" s="3">
        <v>0.86</v>
      </c>
      <c r="M701" s="3">
        <v>0.0</v>
      </c>
      <c r="N701" s="3">
        <v>2.0</v>
      </c>
      <c r="O701" s="3">
        <v>22.0</v>
      </c>
      <c r="P701" s="3">
        <v>24.0</v>
      </c>
      <c r="Q701" s="10"/>
      <c r="R701" s="10"/>
      <c r="S701" s="10"/>
      <c r="T701" s="10"/>
      <c r="U701" s="10">
        <f t="shared" si="4"/>
        <v>1</v>
      </c>
      <c r="V701" s="10"/>
      <c r="W701" s="10"/>
      <c r="X701" s="10"/>
      <c r="Y701" s="10"/>
      <c r="Z701" s="10"/>
    </row>
    <row r="702" ht="13.5" customHeight="1">
      <c r="A702" s="3">
        <v>971.0</v>
      </c>
      <c r="B702" s="12">
        <v>40587.0</v>
      </c>
      <c r="C702" s="3">
        <v>1.0</v>
      </c>
      <c r="D702" s="3">
        <v>0.0</v>
      </c>
      <c r="E702" s="3">
        <v>2.0</v>
      </c>
      <c r="F702" s="3">
        <v>1.0</v>
      </c>
      <c r="G702" s="3" t="b">
        <f t="shared" si="76"/>
        <v>0</v>
      </c>
      <c r="H702" s="3">
        <v>0.0</v>
      </c>
      <c r="I702" s="3">
        <v>1.0</v>
      </c>
      <c r="J702" s="3">
        <v>0.2</v>
      </c>
      <c r="K702" s="3">
        <v>0.2273</v>
      </c>
      <c r="L702" s="3">
        <v>0.59</v>
      </c>
      <c r="M702" s="3">
        <v>0.0896</v>
      </c>
      <c r="N702" s="3">
        <v>1.0</v>
      </c>
      <c r="O702" s="3">
        <v>23.0</v>
      </c>
      <c r="P702" s="3">
        <v>24.0</v>
      </c>
      <c r="Q702" s="10"/>
      <c r="R702" s="10"/>
      <c r="S702" s="10"/>
      <c r="T702" s="10"/>
      <c r="U702" s="10">
        <f t="shared" si="4"/>
        <v>1</v>
      </c>
      <c r="V702" s="10"/>
      <c r="W702" s="10"/>
      <c r="X702" s="10"/>
      <c r="Y702" s="10"/>
      <c r="Z702" s="10"/>
    </row>
    <row r="703" ht="13.5" customHeight="1">
      <c r="A703" s="10">
        <f>dataset_1!A139</f>
        <v>138</v>
      </c>
      <c r="B703" s="11">
        <f>dataset_1!B139</f>
        <v>40549</v>
      </c>
      <c r="C703" s="10">
        <f>dataset_1!C139</f>
        <v>1</v>
      </c>
      <c r="D703" s="10">
        <f>dataset_1!D139</f>
        <v>0</v>
      </c>
      <c r="E703" s="10">
        <f>dataset_1!E139</f>
        <v>1</v>
      </c>
      <c r="F703" s="10">
        <f>dataset_1!F139</f>
        <v>23</v>
      </c>
      <c r="G703" s="10" t="b">
        <f>dataset_1!G139</f>
        <v>0</v>
      </c>
      <c r="H703" s="10">
        <f>dataset_1!H139</f>
        <v>4</v>
      </c>
      <c r="I703" s="10">
        <f>dataset_1!I139</f>
        <v>2</v>
      </c>
      <c r="J703" s="10">
        <f>dataset_1!J139</f>
        <v>0.2</v>
      </c>
      <c r="K703" s="10">
        <f>VLOOKUP(A703,dataset_2!$A$2:$G$611,2,0)</f>
        <v>0.197</v>
      </c>
      <c r="L703" s="10">
        <f>VLOOKUP(A703,dataset_2!$A$2:$G$611,3,0)</f>
        <v>0.59</v>
      </c>
      <c r="M703" s="10">
        <f>VLOOKUP(A703,dataset_2!$A$2:$G$611,4,0)</f>
        <v>0.194</v>
      </c>
      <c r="N703" s="10">
        <f>VLOOKUP(A703,dataset_2!$A$2:$G$611,5,0)</f>
        <v>4</v>
      </c>
      <c r="O703" s="10">
        <f>VLOOKUP(A703,dataset_2!$A$2:$G$611,6,0)</f>
        <v>19</v>
      </c>
      <c r="P703" s="10">
        <f>VLOOKUP(A703,dataset_2!$A$2:$G$611,7,0)</f>
        <v>23</v>
      </c>
      <c r="Q703" s="10"/>
      <c r="R703" s="10"/>
      <c r="S703" s="10"/>
      <c r="T703" s="10"/>
      <c r="U703" s="10">
        <f t="shared" si="4"/>
        <v>1</v>
      </c>
      <c r="V703" s="10"/>
      <c r="W703" s="10"/>
      <c r="X703" s="10"/>
      <c r="Y703" s="10"/>
      <c r="Z703" s="10"/>
    </row>
    <row r="704" ht="13.5" customHeight="1">
      <c r="A704" s="10">
        <f>dataset_1!A334</f>
        <v>333</v>
      </c>
      <c r="B704" s="11">
        <f>dataset_1!B334</f>
        <v>40558</v>
      </c>
      <c r="C704" s="10">
        <f>dataset_1!C334</f>
        <v>1</v>
      </c>
      <c r="D704" s="10">
        <f>dataset_1!D334</f>
        <v>0</v>
      </c>
      <c r="E704" s="10">
        <f>dataset_1!E334</f>
        <v>1</v>
      </c>
      <c r="F704" s="10">
        <f>dataset_1!F334</f>
        <v>8</v>
      </c>
      <c r="G704" s="10" t="b">
        <f>dataset_1!G334</f>
        <v>0</v>
      </c>
      <c r="H704" s="10">
        <f>dataset_1!H334</f>
        <v>6</v>
      </c>
      <c r="I704" s="10">
        <f>dataset_1!I334</f>
        <v>1</v>
      </c>
      <c r="J704" s="10">
        <f>dataset_1!J334</f>
        <v>0.14</v>
      </c>
      <c r="K704" s="10">
        <f>VLOOKUP(A704,dataset_2!$A$2:$G$611,2,0)</f>
        <v>0.1515</v>
      </c>
      <c r="L704" s="10">
        <f>VLOOKUP(A704,dataset_2!$A$2:$G$611,3,0)</f>
        <v>0.63</v>
      </c>
      <c r="M704" s="10">
        <f>VLOOKUP(A704,dataset_2!$A$2:$G$611,4,0)</f>
        <v>0.1343</v>
      </c>
      <c r="N704" s="10">
        <f>VLOOKUP(A704,dataset_2!$A$2:$G$611,5,0)</f>
        <v>1</v>
      </c>
      <c r="O704" s="10">
        <f>VLOOKUP(A704,dataset_2!$A$2:$G$611,6,0)</f>
        <v>22</v>
      </c>
      <c r="P704" s="10">
        <f>VLOOKUP(A704,dataset_2!$A$2:$G$611,7,0)</f>
        <v>23</v>
      </c>
      <c r="Q704" s="10"/>
      <c r="R704" s="10"/>
      <c r="S704" s="10"/>
      <c r="T704" s="10"/>
      <c r="U704" s="10">
        <f t="shared" si="4"/>
        <v>1</v>
      </c>
      <c r="V704" s="10"/>
      <c r="W704" s="10"/>
      <c r="X704" s="10"/>
      <c r="Y704" s="10"/>
      <c r="Z704" s="10"/>
    </row>
    <row r="705" ht="13.5" customHeight="1">
      <c r="A705" s="10">
        <f>dataset_1!A351</f>
        <v>350</v>
      </c>
      <c r="B705" s="11">
        <f>dataset_1!B351</f>
        <v>40559</v>
      </c>
      <c r="C705" s="10">
        <f>dataset_1!C351</f>
        <v>1</v>
      </c>
      <c r="D705" s="10">
        <f>dataset_1!D351</f>
        <v>0</v>
      </c>
      <c r="E705" s="10">
        <f>dataset_1!E351</f>
        <v>1</v>
      </c>
      <c r="F705" s="10">
        <f>dataset_1!F351</f>
        <v>1</v>
      </c>
      <c r="G705" s="10" t="b">
        <f>dataset_1!G351</f>
        <v>0</v>
      </c>
      <c r="H705" s="10">
        <f>dataset_1!H351</f>
        <v>0</v>
      </c>
      <c r="I705" s="10">
        <f>dataset_1!I351</f>
        <v>1</v>
      </c>
      <c r="J705" s="10">
        <f>dataset_1!J351</f>
        <v>0.26</v>
      </c>
      <c r="K705" s="10">
        <f>VLOOKUP(A705,dataset_2!$A$2:$G$611,2,0)</f>
        <v>0.2727</v>
      </c>
      <c r="L705" s="10">
        <f>VLOOKUP(A705,dataset_2!$A$2:$G$611,3,0)</f>
        <v>0.56</v>
      </c>
      <c r="M705" s="10">
        <f>VLOOKUP(A705,dataset_2!$A$2:$G$611,4,0)</f>
        <v>0.1343</v>
      </c>
      <c r="N705" s="10">
        <f>VLOOKUP(A705,dataset_2!$A$2:$G$611,5,0)</f>
        <v>4</v>
      </c>
      <c r="O705" s="10">
        <f>VLOOKUP(A705,dataset_2!$A$2:$G$611,6,0)</f>
        <v>19</v>
      </c>
      <c r="P705" s="10">
        <f>VLOOKUP(A705,dataset_2!$A$2:$G$611,7,0)</f>
        <v>23</v>
      </c>
      <c r="Q705" s="10"/>
      <c r="R705" s="10"/>
      <c r="S705" s="10"/>
      <c r="T705" s="10"/>
      <c r="U705" s="10">
        <f t="shared" si="4"/>
        <v>1</v>
      </c>
      <c r="V705" s="10"/>
      <c r="W705" s="10"/>
      <c r="X705" s="10"/>
      <c r="Y705" s="10"/>
      <c r="Z705" s="10"/>
    </row>
    <row r="706" ht="13.5" customHeight="1">
      <c r="A706" s="3">
        <v>618.0</v>
      </c>
      <c r="B706" s="12">
        <v>40571.0</v>
      </c>
      <c r="C706" s="3">
        <v>1.0</v>
      </c>
      <c r="D706" s="3">
        <v>0.0</v>
      </c>
      <c r="E706" s="3">
        <v>1.0</v>
      </c>
      <c r="F706" s="3">
        <v>23.0</v>
      </c>
      <c r="G706" s="3" t="b">
        <f t="shared" ref="G706:G707" si="77">FALSE()</f>
        <v>0</v>
      </c>
      <c r="H706" s="3">
        <v>5.0</v>
      </c>
      <c r="I706" s="3">
        <v>1.0</v>
      </c>
      <c r="J706" s="3">
        <v>0.24</v>
      </c>
      <c r="K706" s="3">
        <v>0.2273</v>
      </c>
      <c r="L706" s="3">
        <v>0.6</v>
      </c>
      <c r="M706" s="3">
        <v>0.2239</v>
      </c>
      <c r="N706" s="3">
        <v>1.0</v>
      </c>
      <c r="O706" s="3">
        <v>22.0</v>
      </c>
      <c r="P706" s="3">
        <v>23.0</v>
      </c>
      <c r="Q706" s="10"/>
      <c r="R706" s="10"/>
      <c r="S706" s="10"/>
      <c r="T706" s="10"/>
      <c r="U706" s="10">
        <f t="shared" si="4"/>
        <v>1</v>
      </c>
      <c r="V706" s="10"/>
      <c r="W706" s="10"/>
      <c r="X706" s="10"/>
      <c r="Y706" s="10"/>
      <c r="Z706" s="10"/>
    </row>
    <row r="707" ht="13.5" customHeight="1">
      <c r="A707" s="3">
        <v>814.0</v>
      </c>
      <c r="B707" s="12">
        <v>40580.0</v>
      </c>
      <c r="C707" s="3">
        <v>1.0</v>
      </c>
      <c r="D707" s="3">
        <v>0.0</v>
      </c>
      <c r="E707" s="3">
        <v>2.0</v>
      </c>
      <c r="F707" s="3">
        <v>8.0</v>
      </c>
      <c r="G707" s="3" t="b">
        <f t="shared" si="77"/>
        <v>0</v>
      </c>
      <c r="H707" s="3">
        <v>0.0</v>
      </c>
      <c r="I707" s="3">
        <v>1.0</v>
      </c>
      <c r="J707" s="3">
        <v>0.24</v>
      </c>
      <c r="K707" s="3">
        <v>0.2576</v>
      </c>
      <c r="L707" s="3">
        <v>0.65</v>
      </c>
      <c r="M707" s="3">
        <v>0.1045</v>
      </c>
      <c r="N707" s="3">
        <v>2.0</v>
      </c>
      <c r="O707" s="3">
        <v>21.0</v>
      </c>
      <c r="P707" s="3">
        <v>23.0</v>
      </c>
      <c r="Q707" s="10"/>
      <c r="R707" s="10"/>
      <c r="S707" s="10"/>
      <c r="T707" s="10"/>
      <c r="U707" s="10">
        <f t="shared" si="4"/>
        <v>1</v>
      </c>
      <c r="V707" s="10"/>
      <c r="W707" s="10"/>
      <c r="X707" s="10"/>
      <c r="Y707" s="10"/>
      <c r="Z707" s="10"/>
    </row>
    <row r="708" ht="13.5" customHeight="1">
      <c r="A708" s="10">
        <f>dataset_1!A45</f>
        <v>44</v>
      </c>
      <c r="B708" s="11">
        <f>dataset_1!B45</f>
        <v>40545</v>
      </c>
      <c r="C708" s="10">
        <f>dataset_1!C45</f>
        <v>1</v>
      </c>
      <c r="D708" s="10">
        <f>dataset_1!D45</f>
        <v>0</v>
      </c>
      <c r="E708" s="10">
        <f>dataset_1!E45</f>
        <v>1</v>
      </c>
      <c r="F708" s="10">
        <f>dataset_1!F45</f>
        <v>20</v>
      </c>
      <c r="G708" s="10" t="b">
        <f>dataset_1!G45</f>
        <v>0</v>
      </c>
      <c r="H708" s="10">
        <f>dataset_1!H45</f>
        <v>0</v>
      </c>
      <c r="I708" s="10">
        <f>dataset_1!I45</f>
        <v>1</v>
      </c>
      <c r="J708" s="10">
        <f>dataset_1!J45</f>
        <v>0.3</v>
      </c>
      <c r="K708" s="10" t="str">
        <f>VLOOKUP(A708,dataset_2!$A$2:$G$611,2,0)</f>
        <v/>
      </c>
      <c r="L708" s="10">
        <f>VLOOKUP(A708,dataset_2!$A$2:$G$611,3,0)</f>
        <v>0.39</v>
      </c>
      <c r="M708" s="10">
        <f>VLOOKUP(A708,dataset_2!$A$2:$G$611,4,0)</f>
        <v>0.3582</v>
      </c>
      <c r="N708" s="10">
        <f>VLOOKUP(A708,dataset_2!$A$2:$G$611,5,0)</f>
        <v>5</v>
      </c>
      <c r="O708" s="10">
        <f>VLOOKUP(A708,dataset_2!$A$2:$G$611,6,0)</f>
        <v>17</v>
      </c>
      <c r="P708" s="10">
        <f>VLOOKUP(A708,dataset_2!$A$2:$G$611,7,0)</f>
        <v>22</v>
      </c>
      <c r="Q708" s="10"/>
      <c r="R708" s="10"/>
      <c r="S708" s="10"/>
      <c r="T708" s="10"/>
      <c r="U708" s="10">
        <f t="shared" si="4"/>
        <v>1</v>
      </c>
      <c r="V708" s="10"/>
      <c r="W708" s="10"/>
      <c r="X708" s="10"/>
      <c r="Y708" s="10"/>
      <c r="Z708" s="10"/>
    </row>
    <row r="709" ht="13.5" customHeight="1">
      <c r="A709" s="10">
        <f>dataset_1!A186</f>
        <v>185</v>
      </c>
      <c r="B709" s="11">
        <f>dataset_1!B186</f>
        <v>40551</v>
      </c>
      <c r="C709" s="10">
        <f>dataset_1!C186</f>
        <v>1</v>
      </c>
      <c r="D709" s="10">
        <f>dataset_1!D186</f>
        <v>0</v>
      </c>
      <c r="E709" s="10">
        <f>dataset_1!E186</f>
        <v>1</v>
      </c>
      <c r="F709" s="10">
        <f>dataset_1!F186</f>
        <v>23</v>
      </c>
      <c r="G709" s="10" t="b">
        <f>dataset_1!G186</f>
        <v>0</v>
      </c>
      <c r="H709" s="10">
        <f>dataset_1!H186</f>
        <v>6</v>
      </c>
      <c r="I709" s="10">
        <f>dataset_1!I186</f>
        <v>1</v>
      </c>
      <c r="J709" s="10">
        <f>dataset_1!J186</f>
        <v>0.1</v>
      </c>
      <c r="K709" s="10">
        <f>VLOOKUP(A709,dataset_2!$A$2:$G$611,2,0)</f>
        <v>0.0606</v>
      </c>
      <c r="L709" s="10">
        <f>VLOOKUP(A709,dataset_2!$A$2:$G$611,3,0)</f>
        <v>0.39</v>
      </c>
      <c r="M709" s="10">
        <f>VLOOKUP(A709,dataset_2!$A$2:$G$611,4,0)</f>
        <v>0.4478</v>
      </c>
      <c r="N709" s="10">
        <f>VLOOKUP(A709,dataset_2!$A$2:$G$611,5,0)</f>
        <v>0</v>
      </c>
      <c r="O709" s="10">
        <f>VLOOKUP(A709,dataset_2!$A$2:$G$611,6,0)</f>
        <v>22</v>
      </c>
      <c r="P709" s="10">
        <f>VLOOKUP(A709,dataset_2!$A$2:$G$611,7,0)</f>
        <v>22</v>
      </c>
      <c r="Q709" s="10"/>
      <c r="R709" s="10"/>
      <c r="S709" s="10"/>
      <c r="T709" s="10"/>
      <c r="U709" s="10">
        <f t="shared" si="4"/>
        <v>1</v>
      </c>
      <c r="V709" s="10"/>
      <c r="W709" s="10"/>
      <c r="X709" s="10"/>
      <c r="Y709" s="10"/>
      <c r="Z709" s="10"/>
    </row>
    <row r="710" ht="13.5" customHeight="1">
      <c r="A710" s="10">
        <f>dataset_1!A399</f>
        <v>398</v>
      </c>
      <c r="B710" s="11">
        <f>dataset_1!B399</f>
        <v>40561</v>
      </c>
      <c r="C710" s="10">
        <f>dataset_1!C399</f>
        <v>1</v>
      </c>
      <c r="D710" s="10">
        <f>dataset_1!D399</f>
        <v>0</v>
      </c>
      <c r="E710" s="10">
        <f>dataset_1!E399</f>
        <v>1</v>
      </c>
      <c r="F710" s="10">
        <f>dataset_1!F399</f>
        <v>13</v>
      </c>
      <c r="G710" s="10" t="b">
        <f>dataset_1!G399</f>
        <v>0</v>
      </c>
      <c r="H710" s="10">
        <f>dataset_1!H399</f>
        <v>2</v>
      </c>
      <c r="I710" s="10">
        <f>dataset_1!I399</f>
        <v>2</v>
      </c>
      <c r="J710" s="10">
        <f>dataset_1!J399</f>
        <v>0.2</v>
      </c>
      <c r="K710" s="10">
        <f>VLOOKUP(A710,dataset_2!$A$2:$G$611,2,0)</f>
        <v>0.197</v>
      </c>
      <c r="L710" s="10">
        <f>VLOOKUP(A710,dataset_2!$A$2:$G$611,3,0)</f>
        <v>0.86</v>
      </c>
      <c r="M710" s="10">
        <f>VLOOKUP(A710,dataset_2!$A$2:$G$611,4,0)</f>
        <v>0.2239</v>
      </c>
      <c r="N710" s="10">
        <f>VLOOKUP(A710,dataset_2!$A$2:$G$611,5,0)</f>
        <v>0</v>
      </c>
      <c r="O710" s="10">
        <f>VLOOKUP(A710,dataset_2!$A$2:$G$611,6,0)</f>
        <v>22</v>
      </c>
      <c r="P710" s="10">
        <f>VLOOKUP(A710,dataset_2!$A$2:$G$611,7,0)</f>
        <v>22</v>
      </c>
      <c r="Q710" s="10"/>
      <c r="R710" s="10"/>
      <c r="S710" s="10"/>
      <c r="T710" s="10"/>
      <c r="U710" s="10">
        <f t="shared" si="4"/>
        <v>1</v>
      </c>
      <c r="V710" s="10"/>
      <c r="W710" s="10"/>
      <c r="X710" s="10"/>
      <c r="Y710" s="10"/>
      <c r="Z710" s="10"/>
    </row>
    <row r="711" ht="13.5" customHeight="1">
      <c r="A711" s="10">
        <f>dataset_1!A504</f>
        <v>503</v>
      </c>
      <c r="B711" s="11">
        <f>dataset_1!B504</f>
        <v>40566</v>
      </c>
      <c r="C711" s="10">
        <f>dataset_1!C504</f>
        <v>1</v>
      </c>
      <c r="D711" s="10">
        <f>dataset_1!D504</f>
        <v>0</v>
      </c>
      <c r="E711" s="10">
        <f>dataset_1!E504</f>
        <v>1</v>
      </c>
      <c r="F711" s="10">
        <f>dataset_1!F504</f>
        <v>0</v>
      </c>
      <c r="G711" s="10" t="b">
        <f>dataset_1!G504</f>
        <v>0</v>
      </c>
      <c r="H711" s="10">
        <f>dataset_1!H504</f>
        <v>0</v>
      </c>
      <c r="I711" s="10">
        <f>dataset_1!I504</f>
        <v>1</v>
      </c>
      <c r="J711" s="10">
        <f>dataset_1!J504</f>
        <v>0.04</v>
      </c>
      <c r="K711" s="10">
        <f>VLOOKUP(A711,dataset_2!$A$2:$G$611,2,0)</f>
        <v>0.0758</v>
      </c>
      <c r="L711" s="10">
        <f>VLOOKUP(A711,dataset_2!$A$2:$G$611,3,0)</f>
        <v>0.57</v>
      </c>
      <c r="M711" s="10">
        <f>VLOOKUP(A711,dataset_2!$A$2:$G$611,4,0)</f>
        <v>0.1045</v>
      </c>
      <c r="N711" s="10">
        <f>VLOOKUP(A711,dataset_2!$A$2:$G$611,5,0)</f>
        <v>2</v>
      </c>
      <c r="O711" s="10">
        <f>VLOOKUP(A711,dataset_2!$A$2:$G$611,6,0)</f>
        <v>20</v>
      </c>
      <c r="P711" s="10">
        <f>VLOOKUP(A711,dataset_2!$A$2:$G$611,7,0)</f>
        <v>22</v>
      </c>
      <c r="Q711" s="10"/>
      <c r="R711" s="10"/>
      <c r="S711" s="10"/>
      <c r="T711" s="10"/>
      <c r="U711" s="10">
        <f t="shared" si="4"/>
        <v>1</v>
      </c>
      <c r="V711" s="10"/>
      <c r="W711" s="10"/>
      <c r="X711" s="10"/>
      <c r="Y711" s="10"/>
      <c r="Z711" s="10"/>
    </row>
    <row r="712" ht="13.5" customHeight="1">
      <c r="A712" s="3">
        <v>694.0</v>
      </c>
      <c r="B712" s="12">
        <v>40575.0</v>
      </c>
      <c r="C712" s="3">
        <v>1.0</v>
      </c>
      <c r="D712" s="3">
        <v>0.0</v>
      </c>
      <c r="E712" s="3">
        <v>2.0</v>
      </c>
      <c r="F712" s="3">
        <v>6.0</v>
      </c>
      <c r="G712" s="3" t="b">
        <f>FALSE()</f>
        <v>0</v>
      </c>
      <c r="H712" s="3">
        <v>2.0</v>
      </c>
      <c r="I712" s="3">
        <v>3.0</v>
      </c>
      <c r="J712" s="3">
        <v>0.14</v>
      </c>
      <c r="K712" s="3">
        <v>0.2121</v>
      </c>
      <c r="L712" s="3">
        <v>0.93</v>
      </c>
      <c r="M712" s="3">
        <v>0.0</v>
      </c>
      <c r="N712" s="3">
        <v>0.0</v>
      </c>
      <c r="O712" s="3">
        <v>22.0</v>
      </c>
      <c r="P712" s="3">
        <v>22.0</v>
      </c>
      <c r="Q712" s="10"/>
      <c r="R712" s="10"/>
      <c r="S712" s="10"/>
      <c r="T712" s="10"/>
      <c r="U712" s="10">
        <f t="shared" si="4"/>
        <v>1</v>
      </c>
      <c r="V712" s="10"/>
      <c r="W712" s="10"/>
      <c r="X712" s="10"/>
      <c r="Y712" s="10"/>
      <c r="Z712" s="10"/>
    </row>
    <row r="713" ht="13.5" customHeight="1">
      <c r="A713" s="10">
        <f>dataset_1!A372</f>
        <v>371</v>
      </c>
      <c r="B713" s="11">
        <f>dataset_1!B372</f>
        <v>40559</v>
      </c>
      <c r="C713" s="10">
        <f>dataset_1!C372</f>
        <v>1</v>
      </c>
      <c r="D713" s="10">
        <f>dataset_1!D372</f>
        <v>0</v>
      </c>
      <c r="E713" s="10">
        <f>dataset_1!E372</f>
        <v>1</v>
      </c>
      <c r="F713" s="10">
        <f>dataset_1!F372</f>
        <v>22</v>
      </c>
      <c r="G713" s="10" t="b">
        <f>dataset_1!G372</f>
        <v>0</v>
      </c>
      <c r="H713" s="10">
        <f>dataset_1!H372</f>
        <v>0</v>
      </c>
      <c r="I713" s="10">
        <f>dataset_1!I372</f>
        <v>2</v>
      </c>
      <c r="J713" s="10">
        <f>dataset_1!J372</f>
        <v>0.2</v>
      </c>
      <c r="K713" s="10">
        <f>VLOOKUP(A713,dataset_2!$A$2:$G$611,2,0)</f>
        <v>0.2121</v>
      </c>
      <c r="L713" s="10">
        <f>VLOOKUP(A713,dataset_2!$A$2:$G$611,3,0)</f>
        <v>0.49</v>
      </c>
      <c r="M713" s="10">
        <f>VLOOKUP(A713,dataset_2!$A$2:$G$611,4,0)</f>
        <v>0.1343</v>
      </c>
      <c r="N713" s="10">
        <f>VLOOKUP(A713,dataset_2!$A$2:$G$611,5,0)</f>
        <v>2</v>
      </c>
      <c r="O713" s="10">
        <f>VLOOKUP(A713,dataset_2!$A$2:$G$611,6,0)</f>
        <v>19</v>
      </c>
      <c r="P713" s="10">
        <f>VLOOKUP(A713,dataset_2!$A$2:$G$611,7,0)</f>
        <v>21</v>
      </c>
      <c r="Q713" s="10"/>
      <c r="R713" s="10"/>
      <c r="S713" s="10"/>
      <c r="T713" s="10"/>
      <c r="U713" s="10">
        <f t="shared" si="4"/>
        <v>1</v>
      </c>
      <c r="V713" s="10"/>
      <c r="W713" s="10"/>
      <c r="X713" s="10"/>
      <c r="Y713" s="10"/>
      <c r="Z713" s="10"/>
    </row>
    <row r="714" ht="13.5" customHeight="1">
      <c r="A714" s="10">
        <f>dataset_1!A457</f>
        <v>456</v>
      </c>
      <c r="B714" s="11">
        <f>dataset_1!B457</f>
        <v>40564</v>
      </c>
      <c r="C714" s="10">
        <f>dataset_1!C457</f>
        <v>1</v>
      </c>
      <c r="D714" s="10">
        <f>dataset_1!D457</f>
        <v>0</v>
      </c>
      <c r="E714" s="10">
        <f>dataset_1!E457</f>
        <v>1</v>
      </c>
      <c r="F714" s="10">
        <f>dataset_1!F457</f>
        <v>0</v>
      </c>
      <c r="G714" s="10" t="b">
        <f>dataset_1!G457</f>
        <v>0</v>
      </c>
      <c r="H714" s="10">
        <f>dataset_1!H457</f>
        <v>5</v>
      </c>
      <c r="I714" s="10">
        <f>dataset_1!I457</f>
        <v>2</v>
      </c>
      <c r="J714" s="10">
        <f>dataset_1!J457</f>
        <v>0.24</v>
      </c>
      <c r="K714" s="10">
        <f>VLOOKUP(A714,dataset_2!$A$2:$G$611,2,0)</f>
        <v>0.2273</v>
      </c>
      <c r="L714" s="10">
        <f>VLOOKUP(A714,dataset_2!$A$2:$G$611,3,0)</f>
        <v>0.7</v>
      </c>
      <c r="M714" s="10">
        <f>VLOOKUP(A714,dataset_2!$A$2:$G$611,4,0)</f>
        <v>0.2537</v>
      </c>
      <c r="N714" s="10">
        <f>VLOOKUP(A714,dataset_2!$A$2:$G$611,5,0)</f>
        <v>1</v>
      </c>
      <c r="O714" s="10">
        <f>VLOOKUP(A714,dataset_2!$A$2:$G$611,6,0)</f>
        <v>20</v>
      </c>
      <c r="P714" s="10">
        <f>VLOOKUP(A714,dataset_2!$A$2:$G$611,7,0)</f>
        <v>21</v>
      </c>
      <c r="Q714" s="10"/>
      <c r="R714" s="10"/>
      <c r="S714" s="10"/>
      <c r="T714" s="10"/>
      <c r="U714" s="10">
        <f t="shared" si="4"/>
        <v>1</v>
      </c>
      <c r="V714" s="10"/>
      <c r="W714" s="10"/>
      <c r="X714" s="10"/>
      <c r="Y714" s="10"/>
      <c r="Z714" s="10"/>
    </row>
    <row r="715" ht="13.5" customHeight="1">
      <c r="A715" s="10">
        <f>dataset_1!A526</f>
        <v>525</v>
      </c>
      <c r="B715" s="11">
        <f>dataset_1!B526</f>
        <v>40566</v>
      </c>
      <c r="C715" s="10">
        <f>dataset_1!C526</f>
        <v>1</v>
      </c>
      <c r="D715" s="10">
        <f>dataset_1!D526</f>
        <v>0</v>
      </c>
      <c r="E715" s="10">
        <f>dataset_1!E526</f>
        <v>1</v>
      </c>
      <c r="F715" s="10">
        <f>dataset_1!F526</f>
        <v>23</v>
      </c>
      <c r="G715" s="10" t="b">
        <f>dataset_1!G526</f>
        <v>0</v>
      </c>
      <c r="H715" s="10">
        <f>dataset_1!H526</f>
        <v>0</v>
      </c>
      <c r="I715" s="10">
        <f>dataset_1!I526</f>
        <v>1</v>
      </c>
      <c r="J715" s="10">
        <f>dataset_1!J526</f>
        <v>0.06</v>
      </c>
      <c r="K715" s="10">
        <f>VLOOKUP(A715,dataset_2!$A$2:$G$611,2,0)</f>
        <v>0.0606</v>
      </c>
      <c r="L715" s="10">
        <f>VLOOKUP(A715,dataset_2!$A$2:$G$611,3,0)</f>
        <v>0.41</v>
      </c>
      <c r="M715" s="10">
        <f>VLOOKUP(A715,dataset_2!$A$2:$G$611,4,0)</f>
        <v>0.2239</v>
      </c>
      <c r="N715" s="10">
        <f>VLOOKUP(A715,dataset_2!$A$2:$G$611,5,0)</f>
        <v>4</v>
      </c>
      <c r="O715" s="10">
        <f>VLOOKUP(A715,dataset_2!$A$2:$G$611,6,0)</f>
        <v>17</v>
      </c>
      <c r="P715" s="10">
        <f>VLOOKUP(A715,dataset_2!$A$2:$G$611,7,0)</f>
        <v>21</v>
      </c>
      <c r="Q715" s="10"/>
      <c r="R715" s="10"/>
      <c r="S715" s="10"/>
      <c r="T715" s="10"/>
      <c r="U715" s="10">
        <f t="shared" si="4"/>
        <v>1</v>
      </c>
      <c r="V715" s="10"/>
      <c r="W715" s="10"/>
      <c r="X715" s="10"/>
      <c r="Y715" s="10"/>
      <c r="Z715" s="10"/>
    </row>
    <row r="716" ht="13.5" customHeight="1">
      <c r="A716" s="3">
        <v>663.0</v>
      </c>
      <c r="B716" s="12">
        <v>40573.0</v>
      </c>
      <c r="C716" s="3">
        <v>1.0</v>
      </c>
      <c r="D716" s="3">
        <v>0.0</v>
      </c>
      <c r="E716" s="3">
        <v>1.0</v>
      </c>
      <c r="F716" s="3">
        <v>22.0</v>
      </c>
      <c r="G716" s="3" t="b">
        <f t="shared" ref="G716:G718" si="78">FALSE()</f>
        <v>0</v>
      </c>
      <c r="H716" s="3">
        <v>0.0</v>
      </c>
      <c r="I716" s="3">
        <v>2.0</v>
      </c>
      <c r="J716" s="3">
        <v>0.24</v>
      </c>
      <c r="K716" s="3">
        <v>0.2273</v>
      </c>
      <c r="L716" s="3">
        <v>0.7</v>
      </c>
      <c r="M716" s="3">
        <v>0.194</v>
      </c>
      <c r="N716" s="3">
        <v>2.0</v>
      </c>
      <c r="O716" s="3">
        <v>19.0</v>
      </c>
      <c r="P716" s="3">
        <v>21.0</v>
      </c>
      <c r="Q716" s="10"/>
      <c r="R716" s="10"/>
      <c r="S716" s="10"/>
      <c r="T716" s="10"/>
      <c r="U716" s="10">
        <f t="shared" si="4"/>
        <v>1</v>
      </c>
      <c r="V716" s="10"/>
      <c r="W716" s="10"/>
      <c r="X716" s="10"/>
      <c r="Y716" s="10"/>
      <c r="Z716" s="10"/>
    </row>
    <row r="717" ht="13.5" customHeight="1">
      <c r="A717" s="3">
        <v>664.0</v>
      </c>
      <c r="B717" s="12">
        <v>40573.0</v>
      </c>
      <c r="C717" s="3">
        <v>1.0</v>
      </c>
      <c r="D717" s="3">
        <v>0.0</v>
      </c>
      <c r="E717" s="3">
        <v>1.0</v>
      </c>
      <c r="F717" s="3">
        <v>23.0</v>
      </c>
      <c r="G717" s="3" t="b">
        <f t="shared" si="78"/>
        <v>0</v>
      </c>
      <c r="H717" s="3">
        <v>0.0</v>
      </c>
      <c r="I717" s="3">
        <v>2.0</v>
      </c>
      <c r="J717" s="3">
        <v>0.24</v>
      </c>
      <c r="K717" s="3">
        <v>0.2121</v>
      </c>
      <c r="L717" s="3">
        <v>0.65</v>
      </c>
      <c r="M717" s="3">
        <v>0.2836</v>
      </c>
      <c r="N717" s="3">
        <v>5.0</v>
      </c>
      <c r="O717" s="3">
        <v>16.0</v>
      </c>
      <c r="P717" s="3">
        <v>21.0</v>
      </c>
      <c r="Q717" s="10"/>
      <c r="R717" s="10"/>
      <c r="S717" s="10"/>
      <c r="T717" s="10"/>
      <c r="U717" s="10">
        <f t="shared" si="4"/>
        <v>1</v>
      </c>
      <c r="V717" s="10"/>
      <c r="W717" s="10"/>
      <c r="X717" s="10"/>
      <c r="Y717" s="10"/>
      <c r="Z717" s="10"/>
    </row>
    <row r="718" ht="13.5" customHeight="1">
      <c r="A718" s="3">
        <v>825.0</v>
      </c>
      <c r="B718" s="12">
        <v>40580.0</v>
      </c>
      <c r="C718" s="3">
        <v>1.0</v>
      </c>
      <c r="D718" s="3">
        <v>0.0</v>
      </c>
      <c r="E718" s="3">
        <v>2.0</v>
      </c>
      <c r="F718" s="3">
        <v>19.0</v>
      </c>
      <c r="G718" s="3" t="b">
        <f t="shared" si="78"/>
        <v>0</v>
      </c>
      <c r="H718" s="3">
        <v>0.0</v>
      </c>
      <c r="I718" s="3">
        <v>1.0</v>
      </c>
      <c r="J718" s="3">
        <v>0.28</v>
      </c>
      <c r="K718" s="3">
        <v>0.2879</v>
      </c>
      <c r="L718" s="3">
        <v>0.61</v>
      </c>
      <c r="M718" s="3">
        <v>0.1343</v>
      </c>
      <c r="N718" s="3">
        <v>1.0</v>
      </c>
      <c r="O718" s="3">
        <v>20.0</v>
      </c>
      <c r="P718" s="3">
        <v>21.0</v>
      </c>
      <c r="Q718" s="10"/>
      <c r="R718" s="10"/>
      <c r="S718" s="10"/>
      <c r="T718" s="10"/>
      <c r="U718" s="10">
        <f t="shared" si="4"/>
        <v>1</v>
      </c>
      <c r="V718" s="10"/>
      <c r="W718" s="10"/>
      <c r="X718" s="10"/>
      <c r="Y718" s="10"/>
      <c r="Z718" s="10"/>
    </row>
    <row r="719" ht="13.5" customHeight="1">
      <c r="A719" s="10">
        <f>dataset_1!A34</f>
        <v>33</v>
      </c>
      <c r="B719" s="11">
        <f>dataset_1!B34</f>
        <v>40545</v>
      </c>
      <c r="C719" s="10">
        <f>dataset_1!C34</f>
        <v>1</v>
      </c>
      <c r="D719" s="10">
        <f>dataset_1!D34</f>
        <v>0</v>
      </c>
      <c r="E719" s="10">
        <f>dataset_1!E34</f>
        <v>1</v>
      </c>
      <c r="F719" s="10">
        <f>dataset_1!F34</f>
        <v>9</v>
      </c>
      <c r="G719" s="10" t="b">
        <f>dataset_1!G34</f>
        <v>0</v>
      </c>
      <c r="H719" s="10">
        <f>dataset_1!H34</f>
        <v>0</v>
      </c>
      <c r="I719" s="10">
        <f>dataset_1!I34</f>
        <v>2</v>
      </c>
      <c r="J719" s="10">
        <f>dataset_1!J34</f>
        <v>0.38</v>
      </c>
      <c r="K719" s="10" t="str">
        <f>VLOOKUP(A719,dataset_2!$A$2:$G$611,2,0)</f>
        <v/>
      </c>
      <c r="L719" s="10">
        <f>VLOOKUP(A719,dataset_2!$A$2:$G$611,3,0)</f>
        <v>0.76</v>
      </c>
      <c r="M719" s="10">
        <f>VLOOKUP(A719,dataset_2!$A$2:$G$611,4,0)</f>
        <v>0.2239</v>
      </c>
      <c r="N719" s="10">
        <f>VLOOKUP(A719,dataset_2!$A$2:$G$611,5,0)</f>
        <v>1</v>
      </c>
      <c r="O719" s="10">
        <f>VLOOKUP(A719,dataset_2!$A$2:$G$611,6,0)</f>
        <v>19</v>
      </c>
      <c r="P719" s="10">
        <f>VLOOKUP(A719,dataset_2!$A$2:$G$611,7,0)</f>
        <v>20</v>
      </c>
      <c r="Q719" s="10"/>
      <c r="R719" s="10"/>
      <c r="S719" s="10"/>
      <c r="T719" s="10"/>
      <c r="U719" s="10">
        <f t="shared" si="4"/>
        <v>1</v>
      </c>
      <c r="V719" s="10"/>
      <c r="W719" s="10"/>
      <c r="X719" s="10"/>
      <c r="Y719" s="10"/>
      <c r="Z719" s="10"/>
    </row>
    <row r="720" ht="13.5" customHeight="1">
      <c r="A720" s="10">
        <f>dataset_1!A69</f>
        <v>68</v>
      </c>
      <c r="B720" s="11">
        <f>dataset_1!B69</f>
        <v>40546</v>
      </c>
      <c r="C720" s="10">
        <f>dataset_1!C69</f>
        <v>1</v>
      </c>
      <c r="D720" s="10">
        <f>dataset_1!D69</f>
        <v>0</v>
      </c>
      <c r="E720" s="10">
        <f>dataset_1!E69</f>
        <v>1</v>
      </c>
      <c r="F720" s="10">
        <f>dataset_1!F69</f>
        <v>22</v>
      </c>
      <c r="G720" s="10" t="b">
        <f>dataset_1!G69</f>
        <v>0</v>
      </c>
      <c r="H720" s="10">
        <f>dataset_1!H69</f>
        <v>1</v>
      </c>
      <c r="I720" s="10">
        <f>dataset_1!I69</f>
        <v>1</v>
      </c>
      <c r="J720" s="10">
        <f>dataset_1!J69</f>
        <v>0.14</v>
      </c>
      <c r="K720" s="10">
        <f>VLOOKUP(A720,dataset_2!$A$2:$G$611,2,0)</f>
        <v>0.1515</v>
      </c>
      <c r="L720" s="10">
        <f>VLOOKUP(A720,dataset_2!$A$2:$G$611,3,0)</f>
        <v>0.69</v>
      </c>
      <c r="M720" s="10">
        <f>VLOOKUP(A720,dataset_2!$A$2:$G$611,4,0)</f>
        <v>0.1343</v>
      </c>
      <c r="N720" s="10">
        <f>VLOOKUP(A720,dataset_2!$A$2:$G$611,5,0)</f>
        <v>0</v>
      </c>
      <c r="O720" s="10">
        <f>VLOOKUP(A720,dataset_2!$A$2:$G$611,6,0)</f>
        <v>20</v>
      </c>
      <c r="P720" s="10">
        <f>VLOOKUP(A720,dataset_2!$A$2:$G$611,7,0)</f>
        <v>20</v>
      </c>
      <c r="Q720" s="10"/>
      <c r="R720" s="10"/>
      <c r="S720" s="10"/>
      <c r="T720" s="10"/>
      <c r="U720" s="10">
        <f t="shared" si="4"/>
        <v>1</v>
      </c>
      <c r="V720" s="10"/>
      <c r="W720" s="10"/>
      <c r="X720" s="10"/>
      <c r="Y720" s="10"/>
      <c r="Z720" s="10"/>
    </row>
    <row r="721" ht="13.5" customHeight="1">
      <c r="A721" s="10">
        <f>dataset_1!A172</f>
        <v>171</v>
      </c>
      <c r="B721" s="11">
        <f>dataset_1!B172</f>
        <v>40551</v>
      </c>
      <c r="C721" s="10">
        <f>dataset_1!C172</f>
        <v>1</v>
      </c>
      <c r="D721" s="10">
        <f>dataset_1!D172</f>
        <v>0</v>
      </c>
      <c r="E721" s="10">
        <f>dataset_1!E172</f>
        <v>1</v>
      </c>
      <c r="F721" s="10">
        <f>dataset_1!F172</f>
        <v>9</v>
      </c>
      <c r="G721" s="10" t="b">
        <f>dataset_1!G172</f>
        <v>0</v>
      </c>
      <c r="H721" s="10">
        <f>dataset_1!H172</f>
        <v>6</v>
      </c>
      <c r="I721" s="10">
        <f>dataset_1!I172</f>
        <v>3</v>
      </c>
      <c r="J721" s="10">
        <f>dataset_1!J172</f>
        <v>0.16</v>
      </c>
      <c r="K721" s="10">
        <f>VLOOKUP(A721,dataset_2!$A$2:$G$611,2,0)</f>
        <v>0.1818</v>
      </c>
      <c r="L721" s="10">
        <f>VLOOKUP(A721,dataset_2!$A$2:$G$611,3,0)</f>
        <v>0.93</v>
      </c>
      <c r="M721" s="10">
        <f>VLOOKUP(A721,dataset_2!$A$2:$G$611,4,0)</f>
        <v>0.1045</v>
      </c>
      <c r="N721" s="10">
        <f>VLOOKUP(A721,dataset_2!$A$2:$G$611,5,0)</f>
        <v>0</v>
      </c>
      <c r="O721" s="10">
        <f>VLOOKUP(A721,dataset_2!$A$2:$G$611,6,0)</f>
        <v>20</v>
      </c>
      <c r="P721" s="10">
        <f>VLOOKUP(A721,dataset_2!$A$2:$G$611,7,0)</f>
        <v>20</v>
      </c>
      <c r="Q721" s="10"/>
      <c r="R721" s="10"/>
      <c r="S721" s="10"/>
      <c r="T721" s="10"/>
      <c r="U721" s="10">
        <f t="shared" si="4"/>
        <v>1</v>
      </c>
      <c r="V721" s="10"/>
      <c r="W721" s="10"/>
      <c r="X721" s="10"/>
      <c r="Y721" s="10"/>
      <c r="Z721" s="10"/>
    </row>
    <row r="722" ht="13.5" customHeight="1">
      <c r="A722" s="10">
        <f>dataset_1!A208</f>
        <v>207</v>
      </c>
      <c r="B722" s="11">
        <f>dataset_1!B208</f>
        <v>40552</v>
      </c>
      <c r="C722" s="10">
        <f>dataset_1!C208</f>
        <v>1</v>
      </c>
      <c r="D722" s="10">
        <f>dataset_1!D208</f>
        <v>0</v>
      </c>
      <c r="E722" s="10">
        <f>dataset_1!E208</f>
        <v>1</v>
      </c>
      <c r="F722" s="10">
        <f>dataset_1!F208</f>
        <v>21</v>
      </c>
      <c r="G722" s="10" t="b">
        <f>dataset_1!G208</f>
        <v>0</v>
      </c>
      <c r="H722" s="10">
        <f>dataset_1!H208</f>
        <v>0</v>
      </c>
      <c r="I722" s="10">
        <f>dataset_1!I208</f>
        <v>1</v>
      </c>
      <c r="J722" s="10">
        <f>dataset_1!J208</f>
        <v>0.14</v>
      </c>
      <c r="K722" s="10">
        <f>VLOOKUP(A722,dataset_2!$A$2:$G$611,2,0)</f>
        <v>0.1061</v>
      </c>
      <c r="L722" s="10">
        <f>VLOOKUP(A722,dataset_2!$A$2:$G$611,3,0)</f>
        <v>0.46</v>
      </c>
      <c r="M722" s="10">
        <f>VLOOKUP(A722,dataset_2!$A$2:$G$611,4,0)</f>
        <v>0.4179</v>
      </c>
      <c r="N722" s="10">
        <f>VLOOKUP(A722,dataset_2!$A$2:$G$611,5,0)</f>
        <v>1</v>
      </c>
      <c r="O722" s="10">
        <f>VLOOKUP(A722,dataset_2!$A$2:$G$611,6,0)</f>
        <v>19</v>
      </c>
      <c r="P722" s="10">
        <f>VLOOKUP(A722,dataset_2!$A$2:$G$611,7,0)</f>
        <v>20</v>
      </c>
      <c r="Q722" s="10"/>
      <c r="R722" s="10"/>
      <c r="S722" s="10"/>
      <c r="T722" s="10"/>
      <c r="U722" s="10">
        <f t="shared" si="4"/>
        <v>1</v>
      </c>
      <c r="V722" s="10"/>
      <c r="W722" s="10"/>
      <c r="X722" s="10"/>
      <c r="Y722" s="10"/>
      <c r="Z722" s="10"/>
    </row>
    <row r="723" ht="13.5" customHeight="1">
      <c r="A723" s="10">
        <f>dataset_1!A254</f>
        <v>253</v>
      </c>
      <c r="B723" s="11">
        <f>dataset_1!B254</f>
        <v>40554</v>
      </c>
      <c r="C723" s="10">
        <f>dataset_1!C254</f>
        <v>1</v>
      </c>
      <c r="D723" s="10">
        <f>dataset_1!D254</f>
        <v>0</v>
      </c>
      <c r="E723" s="10">
        <f>dataset_1!E254</f>
        <v>1</v>
      </c>
      <c r="F723" s="10">
        <f>dataset_1!F254</f>
        <v>21</v>
      </c>
      <c r="G723" s="10" t="b">
        <f>dataset_1!G254</f>
        <v>0</v>
      </c>
      <c r="H723" s="10">
        <f>dataset_1!H254</f>
        <v>2</v>
      </c>
      <c r="I723" s="10">
        <f>dataset_1!I254</f>
        <v>3</v>
      </c>
      <c r="J723" s="10">
        <f>dataset_1!J254</f>
        <v>0.16</v>
      </c>
      <c r="K723" s="10">
        <f>VLOOKUP(A723,dataset_2!$A$2:$G$611,2,0)</f>
        <v>0.197</v>
      </c>
      <c r="L723" s="10">
        <f>VLOOKUP(A723,dataset_2!$A$2:$G$611,3,0)</f>
        <v>0.86</v>
      </c>
      <c r="M723" s="10">
        <f>VLOOKUP(A723,dataset_2!$A$2:$G$611,4,0)</f>
        <v>0.0896</v>
      </c>
      <c r="N723" s="10">
        <f>VLOOKUP(A723,dataset_2!$A$2:$G$611,5,0)</f>
        <v>0</v>
      </c>
      <c r="O723" s="10">
        <f>VLOOKUP(A723,dataset_2!$A$2:$G$611,6,0)</f>
        <v>20</v>
      </c>
      <c r="P723" s="10">
        <f>VLOOKUP(A723,dataset_2!$A$2:$G$611,7,0)</f>
        <v>20</v>
      </c>
      <c r="Q723" s="10"/>
      <c r="R723" s="10"/>
      <c r="S723" s="10"/>
      <c r="T723" s="10"/>
      <c r="U723" s="10">
        <f t="shared" si="4"/>
        <v>1</v>
      </c>
      <c r="V723" s="10"/>
      <c r="W723" s="10"/>
      <c r="X723" s="10"/>
      <c r="Y723" s="10"/>
      <c r="Z723" s="10"/>
    </row>
    <row r="724" ht="13.5" customHeight="1">
      <c r="A724" s="10">
        <f>dataset_1!A278</f>
        <v>277</v>
      </c>
      <c r="B724" s="11">
        <f>dataset_1!B278</f>
        <v>40555</v>
      </c>
      <c r="C724" s="10">
        <f>dataset_1!C278</f>
        <v>1</v>
      </c>
      <c r="D724" s="10">
        <f>dataset_1!D278</f>
        <v>0</v>
      </c>
      <c r="E724" s="10">
        <f>dataset_1!E278</f>
        <v>1</v>
      </c>
      <c r="F724" s="10">
        <f>dataset_1!F278</f>
        <v>23</v>
      </c>
      <c r="G724" s="10" t="b">
        <f>dataset_1!G278</f>
        <v>0</v>
      </c>
      <c r="H724" s="10">
        <f>dataset_1!H278</f>
        <v>3</v>
      </c>
      <c r="I724" s="10">
        <f>dataset_1!I278</f>
        <v>1</v>
      </c>
      <c r="J724" s="10">
        <f>dataset_1!J278</f>
        <v>0.14</v>
      </c>
      <c r="K724" s="10">
        <f>VLOOKUP(A724,dataset_2!$A$2:$G$611,2,0)</f>
        <v>0.1061</v>
      </c>
      <c r="L724" s="10">
        <f>VLOOKUP(A724,dataset_2!$A$2:$G$611,3,0)</f>
        <v>0.59</v>
      </c>
      <c r="M724" s="10">
        <f>VLOOKUP(A724,dataset_2!$A$2:$G$611,4,0)</f>
        <v>0.4179</v>
      </c>
      <c r="N724" s="10">
        <f>VLOOKUP(A724,dataset_2!$A$2:$G$611,5,0)</f>
        <v>1</v>
      </c>
      <c r="O724" s="10">
        <f>VLOOKUP(A724,dataset_2!$A$2:$G$611,6,0)</f>
        <v>19</v>
      </c>
      <c r="P724" s="10">
        <f>VLOOKUP(A724,dataset_2!$A$2:$G$611,7,0)</f>
        <v>20</v>
      </c>
      <c r="Q724" s="10"/>
      <c r="R724" s="10"/>
      <c r="S724" s="10"/>
      <c r="T724" s="10"/>
      <c r="U724" s="10">
        <f t="shared" si="4"/>
        <v>1</v>
      </c>
      <c r="V724" s="10"/>
      <c r="W724" s="10"/>
      <c r="X724" s="10"/>
      <c r="Y724" s="10"/>
      <c r="Z724" s="10"/>
    </row>
    <row r="725" ht="13.5" customHeight="1">
      <c r="A725" s="10">
        <f>dataset_1!A327</f>
        <v>326</v>
      </c>
      <c r="B725" s="11">
        <f>dataset_1!B327</f>
        <v>40558</v>
      </c>
      <c r="C725" s="10">
        <f>dataset_1!C327</f>
        <v>1</v>
      </c>
      <c r="D725" s="10">
        <f>dataset_1!D327</f>
        <v>0</v>
      </c>
      <c r="E725" s="10">
        <f>dataset_1!E327</f>
        <v>1</v>
      </c>
      <c r="F725" s="10">
        <f>dataset_1!F327</f>
        <v>1</v>
      </c>
      <c r="G725" s="10" t="b">
        <f>dataset_1!G327</f>
        <v>0</v>
      </c>
      <c r="H725" s="10">
        <f>dataset_1!H327</f>
        <v>6</v>
      </c>
      <c r="I725" s="10">
        <f>dataset_1!I327</f>
        <v>2</v>
      </c>
      <c r="J725" s="10">
        <f>dataset_1!J327</f>
        <v>0.16</v>
      </c>
      <c r="K725" s="10">
        <f>VLOOKUP(A725,dataset_2!$A$2:$G$611,2,0)</f>
        <v>0.197</v>
      </c>
      <c r="L725" s="10">
        <f>VLOOKUP(A725,dataset_2!$A$2:$G$611,3,0)</f>
        <v>0.59</v>
      </c>
      <c r="M725" s="10">
        <f>VLOOKUP(A725,dataset_2!$A$2:$G$611,4,0)</f>
        <v>0.0896</v>
      </c>
      <c r="N725" s="10">
        <f>VLOOKUP(A725,dataset_2!$A$2:$G$611,5,0)</f>
        <v>2</v>
      </c>
      <c r="O725" s="10">
        <f>VLOOKUP(A725,dataset_2!$A$2:$G$611,6,0)</f>
        <v>18</v>
      </c>
      <c r="P725" s="10">
        <f>VLOOKUP(A725,dataset_2!$A$2:$G$611,7,0)</f>
        <v>20</v>
      </c>
      <c r="Q725" s="10"/>
      <c r="R725" s="10"/>
      <c r="S725" s="10"/>
      <c r="T725" s="10"/>
      <c r="U725" s="10">
        <f t="shared" si="4"/>
        <v>1</v>
      </c>
      <c r="V725" s="10"/>
      <c r="W725" s="10"/>
      <c r="X725" s="10"/>
      <c r="Y725" s="10"/>
      <c r="Z725" s="10"/>
    </row>
    <row r="726" ht="13.5" customHeight="1">
      <c r="A726" s="10">
        <f>dataset_1!A409</f>
        <v>408</v>
      </c>
      <c r="B726" s="11">
        <f>dataset_1!B409</f>
        <v>40561</v>
      </c>
      <c r="C726" s="10">
        <f>dataset_1!C409</f>
        <v>1</v>
      </c>
      <c r="D726" s="10">
        <f>dataset_1!D409</f>
        <v>0</v>
      </c>
      <c r="E726" s="10">
        <f>dataset_1!E409</f>
        <v>1</v>
      </c>
      <c r="F726" s="10">
        <f>dataset_1!F409</f>
        <v>23</v>
      </c>
      <c r="G726" s="10" t="b">
        <f>dataset_1!G409</f>
        <v>0</v>
      </c>
      <c r="H726" s="10">
        <f>dataset_1!H409</f>
        <v>2</v>
      </c>
      <c r="I726" s="10">
        <f>dataset_1!I409</f>
        <v>2</v>
      </c>
      <c r="J726" s="10">
        <f>dataset_1!J409</f>
        <v>0.22</v>
      </c>
      <c r="K726" s="10">
        <f>VLOOKUP(A726,dataset_2!$A$2:$G$611,2,0)</f>
        <v>0.2727</v>
      </c>
      <c r="L726" s="10">
        <f>VLOOKUP(A726,dataset_2!$A$2:$G$611,3,0)</f>
        <v>0.93</v>
      </c>
      <c r="M726" s="10">
        <f>VLOOKUP(A726,dataset_2!$A$2:$G$611,4,0)</f>
        <v>0</v>
      </c>
      <c r="N726" s="10">
        <f>VLOOKUP(A726,dataset_2!$A$2:$G$611,5,0)</f>
        <v>1</v>
      </c>
      <c r="O726" s="10">
        <f>VLOOKUP(A726,dataset_2!$A$2:$G$611,6,0)</f>
        <v>19</v>
      </c>
      <c r="P726" s="10">
        <f>VLOOKUP(A726,dataset_2!$A$2:$G$611,7,0)</f>
        <v>20</v>
      </c>
      <c r="Q726" s="10"/>
      <c r="R726" s="10"/>
      <c r="S726" s="10"/>
      <c r="T726" s="10"/>
      <c r="U726" s="10">
        <f t="shared" si="4"/>
        <v>1</v>
      </c>
      <c r="V726" s="10"/>
      <c r="W726" s="10"/>
      <c r="X726" s="10"/>
      <c r="Y726" s="10"/>
      <c r="Z726" s="10"/>
    </row>
    <row r="727" ht="13.5" customHeight="1">
      <c r="A727" s="3">
        <v>620.0</v>
      </c>
      <c r="B727" s="12">
        <v>40572.0</v>
      </c>
      <c r="C727" s="3">
        <v>1.0</v>
      </c>
      <c r="D727" s="3">
        <v>0.0</v>
      </c>
      <c r="E727" s="3">
        <v>1.0</v>
      </c>
      <c r="F727" s="3">
        <v>1.0</v>
      </c>
      <c r="G727" s="3" t="b">
        <f t="shared" ref="G727:G730" si="79">FALSE()</f>
        <v>0</v>
      </c>
      <c r="H727" s="3">
        <v>6.0</v>
      </c>
      <c r="I727" s="3">
        <v>1.0</v>
      </c>
      <c r="J727" s="3">
        <v>0.22</v>
      </c>
      <c r="K727" s="3">
        <v>0.2273</v>
      </c>
      <c r="L727" s="3">
        <v>0.64</v>
      </c>
      <c r="M727" s="3">
        <v>0.194</v>
      </c>
      <c r="N727" s="3">
        <v>0.0</v>
      </c>
      <c r="O727" s="3">
        <v>20.0</v>
      </c>
      <c r="P727" s="3">
        <v>20.0</v>
      </c>
      <c r="Q727" s="10"/>
      <c r="R727" s="10"/>
      <c r="S727" s="10"/>
      <c r="T727" s="10"/>
      <c r="U727" s="10">
        <f t="shared" si="4"/>
        <v>1</v>
      </c>
      <c r="V727" s="10"/>
      <c r="W727" s="10"/>
      <c r="X727" s="10"/>
      <c r="Y727" s="10"/>
      <c r="Z727" s="10"/>
    </row>
    <row r="728" ht="13.5" customHeight="1">
      <c r="A728" s="3">
        <v>791.0</v>
      </c>
      <c r="B728" s="12">
        <v>40579.0</v>
      </c>
      <c r="C728" s="3">
        <v>1.0</v>
      </c>
      <c r="D728" s="3">
        <v>0.0</v>
      </c>
      <c r="E728" s="3">
        <v>2.0</v>
      </c>
      <c r="F728" s="3">
        <v>9.0</v>
      </c>
      <c r="G728" s="3" t="b">
        <f t="shared" si="79"/>
        <v>0</v>
      </c>
      <c r="H728" s="3">
        <v>6.0</v>
      </c>
      <c r="I728" s="3">
        <v>3.0</v>
      </c>
      <c r="J728" s="3">
        <v>0.2</v>
      </c>
      <c r="K728" s="3">
        <v>0.2273</v>
      </c>
      <c r="L728" s="3">
        <v>1.0</v>
      </c>
      <c r="M728" s="3">
        <v>0.0896</v>
      </c>
      <c r="N728" s="3">
        <v>3.0</v>
      </c>
      <c r="O728" s="3">
        <v>17.0</v>
      </c>
      <c r="P728" s="3">
        <v>20.0</v>
      </c>
      <c r="Q728" s="10"/>
      <c r="R728" s="10"/>
      <c r="S728" s="10"/>
      <c r="T728" s="10"/>
      <c r="U728" s="10">
        <f t="shared" si="4"/>
        <v>1</v>
      </c>
      <c r="V728" s="10"/>
      <c r="W728" s="10"/>
      <c r="X728" s="10"/>
      <c r="Y728" s="10"/>
      <c r="Z728" s="10"/>
    </row>
    <row r="729" ht="13.5" customHeight="1">
      <c r="A729" s="3">
        <v>808.0</v>
      </c>
      <c r="B729" s="12">
        <v>40580.0</v>
      </c>
      <c r="C729" s="3">
        <v>1.0</v>
      </c>
      <c r="D729" s="3">
        <v>0.0</v>
      </c>
      <c r="E729" s="3">
        <v>2.0</v>
      </c>
      <c r="F729" s="3">
        <v>2.0</v>
      </c>
      <c r="G729" s="3" t="b">
        <f t="shared" si="79"/>
        <v>0</v>
      </c>
      <c r="H729" s="3">
        <v>0.0</v>
      </c>
      <c r="I729" s="3">
        <v>1.0</v>
      </c>
      <c r="J729" s="3">
        <v>0.26</v>
      </c>
      <c r="K729" s="3">
        <v>0.2273</v>
      </c>
      <c r="L729" s="3">
        <v>0.6</v>
      </c>
      <c r="M729" s="3">
        <v>0.3284</v>
      </c>
      <c r="N729" s="3">
        <v>0.0</v>
      </c>
      <c r="O729" s="3">
        <v>20.0</v>
      </c>
      <c r="P729" s="3">
        <v>20.0</v>
      </c>
      <c r="Q729" s="10"/>
      <c r="R729" s="10"/>
      <c r="S729" s="10"/>
      <c r="T729" s="10"/>
      <c r="U729" s="10">
        <f t="shared" si="4"/>
        <v>1</v>
      </c>
      <c r="V729" s="10"/>
      <c r="W729" s="10"/>
      <c r="X729" s="10"/>
      <c r="Y729" s="10"/>
      <c r="Z729" s="10"/>
    </row>
    <row r="730" ht="13.5" customHeight="1">
      <c r="A730" s="3">
        <v>972.0</v>
      </c>
      <c r="B730" s="12">
        <v>40587.0</v>
      </c>
      <c r="C730" s="3">
        <v>1.0</v>
      </c>
      <c r="D730" s="3">
        <v>0.0</v>
      </c>
      <c r="E730" s="3">
        <v>2.0</v>
      </c>
      <c r="F730" s="3">
        <v>2.0</v>
      </c>
      <c r="G730" s="3" t="b">
        <f t="shared" si="79"/>
        <v>0</v>
      </c>
      <c r="H730" s="3">
        <v>0.0</v>
      </c>
      <c r="I730" s="3">
        <v>2.0</v>
      </c>
      <c r="J730" s="3">
        <v>0.2</v>
      </c>
      <c r="K730" s="3">
        <v>0.2273</v>
      </c>
      <c r="L730" s="3">
        <v>0.75</v>
      </c>
      <c r="M730" s="3">
        <v>0.0896</v>
      </c>
      <c r="N730" s="3">
        <v>1.0</v>
      </c>
      <c r="O730" s="3">
        <v>19.0</v>
      </c>
      <c r="P730" s="3">
        <v>20.0</v>
      </c>
      <c r="Q730" s="10"/>
      <c r="R730" s="10"/>
      <c r="S730" s="10"/>
      <c r="T730" s="10"/>
      <c r="U730" s="10">
        <f t="shared" si="4"/>
        <v>1</v>
      </c>
      <c r="V730" s="10"/>
      <c r="W730" s="10"/>
      <c r="X730" s="10"/>
      <c r="Y730" s="10"/>
      <c r="Z730" s="10"/>
    </row>
    <row r="731" ht="13.5" customHeight="1">
      <c r="A731" s="10">
        <f>dataset_1!A116</f>
        <v>115</v>
      </c>
      <c r="B731" s="11">
        <f>dataset_1!B116</f>
        <v>40548</v>
      </c>
      <c r="C731" s="10">
        <f>dataset_1!C116</f>
        <v>1</v>
      </c>
      <c r="D731" s="10">
        <f>dataset_1!D116</f>
        <v>0</v>
      </c>
      <c r="E731" s="10">
        <f>dataset_1!E116</f>
        <v>1</v>
      </c>
      <c r="F731" s="10">
        <f>dataset_1!F116</f>
        <v>23</v>
      </c>
      <c r="G731" s="10" t="b">
        <f>dataset_1!G116</f>
        <v>0</v>
      </c>
      <c r="H731" s="10">
        <f>dataset_1!H116</f>
        <v>3</v>
      </c>
      <c r="I731" s="10">
        <f>dataset_1!I116</f>
        <v>1</v>
      </c>
      <c r="J731" s="10">
        <f>dataset_1!J116</f>
        <v>0.2</v>
      </c>
      <c r="K731" s="10">
        <f>VLOOKUP(A731,dataset_2!$A$2:$G$611,2,0)</f>
        <v>0.2576</v>
      </c>
      <c r="L731" s="10">
        <f>VLOOKUP(A731,dataset_2!$A$2:$G$611,3,0)</f>
        <v>0.47</v>
      </c>
      <c r="M731" s="10">
        <f>VLOOKUP(A731,dataset_2!$A$2:$G$611,4,0)</f>
        <v>0</v>
      </c>
      <c r="N731" s="10">
        <f>VLOOKUP(A731,dataset_2!$A$2:$G$611,5,0)</f>
        <v>1</v>
      </c>
      <c r="O731" s="10">
        <f>VLOOKUP(A731,dataset_2!$A$2:$G$611,6,0)</f>
        <v>18</v>
      </c>
      <c r="P731" s="10">
        <f>VLOOKUP(A731,dataset_2!$A$2:$G$611,7,0)</f>
        <v>19</v>
      </c>
      <c r="Q731" s="10"/>
      <c r="R731" s="10"/>
      <c r="S731" s="10"/>
      <c r="T731" s="10"/>
      <c r="U731" s="10">
        <f t="shared" si="4"/>
        <v>1</v>
      </c>
      <c r="V731" s="10"/>
      <c r="W731" s="10"/>
      <c r="X731" s="10"/>
      <c r="Y731" s="10"/>
      <c r="Z731" s="10"/>
    </row>
    <row r="732" ht="13.5" customHeight="1">
      <c r="A732" s="10">
        <f>dataset_1!A196</f>
        <v>195</v>
      </c>
      <c r="B732" s="11">
        <f>dataset_1!B196</f>
        <v>40552</v>
      </c>
      <c r="C732" s="10">
        <f>dataset_1!C196</f>
        <v>1</v>
      </c>
      <c r="D732" s="10">
        <f>dataset_1!D196</f>
        <v>0</v>
      </c>
      <c r="E732" s="10">
        <f>dataset_1!E196</f>
        <v>1</v>
      </c>
      <c r="F732" s="10">
        <f>dataset_1!F196</f>
        <v>9</v>
      </c>
      <c r="G732" s="10" t="b">
        <f>dataset_1!G196</f>
        <v>0</v>
      </c>
      <c r="H732" s="10">
        <f>dataset_1!H196</f>
        <v>0</v>
      </c>
      <c r="I732" s="10">
        <f>dataset_1!I196</f>
        <v>1</v>
      </c>
      <c r="J732" s="10">
        <f>dataset_1!J196</f>
        <v>0.12</v>
      </c>
      <c r="K732" s="10">
        <f>VLOOKUP(A732,dataset_2!$A$2:$G$611,2,0)</f>
        <v>0.0758</v>
      </c>
      <c r="L732" s="10">
        <f>VLOOKUP(A732,dataset_2!$A$2:$G$611,3,0)</f>
        <v>0.46</v>
      </c>
      <c r="M732" s="10">
        <f>VLOOKUP(A732,dataset_2!$A$2:$G$611,4,0)</f>
        <v>0.5224</v>
      </c>
      <c r="N732" s="10">
        <f>VLOOKUP(A732,dataset_2!$A$2:$G$611,5,0)</f>
        <v>0</v>
      </c>
      <c r="O732" s="10">
        <f>VLOOKUP(A732,dataset_2!$A$2:$G$611,6,0)</f>
        <v>19</v>
      </c>
      <c r="P732" s="10">
        <f>VLOOKUP(A732,dataset_2!$A$2:$G$611,7,0)</f>
        <v>19</v>
      </c>
      <c r="Q732" s="10"/>
      <c r="R732" s="10"/>
      <c r="S732" s="10"/>
      <c r="T732" s="10"/>
      <c r="U732" s="10">
        <f t="shared" si="4"/>
        <v>1</v>
      </c>
      <c r="V732" s="10"/>
      <c r="W732" s="10"/>
      <c r="X732" s="10"/>
      <c r="Y732" s="10"/>
      <c r="Z732" s="10"/>
    </row>
    <row r="733" ht="13.5" customHeight="1">
      <c r="A733" s="10">
        <f>dataset_1!A256</f>
        <v>255</v>
      </c>
      <c r="B733" s="11">
        <f>dataset_1!B256</f>
        <v>40554</v>
      </c>
      <c r="C733" s="10">
        <f>dataset_1!C256</f>
        <v>1</v>
      </c>
      <c r="D733" s="10">
        <f>dataset_1!D256</f>
        <v>0</v>
      </c>
      <c r="E733" s="10">
        <f>dataset_1!E256</f>
        <v>1</v>
      </c>
      <c r="F733" s="10">
        <f>dataset_1!F256</f>
        <v>23</v>
      </c>
      <c r="G733" s="10" t="b">
        <f>dataset_1!G256</f>
        <v>0</v>
      </c>
      <c r="H733" s="10">
        <f>dataset_1!H256</f>
        <v>2</v>
      </c>
      <c r="I733" s="10">
        <f>dataset_1!I256</f>
        <v>3</v>
      </c>
      <c r="J733" s="10">
        <f>dataset_1!J256</f>
        <v>0.16</v>
      </c>
      <c r="K733" s="10">
        <f>VLOOKUP(A733,dataset_2!$A$2:$G$611,2,0)</f>
        <v>0.197</v>
      </c>
      <c r="L733" s="10">
        <f>VLOOKUP(A733,dataset_2!$A$2:$G$611,3,0)</f>
        <v>0.93</v>
      </c>
      <c r="M733" s="10">
        <f>VLOOKUP(A733,dataset_2!$A$2:$G$611,4,0)</f>
        <v>0.0896</v>
      </c>
      <c r="N733" s="10">
        <f>VLOOKUP(A733,dataset_2!$A$2:$G$611,5,0)</f>
        <v>1</v>
      </c>
      <c r="O733" s="10">
        <f>VLOOKUP(A733,dataset_2!$A$2:$G$611,6,0)</f>
        <v>18</v>
      </c>
      <c r="P733" s="10">
        <f>VLOOKUP(A733,dataset_2!$A$2:$G$611,7,0)</f>
        <v>19</v>
      </c>
      <c r="Q733" s="10"/>
      <c r="R733" s="10"/>
      <c r="S733" s="10"/>
      <c r="T733" s="10"/>
      <c r="U733" s="10">
        <f t="shared" si="4"/>
        <v>1</v>
      </c>
      <c r="V733" s="10"/>
      <c r="W733" s="10"/>
      <c r="X733" s="10"/>
      <c r="Y733" s="10"/>
      <c r="Z733" s="10"/>
    </row>
    <row r="734" ht="13.5" customHeight="1">
      <c r="A734" s="10">
        <f>dataset_1!A511</f>
        <v>510</v>
      </c>
      <c r="B734" s="11">
        <f>dataset_1!B511</f>
        <v>40566</v>
      </c>
      <c r="C734" s="10">
        <f>dataset_1!C511</f>
        <v>1</v>
      </c>
      <c r="D734" s="10">
        <f>dataset_1!D511</f>
        <v>0</v>
      </c>
      <c r="E734" s="10">
        <f>dataset_1!E511</f>
        <v>1</v>
      </c>
      <c r="F734" s="10">
        <f>dataset_1!F511</f>
        <v>8</v>
      </c>
      <c r="G734" s="10" t="b">
        <f>dataset_1!G511</f>
        <v>0</v>
      </c>
      <c r="H734" s="10">
        <f>dataset_1!H511</f>
        <v>0</v>
      </c>
      <c r="I734" s="10">
        <f>dataset_1!I511</f>
        <v>1</v>
      </c>
      <c r="J734" s="10">
        <f>dataset_1!J511</f>
        <v>0.06</v>
      </c>
      <c r="K734" s="10">
        <f>VLOOKUP(A734,dataset_2!$A$2:$G$611,2,0)</f>
        <v>0.0758</v>
      </c>
      <c r="L734" s="10">
        <f>VLOOKUP(A734,dataset_2!$A$2:$G$611,3,0)</f>
        <v>0.62</v>
      </c>
      <c r="M734" s="10">
        <f>VLOOKUP(A734,dataset_2!$A$2:$G$611,4,0)</f>
        <v>0.1642</v>
      </c>
      <c r="N734" s="10">
        <f>VLOOKUP(A734,dataset_2!$A$2:$G$611,5,0)</f>
        <v>2</v>
      </c>
      <c r="O734" s="10">
        <f>VLOOKUP(A734,dataset_2!$A$2:$G$611,6,0)</f>
        <v>17</v>
      </c>
      <c r="P734" s="10">
        <f>VLOOKUP(A734,dataset_2!$A$2:$G$611,7,0)</f>
        <v>19</v>
      </c>
      <c r="Q734" s="10"/>
      <c r="R734" s="10"/>
      <c r="S734" s="10"/>
      <c r="T734" s="10"/>
      <c r="U734" s="10">
        <f t="shared" si="4"/>
        <v>1</v>
      </c>
      <c r="V734" s="10"/>
      <c r="W734" s="10"/>
      <c r="X734" s="10"/>
      <c r="Y734" s="10"/>
      <c r="Z734" s="10"/>
    </row>
    <row r="735" ht="13.5" customHeight="1">
      <c r="A735" s="10">
        <f>dataset_1!A234</f>
        <v>233</v>
      </c>
      <c r="B735" s="11">
        <f>dataset_1!B234</f>
        <v>40553</v>
      </c>
      <c r="C735" s="10">
        <f>dataset_1!C234</f>
        <v>1</v>
      </c>
      <c r="D735" s="10">
        <f>dataset_1!D234</f>
        <v>0</v>
      </c>
      <c r="E735" s="10">
        <f>dataset_1!E234</f>
        <v>1</v>
      </c>
      <c r="F735" s="10">
        <f>dataset_1!F234</f>
        <v>23</v>
      </c>
      <c r="G735" s="10" t="b">
        <f>dataset_1!G234</f>
        <v>0</v>
      </c>
      <c r="H735" s="10">
        <f>dataset_1!H234</f>
        <v>1</v>
      </c>
      <c r="I735" s="10">
        <f>dataset_1!I234</f>
        <v>1</v>
      </c>
      <c r="J735" s="10">
        <f>dataset_1!J234</f>
        <v>0.14</v>
      </c>
      <c r="K735" s="10">
        <f>VLOOKUP(A735,dataset_2!$A$2:$G$611,2,0)</f>
        <v>0.1515</v>
      </c>
      <c r="L735" s="10">
        <f>VLOOKUP(A735,dataset_2!$A$2:$G$611,3,0)</f>
        <v>0.59</v>
      </c>
      <c r="M735" s="10">
        <f>VLOOKUP(A735,dataset_2!$A$2:$G$611,4,0)</f>
        <v>0.1642</v>
      </c>
      <c r="N735" s="10">
        <f>VLOOKUP(A735,dataset_2!$A$2:$G$611,5,0)</f>
        <v>0</v>
      </c>
      <c r="O735" s="10">
        <f>VLOOKUP(A735,dataset_2!$A$2:$G$611,6,0)</f>
        <v>18</v>
      </c>
      <c r="P735" s="10">
        <f>VLOOKUP(A735,dataset_2!$A$2:$G$611,7,0)</f>
        <v>18</v>
      </c>
      <c r="Q735" s="10"/>
      <c r="R735" s="10"/>
      <c r="S735" s="10"/>
      <c r="T735" s="10"/>
      <c r="U735" s="10">
        <f t="shared" si="4"/>
        <v>1</v>
      </c>
      <c r="V735" s="10"/>
      <c r="W735" s="10"/>
      <c r="X735" s="10"/>
      <c r="Y735" s="10"/>
      <c r="Z735" s="10"/>
    </row>
    <row r="736" ht="13.5" customHeight="1">
      <c r="A736" s="10">
        <f>dataset_1!A358</f>
        <v>357</v>
      </c>
      <c r="B736" s="11">
        <f>dataset_1!B358</f>
        <v>40559</v>
      </c>
      <c r="C736" s="10">
        <f>dataset_1!C358</f>
        <v>1</v>
      </c>
      <c r="D736" s="10">
        <f>dataset_1!D358</f>
        <v>0</v>
      </c>
      <c r="E736" s="10">
        <f>dataset_1!E358</f>
        <v>1</v>
      </c>
      <c r="F736" s="10">
        <f>dataset_1!F358</f>
        <v>8</v>
      </c>
      <c r="G736" s="10" t="b">
        <f>dataset_1!G358</f>
        <v>0</v>
      </c>
      <c r="H736" s="10">
        <f>dataset_1!H358</f>
        <v>0</v>
      </c>
      <c r="I736" s="10">
        <f>dataset_1!I358</f>
        <v>1</v>
      </c>
      <c r="J736" s="10">
        <f>dataset_1!J358</f>
        <v>0.22</v>
      </c>
      <c r="K736" s="10">
        <f>VLOOKUP(A736,dataset_2!$A$2:$G$611,2,0)</f>
        <v>0.2121</v>
      </c>
      <c r="L736" s="10">
        <f>VLOOKUP(A736,dataset_2!$A$2:$G$611,3,0)</f>
        <v>0.55</v>
      </c>
      <c r="M736" s="10">
        <f>VLOOKUP(A736,dataset_2!$A$2:$G$611,4,0)</f>
        <v>0.2836</v>
      </c>
      <c r="N736" s="10">
        <f>VLOOKUP(A736,dataset_2!$A$2:$G$611,5,0)</f>
        <v>0</v>
      </c>
      <c r="O736" s="10">
        <f>VLOOKUP(A736,dataset_2!$A$2:$G$611,6,0)</f>
        <v>18</v>
      </c>
      <c r="P736" s="10">
        <f>VLOOKUP(A736,dataset_2!$A$2:$G$611,7,0)</f>
        <v>18</v>
      </c>
      <c r="Q736" s="10"/>
      <c r="R736" s="10"/>
      <c r="S736" s="10"/>
      <c r="T736" s="10"/>
      <c r="U736" s="10">
        <f t="shared" si="4"/>
        <v>1</v>
      </c>
      <c r="V736" s="10"/>
      <c r="W736" s="10"/>
      <c r="X736" s="10"/>
      <c r="Y736" s="10"/>
      <c r="Z736" s="10"/>
    </row>
    <row r="737" ht="13.5" customHeight="1">
      <c r="A737" s="10">
        <f>dataset_1!A373</f>
        <v>372</v>
      </c>
      <c r="B737" s="11">
        <f>dataset_1!B373</f>
        <v>40559</v>
      </c>
      <c r="C737" s="10">
        <f>dataset_1!C373</f>
        <v>1</v>
      </c>
      <c r="D737" s="10">
        <f>dataset_1!D373</f>
        <v>0</v>
      </c>
      <c r="E737" s="10">
        <f>dataset_1!E373</f>
        <v>1</v>
      </c>
      <c r="F737" s="10">
        <f>dataset_1!F373</f>
        <v>23</v>
      </c>
      <c r="G737" s="10" t="b">
        <f>dataset_1!G373</f>
        <v>0</v>
      </c>
      <c r="H737" s="10">
        <f>dataset_1!H373</f>
        <v>0</v>
      </c>
      <c r="I737" s="10">
        <f>dataset_1!I373</f>
        <v>2</v>
      </c>
      <c r="J737" s="10">
        <f>dataset_1!J373</f>
        <v>0.2</v>
      </c>
      <c r="K737" s="10">
        <f>VLOOKUP(A737,dataset_2!$A$2:$G$611,2,0)</f>
        <v>0.2273</v>
      </c>
      <c r="L737" s="10">
        <f>VLOOKUP(A737,dataset_2!$A$2:$G$611,3,0)</f>
        <v>0.4</v>
      </c>
      <c r="M737" s="10">
        <f>VLOOKUP(A737,dataset_2!$A$2:$G$611,4,0)</f>
        <v>0.1045</v>
      </c>
      <c r="N737" s="10">
        <f>VLOOKUP(A737,dataset_2!$A$2:$G$611,5,0)</f>
        <v>0</v>
      </c>
      <c r="O737" s="10">
        <f>VLOOKUP(A737,dataset_2!$A$2:$G$611,6,0)</f>
        <v>18</v>
      </c>
      <c r="P737" s="10">
        <f>VLOOKUP(A737,dataset_2!$A$2:$G$611,7,0)</f>
        <v>18</v>
      </c>
      <c r="Q737" s="10"/>
      <c r="R737" s="10"/>
      <c r="S737" s="10"/>
      <c r="T737" s="10"/>
      <c r="U737" s="10">
        <f t="shared" si="4"/>
        <v>1</v>
      </c>
      <c r="V737" s="10"/>
      <c r="W737" s="10"/>
      <c r="X737" s="10"/>
      <c r="Y737" s="10"/>
      <c r="Z737" s="10"/>
    </row>
    <row r="738" ht="13.5" customHeight="1">
      <c r="A738" s="10">
        <f>dataset_1!A506</f>
        <v>505</v>
      </c>
      <c r="B738" s="11">
        <f>dataset_1!B506</f>
        <v>40566</v>
      </c>
      <c r="C738" s="10">
        <f>dataset_1!C506</f>
        <v>1</v>
      </c>
      <c r="D738" s="10">
        <f>dataset_1!D506</f>
        <v>0</v>
      </c>
      <c r="E738" s="10">
        <f>dataset_1!E506</f>
        <v>1</v>
      </c>
      <c r="F738" s="10">
        <f>dataset_1!F506</f>
        <v>2</v>
      </c>
      <c r="G738" s="10" t="b">
        <f>dataset_1!G506</f>
        <v>0</v>
      </c>
      <c r="H738" s="10">
        <f>dataset_1!H506</f>
        <v>0</v>
      </c>
      <c r="I738" s="10">
        <f>dataset_1!I506</f>
        <v>1</v>
      </c>
      <c r="J738" s="10">
        <f>dataset_1!J506</f>
        <v>0.02</v>
      </c>
      <c r="K738" s="10">
        <f>VLOOKUP(A738,dataset_2!$A$2:$G$611,2,0)</f>
        <v>0.0606</v>
      </c>
      <c r="L738" s="10">
        <f>VLOOKUP(A738,dataset_2!$A$2:$G$611,3,0)</f>
        <v>0.62</v>
      </c>
      <c r="M738" s="10">
        <f>VLOOKUP(A738,dataset_2!$A$2:$G$611,4,0)</f>
        <v>0.1343</v>
      </c>
      <c r="N738" s="10">
        <f>VLOOKUP(A738,dataset_2!$A$2:$G$611,5,0)</f>
        <v>3</v>
      </c>
      <c r="O738" s="10">
        <f>VLOOKUP(A738,dataset_2!$A$2:$G$611,6,0)</f>
        <v>15</v>
      </c>
      <c r="P738" s="10">
        <f>VLOOKUP(A738,dataset_2!$A$2:$G$611,7,0)</f>
        <v>18</v>
      </c>
      <c r="Q738" s="10"/>
      <c r="R738" s="10"/>
      <c r="S738" s="10"/>
      <c r="T738" s="10"/>
      <c r="U738" s="10">
        <f t="shared" si="4"/>
        <v>1</v>
      </c>
      <c r="V738" s="10"/>
      <c r="W738" s="10"/>
      <c r="X738" s="10"/>
      <c r="Y738" s="10"/>
      <c r="Z738" s="10"/>
    </row>
    <row r="739" ht="13.5" customHeight="1">
      <c r="A739" s="3">
        <v>718.0</v>
      </c>
      <c r="B739" s="12">
        <v>40576.0</v>
      </c>
      <c r="C739" s="3">
        <v>1.0</v>
      </c>
      <c r="D739" s="3">
        <v>0.0</v>
      </c>
      <c r="E739" s="3">
        <v>2.0</v>
      </c>
      <c r="F739" s="3">
        <v>6.0</v>
      </c>
      <c r="G739" s="3" t="b">
        <f t="shared" ref="G739:G740" si="80">FALSE()</f>
        <v>0</v>
      </c>
      <c r="H739" s="3">
        <v>3.0</v>
      </c>
      <c r="I739" s="3">
        <v>3.0</v>
      </c>
      <c r="J739" s="3">
        <v>0.22</v>
      </c>
      <c r="K739" s="3">
        <v>0.2424</v>
      </c>
      <c r="L739" s="3">
        <v>0.93</v>
      </c>
      <c r="M739" s="3">
        <v>0.1045</v>
      </c>
      <c r="N739" s="3">
        <v>1.0</v>
      </c>
      <c r="O739" s="3">
        <v>17.0</v>
      </c>
      <c r="P739" s="3">
        <v>18.0</v>
      </c>
      <c r="Q739" s="10"/>
      <c r="R739" s="10"/>
      <c r="S739" s="10"/>
      <c r="T739" s="10"/>
      <c r="U739" s="10">
        <f t="shared" si="4"/>
        <v>1</v>
      </c>
      <c r="V739" s="10"/>
      <c r="W739" s="10"/>
      <c r="X739" s="10"/>
      <c r="Y739" s="10"/>
      <c r="Z739" s="10"/>
    </row>
    <row r="740" ht="13.5" customHeight="1">
      <c r="A740" s="3">
        <v>783.0</v>
      </c>
      <c r="B740" s="12">
        <v>40579.0</v>
      </c>
      <c r="C740" s="3">
        <v>1.0</v>
      </c>
      <c r="D740" s="3">
        <v>0.0</v>
      </c>
      <c r="E740" s="3">
        <v>2.0</v>
      </c>
      <c r="F740" s="3">
        <v>1.0</v>
      </c>
      <c r="G740" s="3" t="b">
        <f t="shared" si="80"/>
        <v>0</v>
      </c>
      <c r="H740" s="3">
        <v>6.0</v>
      </c>
      <c r="I740" s="3">
        <v>2.0</v>
      </c>
      <c r="J740" s="3">
        <v>0.24</v>
      </c>
      <c r="K740" s="3">
        <v>0.2424</v>
      </c>
      <c r="L740" s="3">
        <v>0.65</v>
      </c>
      <c r="M740" s="3">
        <v>0.1642</v>
      </c>
      <c r="N740" s="3">
        <v>1.0</v>
      </c>
      <c r="O740" s="3">
        <v>17.0</v>
      </c>
      <c r="P740" s="3">
        <v>18.0</v>
      </c>
      <c r="Q740" s="10"/>
      <c r="R740" s="10"/>
      <c r="S740" s="10"/>
      <c r="T740" s="10"/>
      <c r="U740" s="10">
        <f t="shared" si="4"/>
        <v>1</v>
      </c>
      <c r="V740" s="10"/>
      <c r="W740" s="10"/>
      <c r="X740" s="10"/>
      <c r="Y740" s="10"/>
      <c r="Z740" s="10"/>
    </row>
    <row r="741" ht="13.5" customHeight="1">
      <c r="A741" s="10">
        <f>dataset_1!A26</f>
        <v>25</v>
      </c>
      <c r="B741" s="11">
        <f>dataset_1!B26</f>
        <v>40545</v>
      </c>
      <c r="C741" s="10">
        <f>dataset_1!C26</f>
        <v>1</v>
      </c>
      <c r="D741" s="10">
        <f>dataset_1!D26</f>
        <v>0</v>
      </c>
      <c r="E741" s="10">
        <f>dataset_1!E26</f>
        <v>1</v>
      </c>
      <c r="F741" s="10">
        <f>dataset_1!F26</f>
        <v>0</v>
      </c>
      <c r="G741" s="10" t="b">
        <f>dataset_1!G26</f>
        <v>0</v>
      </c>
      <c r="H741" s="10">
        <f>dataset_1!H26</f>
        <v>0</v>
      </c>
      <c r="I741" s="10">
        <f>dataset_1!I26</f>
        <v>2</v>
      </c>
      <c r="J741" s="10">
        <f>dataset_1!J26</f>
        <v>0.46</v>
      </c>
      <c r="K741" s="10">
        <f>VLOOKUP(A741,dataset_2!$A$2:$G$611,2,0)</f>
        <v>0.4545</v>
      </c>
      <c r="L741" s="10">
        <f>VLOOKUP(A741,dataset_2!$A$2:$G$611,3,0)</f>
        <v>0.88</v>
      </c>
      <c r="M741" s="10">
        <f>VLOOKUP(A741,dataset_2!$A$2:$G$611,4,0)</f>
        <v>0.2985</v>
      </c>
      <c r="N741" s="10">
        <f>VLOOKUP(A741,dataset_2!$A$2:$G$611,5,0)</f>
        <v>4</v>
      </c>
      <c r="O741" s="10">
        <f>VLOOKUP(A741,dataset_2!$A$2:$G$611,6,0)</f>
        <v>13</v>
      </c>
      <c r="P741" s="10">
        <f>VLOOKUP(A741,dataset_2!$A$2:$G$611,7,0)</f>
        <v>17</v>
      </c>
      <c r="Q741" s="10"/>
      <c r="R741" s="10"/>
      <c r="S741" s="10"/>
      <c r="T741" s="10"/>
      <c r="U741" s="10">
        <f t="shared" si="4"/>
        <v>1</v>
      </c>
      <c r="V741" s="10"/>
      <c r="W741" s="10"/>
      <c r="X741" s="10"/>
      <c r="Y741" s="10"/>
      <c r="Z741" s="10"/>
    </row>
    <row r="742" ht="13.5" customHeight="1">
      <c r="A742" s="10">
        <f>dataset_1!A27</f>
        <v>26</v>
      </c>
      <c r="B742" s="11">
        <f>dataset_1!B27</f>
        <v>40545</v>
      </c>
      <c r="C742" s="10">
        <f>dataset_1!C27</f>
        <v>1</v>
      </c>
      <c r="D742" s="10">
        <f>dataset_1!D27</f>
        <v>0</v>
      </c>
      <c r="E742" s="10">
        <f>dataset_1!E27</f>
        <v>1</v>
      </c>
      <c r="F742" s="10">
        <f>dataset_1!F27</f>
        <v>1</v>
      </c>
      <c r="G742" s="10" t="b">
        <f>dataset_1!G27</f>
        <v>0</v>
      </c>
      <c r="H742" s="10">
        <f>dataset_1!H27</f>
        <v>0</v>
      </c>
      <c r="I742" s="10">
        <f>dataset_1!I27</f>
        <v>2</v>
      </c>
      <c r="J742" s="10">
        <f>dataset_1!J27</f>
        <v>0.44</v>
      </c>
      <c r="K742" s="10">
        <f>VLOOKUP(A742,dataset_2!$A$2:$G$611,2,0)</f>
        <v>0.4394</v>
      </c>
      <c r="L742" s="10">
        <f>VLOOKUP(A742,dataset_2!$A$2:$G$611,3,0)</f>
        <v>0.94</v>
      </c>
      <c r="M742" s="10">
        <f>VLOOKUP(A742,dataset_2!$A$2:$G$611,4,0)</f>
        <v>0.2537</v>
      </c>
      <c r="N742" s="10">
        <f>VLOOKUP(A742,dataset_2!$A$2:$G$611,5,0)</f>
        <v>1</v>
      </c>
      <c r="O742" s="10">
        <f>VLOOKUP(A742,dataset_2!$A$2:$G$611,6,0)</f>
        <v>16</v>
      </c>
      <c r="P742" s="10">
        <f>VLOOKUP(A742,dataset_2!$A$2:$G$611,7,0)</f>
        <v>17</v>
      </c>
      <c r="Q742" s="10"/>
      <c r="R742" s="10"/>
      <c r="S742" s="10"/>
      <c r="T742" s="10"/>
      <c r="U742" s="10">
        <f t="shared" si="4"/>
        <v>1</v>
      </c>
      <c r="V742" s="10"/>
      <c r="W742" s="10"/>
      <c r="X742" s="10"/>
      <c r="Y742" s="10"/>
      <c r="Z742" s="10"/>
    </row>
    <row r="743" ht="13.5" customHeight="1">
      <c r="A743" s="10">
        <f>dataset_1!A140</f>
        <v>139</v>
      </c>
      <c r="B743" s="11">
        <f>dataset_1!B140</f>
        <v>40550</v>
      </c>
      <c r="C743" s="10">
        <f>dataset_1!C140</f>
        <v>1</v>
      </c>
      <c r="D743" s="10">
        <f>dataset_1!D140</f>
        <v>0</v>
      </c>
      <c r="E743" s="10">
        <f>dataset_1!E140</f>
        <v>1</v>
      </c>
      <c r="F743" s="10">
        <f>dataset_1!F140</f>
        <v>0</v>
      </c>
      <c r="G743" s="10" t="b">
        <f>dataset_1!G140</f>
        <v>0</v>
      </c>
      <c r="H743" s="10">
        <f>dataset_1!H140</f>
        <v>5</v>
      </c>
      <c r="I743" s="10">
        <f>dataset_1!I140</f>
        <v>2</v>
      </c>
      <c r="J743" s="10">
        <f>dataset_1!J140</f>
        <v>0.2</v>
      </c>
      <c r="K743" s="10">
        <f>VLOOKUP(A743,dataset_2!$A$2:$G$611,2,0)</f>
        <v>0.197</v>
      </c>
      <c r="L743" s="10">
        <f>VLOOKUP(A743,dataset_2!$A$2:$G$611,3,0)</f>
        <v>0.64</v>
      </c>
      <c r="M743" s="10">
        <f>VLOOKUP(A743,dataset_2!$A$2:$G$611,4,0)</f>
        <v>0.194</v>
      </c>
      <c r="N743" s="10">
        <f>VLOOKUP(A743,dataset_2!$A$2:$G$611,5,0)</f>
        <v>4</v>
      </c>
      <c r="O743" s="10">
        <f>VLOOKUP(A743,dataset_2!$A$2:$G$611,6,0)</f>
        <v>13</v>
      </c>
      <c r="P743" s="10">
        <f>VLOOKUP(A743,dataset_2!$A$2:$G$611,7,0)</f>
        <v>17</v>
      </c>
      <c r="Q743" s="10"/>
      <c r="R743" s="10"/>
      <c r="S743" s="10"/>
      <c r="T743" s="10"/>
      <c r="U743" s="10">
        <f t="shared" si="4"/>
        <v>1</v>
      </c>
      <c r="V743" s="10"/>
      <c r="W743" s="10"/>
      <c r="X743" s="10"/>
      <c r="Y743" s="10"/>
      <c r="Z743" s="10"/>
    </row>
    <row r="744" ht="13.5" customHeight="1">
      <c r="A744" s="10">
        <f>dataset_1!A308</f>
        <v>307</v>
      </c>
      <c r="B744" s="11">
        <f>dataset_1!B308</f>
        <v>40557</v>
      </c>
      <c r="C744" s="10">
        <f>dataset_1!C308</f>
        <v>1</v>
      </c>
      <c r="D744" s="10">
        <f>dataset_1!D308</f>
        <v>0</v>
      </c>
      <c r="E744" s="10">
        <f>dataset_1!E308</f>
        <v>1</v>
      </c>
      <c r="F744" s="10">
        <f>dataset_1!F308</f>
        <v>6</v>
      </c>
      <c r="G744" s="10" t="b">
        <f>dataset_1!G308</f>
        <v>0</v>
      </c>
      <c r="H744" s="10">
        <f>dataset_1!H308</f>
        <v>5</v>
      </c>
      <c r="I744" s="10">
        <f>dataset_1!I308</f>
        <v>1</v>
      </c>
      <c r="J744" s="10">
        <f>dataset_1!J308</f>
        <v>0.1</v>
      </c>
      <c r="K744" s="10">
        <f>VLOOKUP(A744,dataset_2!$A$2:$G$611,2,0)</f>
        <v>0.1818</v>
      </c>
      <c r="L744" s="10">
        <f>VLOOKUP(A744,dataset_2!$A$2:$G$611,3,0)</f>
        <v>0.54</v>
      </c>
      <c r="M744" s="10">
        <f>VLOOKUP(A744,dataset_2!$A$2:$G$611,4,0)</f>
        <v>0</v>
      </c>
      <c r="N744" s="10">
        <f>VLOOKUP(A744,dataset_2!$A$2:$G$611,5,0)</f>
        <v>0</v>
      </c>
      <c r="O744" s="10">
        <f>VLOOKUP(A744,dataset_2!$A$2:$G$611,6,0)</f>
        <v>17</v>
      </c>
      <c r="P744" s="10">
        <f>VLOOKUP(A744,dataset_2!$A$2:$G$611,7,0)</f>
        <v>17</v>
      </c>
      <c r="Q744" s="10"/>
      <c r="R744" s="10"/>
      <c r="S744" s="10"/>
      <c r="T744" s="10"/>
      <c r="U744" s="10">
        <f t="shared" si="4"/>
        <v>1</v>
      </c>
      <c r="V744" s="10"/>
      <c r="W744" s="10"/>
      <c r="X744" s="10"/>
      <c r="Y744" s="10"/>
      <c r="Z744" s="10"/>
    </row>
    <row r="745" ht="13.5" customHeight="1">
      <c r="A745" s="10">
        <f>dataset_1!A374</f>
        <v>373</v>
      </c>
      <c r="B745" s="11">
        <f>dataset_1!B374</f>
        <v>40560</v>
      </c>
      <c r="C745" s="10">
        <f>dataset_1!C374</f>
        <v>1</v>
      </c>
      <c r="D745" s="10">
        <f>dataset_1!D374</f>
        <v>0</v>
      </c>
      <c r="E745" s="10">
        <f>dataset_1!E374</f>
        <v>1</v>
      </c>
      <c r="F745" s="10">
        <f>dataset_1!F374</f>
        <v>0</v>
      </c>
      <c r="G745" s="10" t="b">
        <f>dataset_1!G374</f>
        <v>1</v>
      </c>
      <c r="H745" s="10">
        <f>dataset_1!H374</f>
        <v>1</v>
      </c>
      <c r="I745" s="10">
        <f>dataset_1!I374</f>
        <v>2</v>
      </c>
      <c r="J745" s="10">
        <f>dataset_1!J374</f>
        <v>0.2</v>
      </c>
      <c r="K745" s="10">
        <f>VLOOKUP(A745,dataset_2!$A$2:$G$611,2,0)</f>
        <v>0.197</v>
      </c>
      <c r="L745" s="10">
        <f>VLOOKUP(A745,dataset_2!$A$2:$G$611,3,0)</f>
        <v>0.47</v>
      </c>
      <c r="M745" s="10">
        <f>VLOOKUP(A745,dataset_2!$A$2:$G$611,4,0)</f>
        <v>0.2239</v>
      </c>
      <c r="N745" s="10">
        <f>VLOOKUP(A745,dataset_2!$A$2:$G$611,5,0)</f>
        <v>1</v>
      </c>
      <c r="O745" s="10">
        <f>VLOOKUP(A745,dataset_2!$A$2:$G$611,6,0)</f>
        <v>16</v>
      </c>
      <c r="P745" s="10">
        <f>VLOOKUP(A745,dataset_2!$A$2:$G$611,7,0)</f>
        <v>17</v>
      </c>
      <c r="Q745" s="10"/>
      <c r="R745" s="10"/>
      <c r="S745" s="10"/>
      <c r="T745" s="10"/>
      <c r="U745" s="10">
        <f t="shared" si="4"/>
        <v>1</v>
      </c>
      <c r="V745" s="10"/>
      <c r="W745" s="10"/>
      <c r="X745" s="10"/>
      <c r="Y745" s="10"/>
      <c r="Z745" s="10"/>
    </row>
    <row r="746" ht="13.5" customHeight="1">
      <c r="A746" s="10">
        <f>dataset_1!A573</f>
        <v>572</v>
      </c>
      <c r="B746" s="11">
        <f>dataset_1!B573</f>
        <v>40569</v>
      </c>
      <c r="C746" s="10">
        <f>dataset_1!C573</f>
        <v>1</v>
      </c>
      <c r="D746" s="10">
        <f>dataset_1!D573</f>
        <v>0</v>
      </c>
      <c r="E746" s="10">
        <f>dataset_1!E573</f>
        <v>1</v>
      </c>
      <c r="F746" s="10">
        <f>dataset_1!F573</f>
        <v>0</v>
      </c>
      <c r="G746" s="10" t="b">
        <f>dataset_1!G573</f>
        <v>0</v>
      </c>
      <c r="H746" s="10">
        <f>dataset_1!H573</f>
        <v>3</v>
      </c>
      <c r="I746" s="10">
        <f>dataset_1!I573</f>
        <v>2</v>
      </c>
      <c r="J746" s="10">
        <f>dataset_1!J573</f>
        <v>0.22</v>
      </c>
      <c r="K746" s="10">
        <f>VLOOKUP(A746,dataset_2!$A$2:$G$611,2,0)</f>
        <v>0.2273</v>
      </c>
      <c r="L746" s="10">
        <f>VLOOKUP(A746,dataset_2!$A$2:$G$611,3,0)</f>
        <v>0.69</v>
      </c>
      <c r="M746" s="10">
        <f>VLOOKUP(A746,dataset_2!$A$2:$G$611,4,0)</f>
        <v>0.1343</v>
      </c>
      <c r="N746" s="10">
        <f>VLOOKUP(A746,dataset_2!$A$2:$G$611,5,0)</f>
        <v>3</v>
      </c>
      <c r="O746" s="10">
        <f>VLOOKUP(A746,dataset_2!$A$2:$G$611,6,0)</f>
        <v>14</v>
      </c>
      <c r="P746" s="10">
        <f>VLOOKUP(A746,dataset_2!$A$2:$G$611,7,0)</f>
        <v>17</v>
      </c>
      <c r="Q746" s="10"/>
      <c r="R746" s="10"/>
      <c r="S746" s="10"/>
      <c r="T746" s="10"/>
      <c r="U746" s="10">
        <f t="shared" si="4"/>
        <v>1</v>
      </c>
      <c r="V746" s="10"/>
      <c r="W746" s="10"/>
      <c r="X746" s="10"/>
      <c r="Y746" s="10"/>
      <c r="Z746" s="10"/>
    </row>
    <row r="747" ht="13.5" customHeight="1">
      <c r="A747" s="3">
        <v>688.0</v>
      </c>
      <c r="B747" s="12">
        <v>40574.0</v>
      </c>
      <c r="C747" s="3">
        <v>1.0</v>
      </c>
      <c r="D747" s="3">
        <v>0.0</v>
      </c>
      <c r="E747" s="3">
        <v>1.0</v>
      </c>
      <c r="F747" s="3">
        <v>23.0</v>
      </c>
      <c r="G747" s="3" t="b">
        <f t="shared" ref="G747:G749" si="81">FALSE()</f>
        <v>0</v>
      </c>
      <c r="H747" s="3">
        <v>1.0</v>
      </c>
      <c r="I747" s="3">
        <v>2.0</v>
      </c>
      <c r="J747" s="3">
        <v>0.16</v>
      </c>
      <c r="K747" s="3">
        <v>0.197</v>
      </c>
      <c r="L747" s="3">
        <v>0.64</v>
      </c>
      <c r="M747" s="3">
        <v>0.0896</v>
      </c>
      <c r="N747" s="3">
        <v>2.0</v>
      </c>
      <c r="O747" s="3">
        <v>15.0</v>
      </c>
      <c r="P747" s="3">
        <v>17.0</v>
      </c>
      <c r="Q747" s="10"/>
      <c r="R747" s="10"/>
      <c r="S747" s="10"/>
      <c r="T747" s="10"/>
      <c r="U747" s="10">
        <f t="shared" si="4"/>
        <v>1</v>
      </c>
      <c r="V747" s="10"/>
      <c r="W747" s="10"/>
      <c r="X747" s="10"/>
      <c r="Y747" s="10"/>
      <c r="Z747" s="10"/>
    </row>
    <row r="748" ht="13.5" customHeight="1">
      <c r="A748" s="3">
        <v>784.0</v>
      </c>
      <c r="B748" s="12">
        <v>40579.0</v>
      </c>
      <c r="C748" s="3">
        <v>1.0</v>
      </c>
      <c r="D748" s="3">
        <v>0.0</v>
      </c>
      <c r="E748" s="3">
        <v>2.0</v>
      </c>
      <c r="F748" s="3">
        <v>2.0</v>
      </c>
      <c r="G748" s="3" t="b">
        <f t="shared" si="81"/>
        <v>0</v>
      </c>
      <c r="H748" s="3">
        <v>6.0</v>
      </c>
      <c r="I748" s="3">
        <v>2.0</v>
      </c>
      <c r="J748" s="3">
        <v>0.24</v>
      </c>
      <c r="K748" s="3">
        <v>0.2424</v>
      </c>
      <c r="L748" s="3">
        <v>0.75</v>
      </c>
      <c r="M748" s="3">
        <v>0.1642</v>
      </c>
      <c r="N748" s="3">
        <v>5.0</v>
      </c>
      <c r="O748" s="3">
        <v>12.0</v>
      </c>
      <c r="P748" s="3">
        <v>17.0</v>
      </c>
      <c r="Q748" s="10"/>
      <c r="R748" s="10"/>
      <c r="S748" s="10"/>
      <c r="T748" s="10"/>
      <c r="U748" s="10">
        <f t="shared" si="4"/>
        <v>1</v>
      </c>
      <c r="V748" s="10"/>
      <c r="W748" s="10"/>
      <c r="X748" s="10"/>
      <c r="Y748" s="10"/>
      <c r="Z748" s="10"/>
    </row>
    <row r="749" ht="13.5" customHeight="1">
      <c r="A749" s="3">
        <v>878.0</v>
      </c>
      <c r="B749" s="12">
        <v>40583.0</v>
      </c>
      <c r="C749" s="3">
        <v>1.0</v>
      </c>
      <c r="D749" s="3">
        <v>0.0</v>
      </c>
      <c r="E749" s="3">
        <v>2.0</v>
      </c>
      <c r="F749" s="3">
        <v>0.0</v>
      </c>
      <c r="G749" s="3" t="b">
        <f t="shared" si="81"/>
        <v>0</v>
      </c>
      <c r="H749" s="3">
        <v>3.0</v>
      </c>
      <c r="I749" s="3">
        <v>1.0</v>
      </c>
      <c r="J749" s="3">
        <v>0.1</v>
      </c>
      <c r="K749" s="3">
        <v>0.0758</v>
      </c>
      <c r="L749" s="3">
        <v>0.36</v>
      </c>
      <c r="M749" s="3">
        <v>0.3582</v>
      </c>
      <c r="N749" s="3">
        <v>0.0</v>
      </c>
      <c r="O749" s="3">
        <v>17.0</v>
      </c>
      <c r="P749" s="3">
        <v>17.0</v>
      </c>
      <c r="Q749" s="10"/>
      <c r="R749" s="10"/>
      <c r="S749" s="10"/>
      <c r="T749" s="10"/>
      <c r="U749" s="10">
        <f t="shared" si="4"/>
        <v>1</v>
      </c>
      <c r="V749" s="10"/>
      <c r="W749" s="10"/>
      <c r="X749" s="10"/>
      <c r="Y749" s="10"/>
      <c r="Z749" s="10"/>
    </row>
    <row r="750" ht="13.5" customHeight="1">
      <c r="A750" s="10">
        <f>dataset_1!A2</f>
        <v>1</v>
      </c>
      <c r="B750" s="11">
        <f>dataset_1!B2</f>
        <v>40544</v>
      </c>
      <c r="C750" s="10">
        <f>dataset_1!C2</f>
        <v>1</v>
      </c>
      <c r="D750" s="10">
        <f>dataset_1!D2</f>
        <v>0</v>
      </c>
      <c r="E750" s="10">
        <f>dataset_1!E2</f>
        <v>1</v>
      </c>
      <c r="F750" s="10">
        <f>dataset_1!F2</f>
        <v>0</v>
      </c>
      <c r="G750" s="10" t="b">
        <f>dataset_1!G2</f>
        <v>0</v>
      </c>
      <c r="H750" s="10">
        <f>dataset_1!H2</f>
        <v>6</v>
      </c>
      <c r="I750" s="10">
        <f>dataset_1!I2</f>
        <v>1</v>
      </c>
      <c r="J750" s="10">
        <f>dataset_1!J2</f>
        <v>0.24</v>
      </c>
      <c r="K750" s="10">
        <f>VLOOKUP(A750,dataset_2!$A$2:$G$611,2,0)</f>
        <v>0.2879</v>
      </c>
      <c r="L750" s="10">
        <f>VLOOKUP(A750,dataset_2!$A$2:$G$611,3,0)</f>
        <v>0.81</v>
      </c>
      <c r="M750" s="10">
        <f>VLOOKUP(A750,dataset_2!$A$2:$G$611,4,0)</f>
        <v>0</v>
      </c>
      <c r="N750" s="10">
        <f>VLOOKUP(A750,dataset_2!$A$2:$G$611,5,0)</f>
        <v>3</v>
      </c>
      <c r="O750" s="10">
        <f>VLOOKUP(A750,dataset_2!$A$2:$G$611,6,0)</f>
        <v>13</v>
      </c>
      <c r="P750" s="10">
        <f>VLOOKUP(A750,dataset_2!$A$2:$G$611,7,0)</f>
        <v>16</v>
      </c>
      <c r="Q750" s="10"/>
      <c r="R750" s="10"/>
      <c r="S750" s="10"/>
      <c r="T750" s="10"/>
      <c r="U750" s="10">
        <f t="shared" si="4"/>
        <v>1</v>
      </c>
      <c r="V750" s="10"/>
      <c r="W750" s="10"/>
      <c r="X750" s="10"/>
      <c r="Y750" s="10"/>
      <c r="Z750" s="10"/>
    </row>
    <row r="751" ht="13.5" customHeight="1">
      <c r="A751" s="10">
        <f>dataset_1!A164</f>
        <v>163</v>
      </c>
      <c r="B751" s="11">
        <f>dataset_1!B164</f>
        <v>40551</v>
      </c>
      <c r="C751" s="10">
        <f>dataset_1!C164</f>
        <v>1</v>
      </c>
      <c r="D751" s="10">
        <f>dataset_1!D164</f>
        <v>0</v>
      </c>
      <c r="E751" s="10">
        <f>dataset_1!E164</f>
        <v>1</v>
      </c>
      <c r="F751" s="10">
        <f>dataset_1!F164</f>
        <v>1</v>
      </c>
      <c r="G751" s="10" t="b">
        <f>dataset_1!G164</f>
        <v>0</v>
      </c>
      <c r="H751" s="10">
        <f>dataset_1!H164</f>
        <v>6</v>
      </c>
      <c r="I751" s="10">
        <f>dataset_1!I164</f>
        <v>2</v>
      </c>
      <c r="J751" s="10">
        <f>dataset_1!J164</f>
        <v>0.18</v>
      </c>
      <c r="K751" s="10">
        <f>VLOOKUP(A751,dataset_2!$A$2:$G$611,2,0)</f>
        <v>0.2121</v>
      </c>
      <c r="L751" s="10">
        <f>VLOOKUP(A751,dataset_2!$A$2:$G$611,3,0)</f>
        <v>0.55</v>
      </c>
      <c r="M751" s="10">
        <f>VLOOKUP(A751,dataset_2!$A$2:$G$611,4,0)</f>
        <v>0.0896</v>
      </c>
      <c r="N751" s="10">
        <f>VLOOKUP(A751,dataset_2!$A$2:$G$611,5,0)</f>
        <v>1</v>
      </c>
      <c r="O751" s="10">
        <f>VLOOKUP(A751,dataset_2!$A$2:$G$611,6,0)</f>
        <v>15</v>
      </c>
      <c r="P751" s="10">
        <f>VLOOKUP(A751,dataset_2!$A$2:$G$611,7,0)</f>
        <v>16</v>
      </c>
      <c r="Q751" s="10"/>
      <c r="R751" s="10"/>
      <c r="S751" s="10"/>
      <c r="T751" s="10"/>
      <c r="U751" s="10">
        <f t="shared" si="4"/>
        <v>1</v>
      </c>
      <c r="V751" s="10"/>
      <c r="W751" s="10"/>
      <c r="X751" s="10"/>
      <c r="Y751" s="10"/>
      <c r="Z751" s="10"/>
    </row>
    <row r="752" ht="13.5" customHeight="1">
      <c r="A752" s="10">
        <f>dataset_1!A165</f>
        <v>164</v>
      </c>
      <c r="B752" s="11">
        <f>dataset_1!B165</f>
        <v>40551</v>
      </c>
      <c r="C752" s="10">
        <f>dataset_1!C165</f>
        <v>1</v>
      </c>
      <c r="D752" s="10">
        <f>dataset_1!D165</f>
        <v>0</v>
      </c>
      <c r="E752" s="10">
        <f>dataset_1!E165</f>
        <v>1</v>
      </c>
      <c r="F752" s="10">
        <f>dataset_1!F165</f>
        <v>2</v>
      </c>
      <c r="G752" s="10" t="b">
        <f>dataset_1!G165</f>
        <v>0</v>
      </c>
      <c r="H752" s="10">
        <f>dataset_1!H165</f>
        <v>6</v>
      </c>
      <c r="I752" s="10">
        <f>dataset_1!I165</f>
        <v>2</v>
      </c>
      <c r="J752" s="10">
        <f>dataset_1!J165</f>
        <v>0.18</v>
      </c>
      <c r="K752" s="10">
        <f>VLOOKUP(A752,dataset_2!$A$2:$G$611,2,0)</f>
        <v>0.2424</v>
      </c>
      <c r="L752" s="10">
        <f>VLOOKUP(A752,dataset_2!$A$2:$G$611,3,0)</f>
        <v>0.55</v>
      </c>
      <c r="M752" s="10">
        <f>VLOOKUP(A752,dataset_2!$A$2:$G$611,4,0)</f>
        <v>0</v>
      </c>
      <c r="N752" s="10">
        <f>VLOOKUP(A752,dataset_2!$A$2:$G$611,5,0)</f>
        <v>3</v>
      </c>
      <c r="O752" s="10">
        <f>VLOOKUP(A752,dataset_2!$A$2:$G$611,6,0)</f>
        <v>13</v>
      </c>
      <c r="P752" s="10">
        <f>VLOOKUP(A752,dataset_2!$A$2:$G$611,7,0)</f>
        <v>16</v>
      </c>
      <c r="Q752" s="10"/>
      <c r="R752" s="10"/>
      <c r="S752" s="10"/>
      <c r="T752" s="10"/>
      <c r="U752" s="10">
        <f t="shared" si="4"/>
        <v>1</v>
      </c>
      <c r="V752" s="10"/>
      <c r="W752" s="10"/>
      <c r="X752" s="10"/>
      <c r="Y752" s="10"/>
      <c r="Z752" s="10"/>
    </row>
    <row r="753" ht="13.5" customHeight="1">
      <c r="A753" s="10">
        <f>dataset_1!A261</f>
        <v>260</v>
      </c>
      <c r="B753" s="11">
        <f>dataset_1!B261</f>
        <v>40555</v>
      </c>
      <c r="C753" s="10">
        <f>dataset_1!C261</f>
        <v>1</v>
      </c>
      <c r="D753" s="10">
        <f>dataset_1!D261</f>
        <v>0</v>
      </c>
      <c r="E753" s="10">
        <f>dataset_1!E261</f>
        <v>1</v>
      </c>
      <c r="F753" s="10">
        <f>dataset_1!F261</f>
        <v>6</v>
      </c>
      <c r="G753" s="10" t="b">
        <f>dataset_1!G261</f>
        <v>0</v>
      </c>
      <c r="H753" s="10">
        <f>dataset_1!H261</f>
        <v>3</v>
      </c>
      <c r="I753" s="10">
        <f>dataset_1!I261</f>
        <v>1</v>
      </c>
      <c r="J753" s="10">
        <f>dataset_1!J261</f>
        <v>0.12</v>
      </c>
      <c r="K753" s="10">
        <f>VLOOKUP(A753,dataset_2!$A$2:$G$611,2,0)</f>
        <v>0.1515</v>
      </c>
      <c r="L753" s="10">
        <f>VLOOKUP(A753,dataset_2!$A$2:$G$611,3,0)</f>
        <v>0.93</v>
      </c>
      <c r="M753" s="10">
        <f>VLOOKUP(A753,dataset_2!$A$2:$G$611,4,0)</f>
        <v>0.1343</v>
      </c>
      <c r="N753" s="10">
        <f>VLOOKUP(A753,dataset_2!$A$2:$G$611,5,0)</f>
        <v>0</v>
      </c>
      <c r="O753" s="10">
        <f>VLOOKUP(A753,dataset_2!$A$2:$G$611,6,0)</f>
        <v>16</v>
      </c>
      <c r="P753" s="10">
        <f>VLOOKUP(A753,dataset_2!$A$2:$G$611,7,0)</f>
        <v>16</v>
      </c>
      <c r="Q753" s="10"/>
      <c r="R753" s="10"/>
      <c r="S753" s="10"/>
      <c r="T753" s="10"/>
      <c r="U753" s="10">
        <f t="shared" si="4"/>
        <v>1</v>
      </c>
      <c r="V753" s="10"/>
      <c r="W753" s="10"/>
      <c r="X753" s="10"/>
      <c r="Y753" s="10"/>
      <c r="Z753" s="10"/>
    </row>
    <row r="754" ht="13.5" customHeight="1">
      <c r="A754" s="10">
        <f>dataset_1!A352</f>
        <v>351</v>
      </c>
      <c r="B754" s="11">
        <f>dataset_1!B352</f>
        <v>40559</v>
      </c>
      <c r="C754" s="10">
        <f>dataset_1!C352</f>
        <v>1</v>
      </c>
      <c r="D754" s="10">
        <f>dataset_1!D352</f>
        <v>0</v>
      </c>
      <c r="E754" s="10">
        <f>dataset_1!E352</f>
        <v>1</v>
      </c>
      <c r="F754" s="10">
        <f>dataset_1!F352</f>
        <v>2</v>
      </c>
      <c r="G754" s="10" t="b">
        <f>dataset_1!G352</f>
        <v>0</v>
      </c>
      <c r="H754" s="10">
        <f>dataset_1!H352</f>
        <v>0</v>
      </c>
      <c r="I754" s="10">
        <f>dataset_1!I352</f>
        <v>1</v>
      </c>
      <c r="J754" s="10">
        <f>dataset_1!J352</f>
        <v>0.26</v>
      </c>
      <c r="K754" s="10">
        <f>VLOOKUP(A754,dataset_2!$A$2:$G$611,2,0)</f>
        <v>0.2879</v>
      </c>
      <c r="L754" s="10">
        <f>VLOOKUP(A754,dataset_2!$A$2:$G$611,3,0)</f>
        <v>0.56</v>
      </c>
      <c r="M754" s="10">
        <f>VLOOKUP(A754,dataset_2!$A$2:$G$611,4,0)</f>
        <v>0.0896</v>
      </c>
      <c r="N754" s="10">
        <f>VLOOKUP(A754,dataset_2!$A$2:$G$611,5,0)</f>
        <v>3</v>
      </c>
      <c r="O754" s="10">
        <f>VLOOKUP(A754,dataset_2!$A$2:$G$611,6,0)</f>
        <v>13</v>
      </c>
      <c r="P754" s="10">
        <f>VLOOKUP(A754,dataset_2!$A$2:$G$611,7,0)</f>
        <v>16</v>
      </c>
      <c r="Q754" s="10"/>
      <c r="R754" s="10"/>
      <c r="S754" s="10"/>
      <c r="T754" s="10"/>
      <c r="U754" s="10">
        <f t="shared" si="4"/>
        <v>1</v>
      </c>
      <c r="V754" s="10"/>
      <c r="W754" s="10"/>
      <c r="X754" s="10"/>
      <c r="Y754" s="10"/>
      <c r="Z754" s="10"/>
    </row>
    <row r="755" ht="13.5" customHeight="1">
      <c r="A755" s="10">
        <f>dataset_1!A375</f>
        <v>374</v>
      </c>
      <c r="B755" s="11">
        <f>dataset_1!B375</f>
        <v>40560</v>
      </c>
      <c r="C755" s="10">
        <f>dataset_1!C375</f>
        <v>1</v>
      </c>
      <c r="D755" s="10">
        <f>dataset_1!D375</f>
        <v>0</v>
      </c>
      <c r="E755" s="10">
        <f>dataset_1!E375</f>
        <v>1</v>
      </c>
      <c r="F755" s="10">
        <f>dataset_1!F375</f>
        <v>1</v>
      </c>
      <c r="G755" s="10" t="b">
        <f>dataset_1!G375</f>
        <v>1</v>
      </c>
      <c r="H755" s="10">
        <f>dataset_1!H375</f>
        <v>1</v>
      </c>
      <c r="I755" s="10">
        <f>dataset_1!I375</f>
        <v>2</v>
      </c>
      <c r="J755" s="10">
        <f>dataset_1!J375</f>
        <v>0.2</v>
      </c>
      <c r="K755" s="10">
        <f>VLOOKUP(A755,dataset_2!$A$2:$G$611,2,0)</f>
        <v>0.197</v>
      </c>
      <c r="L755" s="10">
        <f>VLOOKUP(A755,dataset_2!$A$2:$G$611,3,0)</f>
        <v>0.44</v>
      </c>
      <c r="M755" s="10">
        <f>VLOOKUP(A755,dataset_2!$A$2:$G$611,4,0)</f>
        <v>0.194</v>
      </c>
      <c r="N755" s="10">
        <f>VLOOKUP(A755,dataset_2!$A$2:$G$611,5,0)</f>
        <v>1</v>
      </c>
      <c r="O755" s="10">
        <f>VLOOKUP(A755,dataset_2!$A$2:$G$611,6,0)</f>
        <v>15</v>
      </c>
      <c r="P755" s="10">
        <f>VLOOKUP(A755,dataset_2!$A$2:$G$611,7,0)</f>
        <v>16</v>
      </c>
      <c r="Q755" s="10"/>
      <c r="R755" s="10"/>
      <c r="S755" s="10"/>
      <c r="T755" s="10"/>
      <c r="U755" s="10">
        <f t="shared" si="4"/>
        <v>1</v>
      </c>
      <c r="V755" s="10"/>
      <c r="W755" s="10"/>
      <c r="X755" s="10"/>
      <c r="Y755" s="10"/>
      <c r="Z755" s="10"/>
    </row>
    <row r="756" ht="13.5" customHeight="1">
      <c r="A756" s="10">
        <f>dataset_1!A596</f>
        <v>595</v>
      </c>
      <c r="B756" s="11">
        <f>dataset_1!B596</f>
        <v>40570</v>
      </c>
      <c r="C756" s="10">
        <f>dataset_1!C596</f>
        <v>1</v>
      </c>
      <c r="D756" s="10">
        <f>dataset_1!D596</f>
        <v>0</v>
      </c>
      <c r="E756" s="10">
        <f>dataset_1!E596</f>
        <v>1</v>
      </c>
      <c r="F756" s="10">
        <f>dataset_1!F596</f>
        <v>23</v>
      </c>
      <c r="G756" s="10" t="b">
        <f>dataset_1!G596</f>
        <v>0</v>
      </c>
      <c r="H756" s="10">
        <f>dataset_1!H596</f>
        <v>4</v>
      </c>
      <c r="I756" s="10">
        <f>dataset_1!I596</f>
        <v>1</v>
      </c>
      <c r="J756" s="10">
        <f>dataset_1!J596</f>
        <v>0.18</v>
      </c>
      <c r="K756" s="10">
        <f>VLOOKUP(A756,dataset_2!$A$2:$G$611,2,0)</f>
        <v>0.197</v>
      </c>
      <c r="L756" s="10">
        <f>VLOOKUP(A756,dataset_2!$A$2:$G$611,3,0)</f>
        <v>0.8</v>
      </c>
      <c r="M756" s="10">
        <f>VLOOKUP(A756,dataset_2!$A$2:$G$611,4,0)</f>
        <v>0.1642</v>
      </c>
      <c r="N756" s="10">
        <f>VLOOKUP(A756,dataset_2!$A$2:$G$611,5,0)</f>
        <v>0</v>
      </c>
      <c r="O756" s="10">
        <f>VLOOKUP(A756,dataset_2!$A$2:$G$611,6,0)</f>
        <v>16</v>
      </c>
      <c r="P756" s="10">
        <f>VLOOKUP(A756,dataset_2!$A$2:$G$611,7,0)</f>
        <v>16</v>
      </c>
      <c r="Q756" s="10"/>
      <c r="R756" s="10"/>
      <c r="S756" s="10"/>
      <c r="T756" s="10"/>
      <c r="U756" s="10">
        <f t="shared" si="4"/>
        <v>1</v>
      </c>
      <c r="V756" s="10"/>
      <c r="W756" s="10"/>
      <c r="X756" s="10"/>
      <c r="Y756" s="10"/>
      <c r="Z756" s="10"/>
    </row>
    <row r="757" ht="13.5" customHeight="1">
      <c r="A757" s="10">
        <f>dataset_1!A602</f>
        <v>601</v>
      </c>
      <c r="B757" s="11">
        <f>dataset_1!B602</f>
        <v>40571</v>
      </c>
      <c r="C757" s="10">
        <f>dataset_1!C602</f>
        <v>1</v>
      </c>
      <c r="D757" s="10">
        <f>dataset_1!D602</f>
        <v>0</v>
      </c>
      <c r="E757" s="10">
        <f>dataset_1!E602</f>
        <v>1</v>
      </c>
      <c r="F757" s="10">
        <f>dataset_1!F602</f>
        <v>6</v>
      </c>
      <c r="G757" s="10" t="b">
        <f>dataset_1!G602</f>
        <v>0</v>
      </c>
      <c r="H757" s="10">
        <f>dataset_1!H602</f>
        <v>5</v>
      </c>
      <c r="I757" s="10">
        <f>dataset_1!I602</f>
        <v>2</v>
      </c>
      <c r="J757" s="10">
        <f>dataset_1!J602</f>
        <v>0.18</v>
      </c>
      <c r="K757" s="10">
        <f>VLOOKUP(A757,dataset_2!$A$2:$G$611,2,0)</f>
        <v>0.197</v>
      </c>
      <c r="L757" s="10">
        <f>VLOOKUP(A757,dataset_2!$A$2:$G$611,3,0)</f>
        <v>0.8</v>
      </c>
      <c r="M757" s="10">
        <f>VLOOKUP(A757,dataset_2!$A$2:$G$611,4,0)</f>
        <v>0.1343</v>
      </c>
      <c r="N757" s="10">
        <f>VLOOKUP(A757,dataset_2!$A$2:$G$611,5,0)</f>
        <v>0</v>
      </c>
      <c r="O757" s="10">
        <f>VLOOKUP(A757,dataset_2!$A$2:$G$611,6,0)</f>
        <v>16</v>
      </c>
      <c r="P757" s="10">
        <f>VLOOKUP(A757,dataset_2!$A$2:$G$611,7,0)</f>
        <v>16</v>
      </c>
      <c r="Q757" s="10"/>
      <c r="R757" s="10"/>
      <c r="S757" s="10"/>
      <c r="T757" s="10"/>
      <c r="U757" s="10">
        <f t="shared" si="4"/>
        <v>1</v>
      </c>
      <c r="V757" s="10"/>
      <c r="W757" s="10"/>
      <c r="X757" s="10"/>
      <c r="Y757" s="10"/>
      <c r="Z757" s="10"/>
    </row>
    <row r="758" ht="13.5" customHeight="1">
      <c r="A758" s="3">
        <v>711.0</v>
      </c>
      <c r="B758" s="12">
        <v>40575.0</v>
      </c>
      <c r="C758" s="3">
        <v>1.0</v>
      </c>
      <c r="D758" s="3">
        <v>0.0</v>
      </c>
      <c r="E758" s="3">
        <v>2.0</v>
      </c>
      <c r="F758" s="3">
        <v>23.0</v>
      </c>
      <c r="G758" s="3" t="b">
        <f t="shared" ref="G758:G759" si="82">FALSE()</f>
        <v>0</v>
      </c>
      <c r="H758" s="3">
        <v>2.0</v>
      </c>
      <c r="I758" s="3">
        <v>3.0</v>
      </c>
      <c r="J758" s="3">
        <v>0.2</v>
      </c>
      <c r="K758" s="3">
        <v>0.197</v>
      </c>
      <c r="L758" s="3">
        <v>0.93</v>
      </c>
      <c r="M758" s="3">
        <v>0.194</v>
      </c>
      <c r="N758" s="3">
        <v>1.0</v>
      </c>
      <c r="O758" s="3">
        <v>15.0</v>
      </c>
      <c r="P758" s="3">
        <v>16.0</v>
      </c>
      <c r="Q758" s="10"/>
      <c r="R758" s="10"/>
      <c r="S758" s="10"/>
      <c r="T758" s="10"/>
      <c r="U758" s="10">
        <f t="shared" si="4"/>
        <v>1</v>
      </c>
      <c r="V758" s="10"/>
      <c r="W758" s="10"/>
      <c r="X758" s="10"/>
      <c r="Y758" s="10"/>
      <c r="Z758" s="10"/>
    </row>
    <row r="759" ht="13.5" customHeight="1">
      <c r="A759" s="3">
        <v>901.0</v>
      </c>
      <c r="B759" s="12">
        <v>40584.0</v>
      </c>
      <c r="C759" s="3">
        <v>1.0</v>
      </c>
      <c r="D759" s="3">
        <v>0.0</v>
      </c>
      <c r="E759" s="3">
        <v>2.0</v>
      </c>
      <c r="F759" s="3">
        <v>0.0</v>
      </c>
      <c r="G759" s="3" t="b">
        <f t="shared" si="82"/>
        <v>0</v>
      </c>
      <c r="H759" s="3">
        <v>4.0</v>
      </c>
      <c r="I759" s="3">
        <v>3.0</v>
      </c>
      <c r="J759" s="3">
        <v>0.14</v>
      </c>
      <c r="K759" s="3">
        <v>0.1364</v>
      </c>
      <c r="L759" s="3">
        <v>0.86</v>
      </c>
      <c r="M759" s="3">
        <v>0.194</v>
      </c>
      <c r="N759" s="3">
        <v>0.0</v>
      </c>
      <c r="O759" s="3">
        <v>16.0</v>
      </c>
      <c r="P759" s="3">
        <v>16.0</v>
      </c>
      <c r="Q759" s="10"/>
      <c r="R759" s="10"/>
      <c r="S759" s="10"/>
      <c r="T759" s="10"/>
      <c r="U759" s="10">
        <f t="shared" si="4"/>
        <v>1</v>
      </c>
      <c r="V759" s="10"/>
      <c r="W759" s="10"/>
      <c r="X759" s="10"/>
      <c r="Y759" s="10"/>
      <c r="Z759" s="10"/>
    </row>
    <row r="760" ht="13.5" customHeight="1">
      <c r="A760" s="10">
        <f>dataset_1!A162</f>
        <v>161</v>
      </c>
      <c r="B760" s="11">
        <f>dataset_1!B162</f>
        <v>40550</v>
      </c>
      <c r="C760" s="10">
        <f>dataset_1!C162</f>
        <v>1</v>
      </c>
      <c r="D760" s="10">
        <f>dataset_1!D162</f>
        <v>0</v>
      </c>
      <c r="E760" s="10">
        <f>dataset_1!E162</f>
        <v>1</v>
      </c>
      <c r="F760" s="10">
        <f>dataset_1!F162</f>
        <v>23</v>
      </c>
      <c r="G760" s="10" t="b">
        <f>dataset_1!G162</f>
        <v>0</v>
      </c>
      <c r="H760" s="10">
        <f>dataset_1!H162</f>
        <v>5</v>
      </c>
      <c r="I760" s="10">
        <f>dataset_1!I162</f>
        <v>2</v>
      </c>
      <c r="J760" s="10">
        <f>dataset_1!J162</f>
        <v>0.18</v>
      </c>
      <c r="K760" s="10">
        <f>VLOOKUP(A760,dataset_2!$A$2:$G$611,2,0)</f>
        <v>0.197</v>
      </c>
      <c r="L760" s="10">
        <f>VLOOKUP(A760,dataset_2!$A$2:$G$611,3,0)</f>
        <v>0.51</v>
      </c>
      <c r="M760" s="10">
        <f>VLOOKUP(A760,dataset_2!$A$2:$G$611,4,0)</f>
        <v>0.1642</v>
      </c>
      <c r="N760" s="10">
        <f>VLOOKUP(A760,dataset_2!$A$2:$G$611,5,0)</f>
        <v>1</v>
      </c>
      <c r="O760" s="10">
        <f>VLOOKUP(A760,dataset_2!$A$2:$G$611,6,0)</f>
        <v>14</v>
      </c>
      <c r="P760" s="10">
        <f>VLOOKUP(A760,dataset_2!$A$2:$G$611,7,0)</f>
        <v>15</v>
      </c>
      <c r="Q760" s="10"/>
      <c r="R760" s="10"/>
      <c r="S760" s="10"/>
      <c r="T760" s="10"/>
      <c r="U760" s="10">
        <f t="shared" si="4"/>
        <v>1</v>
      </c>
      <c r="V760" s="10"/>
      <c r="W760" s="10"/>
      <c r="X760" s="10"/>
      <c r="Y760" s="10"/>
      <c r="Z760" s="10"/>
    </row>
    <row r="761" ht="13.5" customHeight="1">
      <c r="A761" s="10">
        <f>dataset_1!A171</f>
        <v>170</v>
      </c>
      <c r="B761" s="11">
        <f>dataset_1!B171</f>
        <v>40551</v>
      </c>
      <c r="C761" s="10">
        <f>dataset_1!C171</f>
        <v>1</v>
      </c>
      <c r="D761" s="10">
        <f>dataset_1!D171</f>
        <v>0</v>
      </c>
      <c r="E761" s="10">
        <f>dataset_1!E171</f>
        <v>1</v>
      </c>
      <c r="F761" s="10">
        <f>dataset_1!F171</f>
        <v>8</v>
      </c>
      <c r="G761" s="10" t="b">
        <f>dataset_1!G171</f>
        <v>0</v>
      </c>
      <c r="H761" s="10">
        <f>dataset_1!H171</f>
        <v>6</v>
      </c>
      <c r="I761" s="10">
        <f>dataset_1!I171</f>
        <v>3</v>
      </c>
      <c r="J761" s="10">
        <f>dataset_1!J171</f>
        <v>0.16</v>
      </c>
      <c r="K761" s="10">
        <f>VLOOKUP(A761,dataset_2!$A$2:$G$611,2,0)</f>
        <v>0.1818</v>
      </c>
      <c r="L761" s="10">
        <f>VLOOKUP(A761,dataset_2!$A$2:$G$611,3,0)</f>
        <v>0.93</v>
      </c>
      <c r="M761" s="10">
        <f>VLOOKUP(A761,dataset_2!$A$2:$G$611,4,0)</f>
        <v>0.1045</v>
      </c>
      <c r="N761" s="10">
        <f>VLOOKUP(A761,dataset_2!$A$2:$G$611,5,0)</f>
        <v>0</v>
      </c>
      <c r="O761" s="10">
        <f>VLOOKUP(A761,dataset_2!$A$2:$G$611,6,0)</f>
        <v>15</v>
      </c>
      <c r="P761" s="10">
        <f>VLOOKUP(A761,dataset_2!$A$2:$G$611,7,0)</f>
        <v>15</v>
      </c>
      <c r="Q761" s="10"/>
      <c r="R761" s="10"/>
      <c r="S761" s="10"/>
      <c r="T761" s="10"/>
      <c r="U761" s="10">
        <f t="shared" si="4"/>
        <v>1</v>
      </c>
      <c r="V761" s="10"/>
      <c r="W761" s="10"/>
      <c r="X761" s="10"/>
      <c r="Y761" s="10"/>
      <c r="Z761" s="10"/>
    </row>
    <row r="762" ht="13.5" customHeight="1">
      <c r="A762" s="10">
        <f>dataset_1!A209</f>
        <v>208</v>
      </c>
      <c r="B762" s="11">
        <f>dataset_1!B209</f>
        <v>40552</v>
      </c>
      <c r="C762" s="10">
        <f>dataset_1!C209</f>
        <v>1</v>
      </c>
      <c r="D762" s="10">
        <f>dataset_1!D209</f>
        <v>0</v>
      </c>
      <c r="E762" s="10">
        <f>dataset_1!E209</f>
        <v>1</v>
      </c>
      <c r="F762" s="10">
        <f>dataset_1!F209</f>
        <v>22</v>
      </c>
      <c r="G762" s="10" t="b">
        <f>dataset_1!G209</f>
        <v>0</v>
      </c>
      <c r="H762" s="10">
        <f>dataset_1!H209</f>
        <v>0</v>
      </c>
      <c r="I762" s="10">
        <f>dataset_1!I209</f>
        <v>1</v>
      </c>
      <c r="J762" s="10">
        <f>dataset_1!J209</f>
        <v>0.14</v>
      </c>
      <c r="K762" s="10">
        <f>VLOOKUP(A762,dataset_2!$A$2:$G$611,2,0)</f>
        <v>0.1212</v>
      </c>
      <c r="L762" s="10">
        <f>VLOOKUP(A762,dataset_2!$A$2:$G$611,3,0)</f>
        <v>0.46</v>
      </c>
      <c r="M762" s="10">
        <f>VLOOKUP(A762,dataset_2!$A$2:$G$611,4,0)</f>
        <v>0.2985</v>
      </c>
      <c r="N762" s="10">
        <f>VLOOKUP(A762,dataset_2!$A$2:$G$611,5,0)</f>
        <v>5</v>
      </c>
      <c r="O762" s="10">
        <f>VLOOKUP(A762,dataset_2!$A$2:$G$611,6,0)</f>
        <v>10</v>
      </c>
      <c r="P762" s="10">
        <f>VLOOKUP(A762,dataset_2!$A$2:$G$611,7,0)</f>
        <v>15</v>
      </c>
      <c r="Q762" s="10"/>
      <c r="R762" s="10"/>
      <c r="S762" s="10"/>
      <c r="T762" s="10"/>
      <c r="U762" s="10">
        <f t="shared" si="4"/>
        <v>1</v>
      </c>
      <c r="V762" s="10"/>
      <c r="W762" s="10"/>
      <c r="X762" s="10"/>
      <c r="Y762" s="10"/>
      <c r="Z762" s="10"/>
    </row>
    <row r="763" ht="13.5" customHeight="1">
      <c r="A763" s="10">
        <f>dataset_1!A302</f>
        <v>301</v>
      </c>
      <c r="B763" s="11">
        <f>dataset_1!B302</f>
        <v>40556</v>
      </c>
      <c r="C763" s="10">
        <f>dataset_1!C302</f>
        <v>1</v>
      </c>
      <c r="D763" s="10">
        <f>dataset_1!D302</f>
        <v>0</v>
      </c>
      <c r="E763" s="10">
        <f>dataset_1!E302</f>
        <v>1</v>
      </c>
      <c r="F763" s="10">
        <f>dataset_1!F302</f>
        <v>23</v>
      </c>
      <c r="G763" s="10" t="b">
        <f>dataset_1!G302</f>
        <v>0</v>
      </c>
      <c r="H763" s="10">
        <f>dataset_1!H302</f>
        <v>4</v>
      </c>
      <c r="I763" s="10">
        <f>dataset_1!I302</f>
        <v>1</v>
      </c>
      <c r="J763" s="10">
        <f>dataset_1!J302</f>
        <v>0.12</v>
      </c>
      <c r="K763" s="10">
        <f>VLOOKUP(A763,dataset_2!$A$2:$G$611,2,0)</f>
        <v>0.1364</v>
      </c>
      <c r="L763" s="10">
        <f>VLOOKUP(A763,dataset_2!$A$2:$G$611,3,0)</f>
        <v>0.5</v>
      </c>
      <c r="M763" s="10">
        <f>VLOOKUP(A763,dataset_2!$A$2:$G$611,4,0)</f>
        <v>0.194</v>
      </c>
      <c r="N763" s="10">
        <f>VLOOKUP(A763,dataset_2!$A$2:$G$611,5,0)</f>
        <v>1</v>
      </c>
      <c r="O763" s="10">
        <f>VLOOKUP(A763,dataset_2!$A$2:$G$611,6,0)</f>
        <v>14</v>
      </c>
      <c r="P763" s="10">
        <f>VLOOKUP(A763,dataset_2!$A$2:$G$611,7,0)</f>
        <v>15</v>
      </c>
      <c r="Q763" s="10"/>
      <c r="R763" s="10"/>
      <c r="S763" s="10"/>
      <c r="T763" s="10"/>
      <c r="U763" s="10">
        <f t="shared" si="4"/>
        <v>1</v>
      </c>
      <c r="V763" s="10"/>
      <c r="W763" s="10"/>
      <c r="X763" s="10"/>
      <c r="Y763" s="10"/>
      <c r="Z763" s="10"/>
    </row>
    <row r="764" ht="13.5" customHeight="1">
      <c r="A764" s="10">
        <f>dataset_1!A353</f>
        <v>352</v>
      </c>
      <c r="B764" s="11">
        <f>dataset_1!B353</f>
        <v>40559</v>
      </c>
      <c r="C764" s="10">
        <f>dataset_1!C353</f>
        <v>1</v>
      </c>
      <c r="D764" s="10">
        <f>dataset_1!D353</f>
        <v>0</v>
      </c>
      <c r="E764" s="10">
        <f>dataset_1!E353</f>
        <v>1</v>
      </c>
      <c r="F764" s="10">
        <f>dataset_1!F353</f>
        <v>3</v>
      </c>
      <c r="G764" s="10" t="b">
        <f>dataset_1!G353</f>
        <v>0</v>
      </c>
      <c r="H764" s="10">
        <f>dataset_1!H353</f>
        <v>0</v>
      </c>
      <c r="I764" s="10">
        <f>dataset_1!I353</f>
        <v>1</v>
      </c>
      <c r="J764" s="10">
        <f>dataset_1!J353</f>
        <v>0.22</v>
      </c>
      <c r="K764" s="10">
        <f>VLOOKUP(A764,dataset_2!$A$2:$G$611,2,0)</f>
        <v>0.2727</v>
      </c>
      <c r="L764" s="10">
        <f>VLOOKUP(A764,dataset_2!$A$2:$G$611,3,0)</f>
        <v>0.69</v>
      </c>
      <c r="M764" s="10">
        <f>VLOOKUP(A764,dataset_2!$A$2:$G$611,4,0)</f>
        <v>0</v>
      </c>
      <c r="N764" s="10">
        <f>VLOOKUP(A764,dataset_2!$A$2:$G$611,5,0)</f>
        <v>9</v>
      </c>
      <c r="O764" s="10">
        <f>VLOOKUP(A764,dataset_2!$A$2:$G$611,6,0)</f>
        <v>6</v>
      </c>
      <c r="P764" s="10">
        <f>VLOOKUP(A764,dataset_2!$A$2:$G$611,7,0)</f>
        <v>15</v>
      </c>
      <c r="Q764" s="10"/>
      <c r="R764" s="10"/>
      <c r="S764" s="10"/>
      <c r="T764" s="10"/>
      <c r="U764" s="10">
        <f t="shared" si="4"/>
        <v>1</v>
      </c>
      <c r="V764" s="10"/>
      <c r="W764" s="10"/>
      <c r="X764" s="10"/>
      <c r="Y764" s="10"/>
      <c r="Z764" s="10"/>
    </row>
    <row r="765" ht="13.5" customHeight="1">
      <c r="A765" s="10">
        <f>dataset_1!A532</f>
        <v>531</v>
      </c>
      <c r="B765" s="11">
        <f>dataset_1!B532</f>
        <v>40567</v>
      </c>
      <c r="C765" s="10">
        <f>dataset_1!C532</f>
        <v>1</v>
      </c>
      <c r="D765" s="10">
        <f>dataset_1!D532</f>
        <v>0</v>
      </c>
      <c r="E765" s="10">
        <f>dataset_1!E532</f>
        <v>1</v>
      </c>
      <c r="F765" s="10">
        <f>dataset_1!F532</f>
        <v>6</v>
      </c>
      <c r="G765" s="10" t="b">
        <f>dataset_1!G532</f>
        <v>0</v>
      </c>
      <c r="H765" s="10">
        <f>dataset_1!H532</f>
        <v>1</v>
      </c>
      <c r="I765" s="10">
        <f>dataset_1!I532</f>
        <v>1</v>
      </c>
      <c r="J765" s="10">
        <f>dataset_1!J532</f>
        <v>0.02</v>
      </c>
      <c r="K765" s="10">
        <f>VLOOKUP(A765,dataset_2!$A$2:$G$611,2,0)</f>
        <v>0.0758</v>
      </c>
      <c r="L765" s="10">
        <f>VLOOKUP(A765,dataset_2!$A$2:$G$611,3,0)</f>
        <v>0.48</v>
      </c>
      <c r="M765" s="10">
        <f>VLOOKUP(A765,dataset_2!$A$2:$G$611,4,0)</f>
        <v>0.0896</v>
      </c>
      <c r="N765" s="10">
        <f>VLOOKUP(A765,dataset_2!$A$2:$G$611,5,0)</f>
        <v>0</v>
      </c>
      <c r="O765" s="10">
        <f>VLOOKUP(A765,dataset_2!$A$2:$G$611,6,0)</f>
        <v>15</v>
      </c>
      <c r="P765" s="10">
        <f>VLOOKUP(A765,dataset_2!$A$2:$G$611,7,0)</f>
        <v>15</v>
      </c>
      <c r="Q765" s="10"/>
      <c r="R765" s="10"/>
      <c r="S765" s="10"/>
      <c r="T765" s="10"/>
      <c r="U765" s="10">
        <f t="shared" si="4"/>
        <v>1</v>
      </c>
      <c r="V765" s="10"/>
      <c r="W765" s="10"/>
      <c r="X765" s="10"/>
      <c r="Y765" s="10"/>
      <c r="Z765" s="10"/>
    </row>
    <row r="766" ht="13.5" customHeight="1">
      <c r="A766" s="3">
        <v>621.0</v>
      </c>
      <c r="B766" s="12">
        <v>40572.0</v>
      </c>
      <c r="C766" s="3">
        <v>1.0</v>
      </c>
      <c r="D766" s="3">
        <v>0.0</v>
      </c>
      <c r="E766" s="3">
        <v>1.0</v>
      </c>
      <c r="F766" s="3">
        <v>2.0</v>
      </c>
      <c r="G766" s="3" t="b">
        <f t="shared" ref="G766:G768" si="83">FALSE()</f>
        <v>0</v>
      </c>
      <c r="H766" s="3">
        <v>6.0</v>
      </c>
      <c r="I766" s="3">
        <v>1.0</v>
      </c>
      <c r="J766" s="3">
        <v>0.22</v>
      </c>
      <c r="K766" s="3">
        <v>0.2273</v>
      </c>
      <c r="L766" s="3">
        <v>0.64</v>
      </c>
      <c r="M766" s="3">
        <v>0.1642</v>
      </c>
      <c r="N766" s="3">
        <v>0.0</v>
      </c>
      <c r="O766" s="3">
        <v>15.0</v>
      </c>
      <c r="P766" s="3">
        <v>15.0</v>
      </c>
      <c r="Q766" s="10"/>
      <c r="R766" s="10"/>
      <c r="S766" s="10"/>
      <c r="T766" s="10"/>
      <c r="U766" s="10">
        <f t="shared" si="4"/>
        <v>1</v>
      </c>
      <c r="V766" s="10"/>
      <c r="W766" s="10"/>
      <c r="X766" s="10"/>
      <c r="Y766" s="10"/>
      <c r="Z766" s="10"/>
    </row>
    <row r="767" ht="13.5" customHeight="1">
      <c r="A767" s="3">
        <v>830.0</v>
      </c>
      <c r="B767" s="12">
        <v>40581.0</v>
      </c>
      <c r="C767" s="3">
        <v>1.0</v>
      </c>
      <c r="D767" s="3">
        <v>0.0</v>
      </c>
      <c r="E767" s="3">
        <v>2.0</v>
      </c>
      <c r="F767" s="3">
        <v>0.0</v>
      </c>
      <c r="G767" s="3" t="b">
        <f t="shared" si="83"/>
        <v>0</v>
      </c>
      <c r="H767" s="3">
        <v>1.0</v>
      </c>
      <c r="I767" s="3">
        <v>1.0</v>
      </c>
      <c r="J767" s="3">
        <v>0.24</v>
      </c>
      <c r="K767" s="3">
        <v>0.2879</v>
      </c>
      <c r="L767" s="3">
        <v>0.65</v>
      </c>
      <c r="M767" s="3">
        <v>0.0</v>
      </c>
      <c r="N767" s="3">
        <v>1.0</v>
      </c>
      <c r="O767" s="3">
        <v>14.0</v>
      </c>
      <c r="P767" s="3">
        <v>15.0</v>
      </c>
      <c r="Q767" s="10"/>
      <c r="R767" s="10"/>
      <c r="S767" s="10"/>
      <c r="T767" s="10"/>
      <c r="U767" s="10">
        <f t="shared" si="4"/>
        <v>1</v>
      </c>
      <c r="V767" s="10"/>
      <c r="W767" s="10"/>
      <c r="X767" s="10"/>
      <c r="Y767" s="10"/>
      <c r="Z767" s="10"/>
    </row>
    <row r="768" ht="13.5" customHeight="1">
      <c r="A768" s="3">
        <v>948.0</v>
      </c>
      <c r="B768" s="12">
        <v>40586.0</v>
      </c>
      <c r="C768" s="3">
        <v>1.0</v>
      </c>
      <c r="D768" s="3">
        <v>0.0</v>
      </c>
      <c r="E768" s="3">
        <v>2.0</v>
      </c>
      <c r="F768" s="3">
        <v>2.0</v>
      </c>
      <c r="G768" s="3" t="b">
        <f t="shared" si="83"/>
        <v>0</v>
      </c>
      <c r="H768" s="3">
        <v>6.0</v>
      </c>
      <c r="I768" s="3">
        <v>1.0</v>
      </c>
      <c r="J768" s="3">
        <v>0.14</v>
      </c>
      <c r="K768" s="3">
        <v>0.2121</v>
      </c>
      <c r="L768" s="3">
        <v>0.8</v>
      </c>
      <c r="M768" s="3">
        <v>0.0</v>
      </c>
      <c r="N768" s="3">
        <v>2.0</v>
      </c>
      <c r="O768" s="3">
        <v>13.0</v>
      </c>
      <c r="P768" s="3">
        <v>15.0</v>
      </c>
      <c r="Q768" s="10"/>
      <c r="R768" s="10"/>
      <c r="S768" s="10"/>
      <c r="T768" s="10"/>
      <c r="U768" s="10">
        <f t="shared" si="4"/>
        <v>1</v>
      </c>
      <c r="V768" s="10"/>
      <c r="W768" s="10"/>
      <c r="X768" s="10"/>
      <c r="Y768" s="10"/>
      <c r="Z768" s="10"/>
    </row>
    <row r="769" ht="13.5" customHeight="1">
      <c r="A769" s="10">
        <f>dataset_1!A11</f>
        <v>10</v>
      </c>
      <c r="B769" s="11">
        <f>dataset_1!B11</f>
        <v>40544</v>
      </c>
      <c r="C769" s="10">
        <f>dataset_1!C11</f>
        <v>1</v>
      </c>
      <c r="D769" s="10">
        <f>dataset_1!D11</f>
        <v>0</v>
      </c>
      <c r="E769" s="10">
        <f>dataset_1!E11</f>
        <v>1</v>
      </c>
      <c r="F769" s="10">
        <f>dataset_1!F11</f>
        <v>9</v>
      </c>
      <c r="G769" s="10" t="b">
        <f>dataset_1!G11</f>
        <v>0</v>
      </c>
      <c r="H769" s="10">
        <f>dataset_1!H11</f>
        <v>6</v>
      </c>
      <c r="I769" s="10">
        <f>dataset_1!I11</f>
        <v>1</v>
      </c>
      <c r="J769" s="10">
        <f>dataset_1!J11</f>
        <v>0.32</v>
      </c>
      <c r="K769" s="10">
        <f>VLOOKUP(A769,dataset_2!$A$2:$G$611,2,0)</f>
        <v>0.3485</v>
      </c>
      <c r="L769" s="10">
        <f>VLOOKUP(A769,dataset_2!$A$2:$G$611,3,0)</f>
        <v>0.76</v>
      </c>
      <c r="M769" s="10">
        <f>VLOOKUP(A769,dataset_2!$A$2:$G$611,4,0)</f>
        <v>0</v>
      </c>
      <c r="N769" s="10">
        <f>VLOOKUP(A769,dataset_2!$A$2:$G$611,5,0)</f>
        <v>8</v>
      </c>
      <c r="O769" s="10">
        <f>VLOOKUP(A769,dataset_2!$A$2:$G$611,6,0)</f>
        <v>6</v>
      </c>
      <c r="P769" s="10">
        <f>VLOOKUP(A769,dataset_2!$A$2:$G$611,7,0)</f>
        <v>14</v>
      </c>
      <c r="Q769" s="10"/>
      <c r="R769" s="10"/>
      <c r="S769" s="10"/>
      <c r="T769" s="10"/>
      <c r="U769" s="10">
        <f t="shared" si="4"/>
        <v>1</v>
      </c>
      <c r="V769" s="10"/>
      <c r="W769" s="10"/>
      <c r="X769" s="10"/>
      <c r="Y769" s="10"/>
      <c r="Z769" s="10"/>
    </row>
    <row r="770" ht="13.5" customHeight="1">
      <c r="A770" s="10">
        <f>dataset_1!A303</f>
        <v>302</v>
      </c>
      <c r="B770" s="11">
        <f>dataset_1!B303</f>
        <v>40557</v>
      </c>
      <c r="C770" s="10">
        <f>dataset_1!C303</f>
        <v>1</v>
      </c>
      <c r="D770" s="10">
        <f>dataset_1!D303</f>
        <v>0</v>
      </c>
      <c r="E770" s="10">
        <f>dataset_1!E303</f>
        <v>1</v>
      </c>
      <c r="F770" s="10">
        <f>dataset_1!F303</f>
        <v>0</v>
      </c>
      <c r="G770" s="10" t="b">
        <f>dataset_1!G303</f>
        <v>0</v>
      </c>
      <c r="H770" s="10">
        <f>dataset_1!H303</f>
        <v>5</v>
      </c>
      <c r="I770" s="10">
        <f>dataset_1!I303</f>
        <v>1</v>
      </c>
      <c r="J770" s="10">
        <f>dataset_1!J303</f>
        <v>0.12</v>
      </c>
      <c r="K770" s="10">
        <f>VLOOKUP(A770,dataset_2!$A$2:$G$611,2,0)</f>
        <v>0.1364</v>
      </c>
      <c r="L770" s="10">
        <f>VLOOKUP(A770,dataset_2!$A$2:$G$611,3,0)</f>
        <v>0.5</v>
      </c>
      <c r="M770" s="10">
        <f>VLOOKUP(A770,dataset_2!$A$2:$G$611,4,0)</f>
        <v>0.194</v>
      </c>
      <c r="N770" s="10">
        <f>VLOOKUP(A770,dataset_2!$A$2:$G$611,5,0)</f>
        <v>0</v>
      </c>
      <c r="O770" s="10">
        <f>VLOOKUP(A770,dataset_2!$A$2:$G$611,6,0)</f>
        <v>14</v>
      </c>
      <c r="P770" s="10">
        <f>VLOOKUP(A770,dataset_2!$A$2:$G$611,7,0)</f>
        <v>14</v>
      </c>
      <c r="Q770" s="10"/>
      <c r="R770" s="10"/>
      <c r="S770" s="10"/>
      <c r="T770" s="10"/>
      <c r="U770" s="10">
        <f t="shared" si="4"/>
        <v>1</v>
      </c>
      <c r="V770" s="10"/>
      <c r="W770" s="10"/>
      <c r="X770" s="10"/>
      <c r="Y770" s="10"/>
      <c r="Z770" s="10"/>
    </row>
    <row r="771" ht="13.5" customHeight="1">
      <c r="A771" s="3">
        <v>924.0</v>
      </c>
      <c r="B771" s="12">
        <v>40585.0</v>
      </c>
      <c r="C771" s="3">
        <v>1.0</v>
      </c>
      <c r="D771" s="3">
        <v>0.0</v>
      </c>
      <c r="E771" s="3">
        <v>2.0</v>
      </c>
      <c r="F771" s="3">
        <v>0.0</v>
      </c>
      <c r="G771" s="3" t="b">
        <f>FALSE()</f>
        <v>0</v>
      </c>
      <c r="H771" s="3">
        <v>5.0</v>
      </c>
      <c r="I771" s="3">
        <v>1.0</v>
      </c>
      <c r="J771" s="3">
        <v>0.1</v>
      </c>
      <c r="K771" s="3">
        <v>0.1364</v>
      </c>
      <c r="L771" s="3">
        <v>0.49</v>
      </c>
      <c r="M771" s="3">
        <v>0.1045</v>
      </c>
      <c r="N771" s="3">
        <v>2.0</v>
      </c>
      <c r="O771" s="3">
        <v>12.0</v>
      </c>
      <c r="P771" s="3">
        <v>14.0</v>
      </c>
      <c r="Q771" s="10"/>
      <c r="R771" s="10"/>
      <c r="S771" s="10"/>
      <c r="T771" s="10"/>
      <c r="U771" s="10">
        <f t="shared" si="4"/>
        <v>1</v>
      </c>
      <c r="V771" s="10"/>
      <c r="W771" s="10"/>
      <c r="X771" s="10"/>
      <c r="Y771" s="10"/>
      <c r="Z771" s="10"/>
    </row>
    <row r="772" ht="13.5" customHeight="1">
      <c r="A772" s="10">
        <f>dataset_1!A5</f>
        <v>4</v>
      </c>
      <c r="B772" s="11">
        <f>dataset_1!B5</f>
        <v>40544</v>
      </c>
      <c r="C772" s="10">
        <f>dataset_1!C5</f>
        <v>1</v>
      </c>
      <c r="D772" s="10">
        <f>dataset_1!D5</f>
        <v>0</v>
      </c>
      <c r="E772" s="10">
        <f>dataset_1!E5</f>
        <v>1</v>
      </c>
      <c r="F772" s="10">
        <f>dataset_1!F5</f>
        <v>3</v>
      </c>
      <c r="G772" s="10" t="b">
        <f>dataset_1!G5</f>
        <v>0</v>
      </c>
      <c r="H772" s="10">
        <f>dataset_1!H5</f>
        <v>6</v>
      </c>
      <c r="I772" s="10">
        <f>dataset_1!I5</f>
        <v>1</v>
      </c>
      <c r="J772" s="10">
        <f>dataset_1!J5</f>
        <v>0.24</v>
      </c>
      <c r="K772" s="10">
        <f>VLOOKUP(A772,dataset_2!$A$2:$G$611,2,0)</f>
        <v>0.2879</v>
      </c>
      <c r="L772" s="10">
        <f>VLOOKUP(A772,dataset_2!$A$2:$G$611,3,0)</f>
        <v>0.75</v>
      </c>
      <c r="M772" s="10">
        <f>VLOOKUP(A772,dataset_2!$A$2:$G$611,4,0)</f>
        <v>0</v>
      </c>
      <c r="N772" s="10">
        <f>VLOOKUP(A772,dataset_2!$A$2:$G$611,5,0)</f>
        <v>3</v>
      </c>
      <c r="O772" s="10">
        <f>VLOOKUP(A772,dataset_2!$A$2:$G$611,6,0)</f>
        <v>10</v>
      </c>
      <c r="P772" s="10">
        <f>VLOOKUP(A772,dataset_2!$A$2:$G$611,7,0)</f>
        <v>13</v>
      </c>
      <c r="Q772" s="10"/>
      <c r="R772" s="10"/>
      <c r="S772" s="10"/>
      <c r="T772" s="10"/>
      <c r="U772" s="10">
        <f t="shared" si="4"/>
        <v>1</v>
      </c>
      <c r="V772" s="10"/>
      <c r="W772" s="10"/>
      <c r="X772" s="10"/>
      <c r="Y772" s="10"/>
      <c r="Z772" s="10"/>
    </row>
    <row r="773" ht="13.5" customHeight="1">
      <c r="A773" s="10">
        <f>dataset_1!A381</f>
        <v>380</v>
      </c>
      <c r="B773" s="11">
        <f>dataset_1!B381</f>
        <v>40560</v>
      </c>
      <c r="C773" s="10">
        <f>dataset_1!C381</f>
        <v>1</v>
      </c>
      <c r="D773" s="10">
        <f>dataset_1!D381</f>
        <v>0</v>
      </c>
      <c r="E773" s="10">
        <f>dataset_1!E381</f>
        <v>1</v>
      </c>
      <c r="F773" s="10">
        <f>dataset_1!F381</f>
        <v>7</v>
      </c>
      <c r="G773" s="10" t="b">
        <f>dataset_1!G381</f>
        <v>1</v>
      </c>
      <c r="H773" s="10">
        <f>dataset_1!H381</f>
        <v>1</v>
      </c>
      <c r="I773" s="10">
        <f>dataset_1!I381</f>
        <v>2</v>
      </c>
      <c r="J773" s="10">
        <f>dataset_1!J381</f>
        <v>0.16</v>
      </c>
      <c r="K773" s="10">
        <f>VLOOKUP(A773,dataset_2!$A$2:$G$611,2,0)</f>
        <v>0.1818</v>
      </c>
      <c r="L773" s="10">
        <f>VLOOKUP(A773,dataset_2!$A$2:$G$611,3,0)</f>
        <v>0.5</v>
      </c>
      <c r="M773" s="10">
        <f>VLOOKUP(A773,dataset_2!$A$2:$G$611,4,0)</f>
        <v>0.1343</v>
      </c>
      <c r="N773" s="10">
        <f>VLOOKUP(A773,dataset_2!$A$2:$G$611,5,0)</f>
        <v>4</v>
      </c>
      <c r="O773" s="10">
        <f>VLOOKUP(A773,dataset_2!$A$2:$G$611,6,0)</f>
        <v>9</v>
      </c>
      <c r="P773" s="10">
        <f>VLOOKUP(A773,dataset_2!$A$2:$G$611,7,0)</f>
        <v>13</v>
      </c>
      <c r="Q773" s="10"/>
      <c r="R773" s="10"/>
      <c r="S773" s="10"/>
      <c r="T773" s="10"/>
      <c r="U773" s="10">
        <f t="shared" si="4"/>
        <v>1</v>
      </c>
      <c r="V773" s="10"/>
      <c r="W773" s="10"/>
      <c r="X773" s="10"/>
      <c r="Y773" s="10"/>
      <c r="Z773" s="10"/>
    </row>
    <row r="774" ht="13.5" customHeight="1">
      <c r="A774" s="10">
        <f>dataset_1!A396</f>
        <v>395</v>
      </c>
      <c r="B774" s="11">
        <f>dataset_1!B396</f>
        <v>40560</v>
      </c>
      <c r="C774" s="10">
        <f>dataset_1!C396</f>
        <v>1</v>
      </c>
      <c r="D774" s="10">
        <f>dataset_1!D396</f>
        <v>0</v>
      </c>
      <c r="E774" s="10">
        <f>dataset_1!E396</f>
        <v>1</v>
      </c>
      <c r="F774" s="10">
        <f>dataset_1!F396</f>
        <v>22</v>
      </c>
      <c r="G774" s="10" t="b">
        <f>dataset_1!G396</f>
        <v>1</v>
      </c>
      <c r="H774" s="10">
        <f>dataset_1!H396</f>
        <v>1</v>
      </c>
      <c r="I774" s="10">
        <f>dataset_1!I396</f>
        <v>3</v>
      </c>
      <c r="J774" s="10">
        <f>dataset_1!J396</f>
        <v>0.14</v>
      </c>
      <c r="K774" s="10">
        <f>VLOOKUP(A774,dataset_2!$A$2:$G$611,2,0)</f>
        <v>0.1212</v>
      </c>
      <c r="L774" s="10">
        <f>VLOOKUP(A774,dataset_2!$A$2:$G$611,3,0)</f>
        <v>0.93</v>
      </c>
      <c r="M774" s="10">
        <f>VLOOKUP(A774,dataset_2!$A$2:$G$611,4,0)</f>
        <v>0.2537</v>
      </c>
      <c r="N774" s="10">
        <f>VLOOKUP(A774,dataset_2!$A$2:$G$611,5,0)</f>
        <v>0</v>
      </c>
      <c r="O774" s="10">
        <f>VLOOKUP(A774,dataset_2!$A$2:$G$611,6,0)</f>
        <v>13</v>
      </c>
      <c r="P774" s="10">
        <f>VLOOKUP(A774,dataset_2!$A$2:$G$611,7,0)</f>
        <v>13</v>
      </c>
      <c r="Q774" s="10"/>
      <c r="R774" s="10"/>
      <c r="S774" s="10"/>
      <c r="T774" s="10"/>
      <c r="U774" s="10">
        <f t="shared" si="4"/>
        <v>1</v>
      </c>
      <c r="V774" s="10"/>
      <c r="W774" s="10"/>
      <c r="X774" s="10"/>
      <c r="Y774" s="10"/>
      <c r="Z774" s="10"/>
    </row>
    <row r="775" ht="13.5" customHeight="1">
      <c r="A775" s="10">
        <f>dataset_1!A433</f>
        <v>432</v>
      </c>
      <c r="B775" s="11">
        <f>dataset_1!B433</f>
        <v>40563</v>
      </c>
      <c r="C775" s="10">
        <f>dataset_1!C433</f>
        <v>1</v>
      </c>
      <c r="D775" s="10">
        <f>dataset_1!D433</f>
        <v>0</v>
      </c>
      <c r="E775" s="10">
        <f>dataset_1!E433</f>
        <v>1</v>
      </c>
      <c r="F775" s="10">
        <f>dataset_1!F433</f>
        <v>0</v>
      </c>
      <c r="G775" s="10" t="b">
        <f>dataset_1!G433</f>
        <v>0</v>
      </c>
      <c r="H775" s="10">
        <f>dataset_1!H433</f>
        <v>4</v>
      </c>
      <c r="I775" s="10">
        <f>dataset_1!I433</f>
        <v>1</v>
      </c>
      <c r="J775" s="10">
        <f>dataset_1!J433</f>
        <v>0.26</v>
      </c>
      <c r="K775" s="10">
        <f>VLOOKUP(A775,dataset_2!$A$2:$G$611,2,0)</f>
        <v>0.2273</v>
      </c>
      <c r="L775" s="10">
        <f>VLOOKUP(A775,dataset_2!$A$2:$G$611,3,0)</f>
        <v>0.56</v>
      </c>
      <c r="M775" s="10">
        <f>VLOOKUP(A775,dataset_2!$A$2:$G$611,4,0)</f>
        <v>0.3881</v>
      </c>
      <c r="N775" s="10">
        <f>VLOOKUP(A775,dataset_2!$A$2:$G$611,5,0)</f>
        <v>5</v>
      </c>
      <c r="O775" s="10">
        <f>VLOOKUP(A775,dataset_2!$A$2:$G$611,6,0)</f>
        <v>8</v>
      </c>
      <c r="P775" s="10">
        <f>VLOOKUP(A775,dataset_2!$A$2:$G$611,7,0)</f>
        <v>13</v>
      </c>
      <c r="Q775" s="10"/>
      <c r="R775" s="10"/>
      <c r="S775" s="10"/>
      <c r="T775" s="10"/>
      <c r="U775" s="10">
        <f t="shared" si="4"/>
        <v>1</v>
      </c>
      <c r="V775" s="10"/>
      <c r="W775" s="10"/>
      <c r="X775" s="10"/>
      <c r="Y775" s="10"/>
      <c r="Z775" s="10"/>
    </row>
    <row r="776" ht="13.5" customHeight="1">
      <c r="A776" s="10">
        <f>dataset_1!A481</f>
        <v>480</v>
      </c>
      <c r="B776" s="11">
        <f>dataset_1!B481</f>
        <v>40565</v>
      </c>
      <c r="C776" s="10">
        <f>dataset_1!C481</f>
        <v>1</v>
      </c>
      <c r="D776" s="10">
        <f>dataset_1!D481</f>
        <v>0</v>
      </c>
      <c r="E776" s="10">
        <f>dataset_1!E481</f>
        <v>1</v>
      </c>
      <c r="F776" s="10">
        <f>dataset_1!F481</f>
        <v>0</v>
      </c>
      <c r="G776" s="10" t="b">
        <f>dataset_1!G481</f>
        <v>0</v>
      </c>
      <c r="H776" s="10">
        <f>dataset_1!H481</f>
        <v>6</v>
      </c>
      <c r="I776" s="10">
        <f>dataset_1!I481</f>
        <v>1</v>
      </c>
      <c r="J776" s="10">
        <f>dataset_1!J481</f>
        <v>0.04</v>
      </c>
      <c r="K776" s="10">
        <f>VLOOKUP(A776,dataset_2!$A$2:$G$611,2,0)</f>
        <v>0.0303</v>
      </c>
      <c r="L776" s="10">
        <f>VLOOKUP(A776,dataset_2!$A$2:$G$611,3,0)</f>
        <v>0.45</v>
      </c>
      <c r="M776" s="10">
        <f>VLOOKUP(A776,dataset_2!$A$2:$G$611,4,0)</f>
        <v>0.2537</v>
      </c>
      <c r="N776" s="10">
        <f>VLOOKUP(A776,dataset_2!$A$2:$G$611,5,0)</f>
        <v>0</v>
      </c>
      <c r="O776" s="10">
        <f>VLOOKUP(A776,dataset_2!$A$2:$G$611,6,0)</f>
        <v>13</v>
      </c>
      <c r="P776" s="10">
        <f>VLOOKUP(A776,dataset_2!$A$2:$G$611,7,0)</f>
        <v>13</v>
      </c>
      <c r="Q776" s="10"/>
      <c r="R776" s="10"/>
      <c r="S776" s="10"/>
      <c r="T776" s="10"/>
      <c r="U776" s="10">
        <f t="shared" si="4"/>
        <v>1</v>
      </c>
      <c r="V776" s="10"/>
      <c r="W776" s="10"/>
      <c r="X776" s="10"/>
      <c r="Y776" s="10"/>
      <c r="Z776" s="10"/>
    </row>
    <row r="777" ht="13.5" customHeight="1">
      <c r="A777" s="10">
        <f>dataset_1!A505</f>
        <v>504</v>
      </c>
      <c r="B777" s="11">
        <f>dataset_1!B505</f>
        <v>40566</v>
      </c>
      <c r="C777" s="10">
        <f>dataset_1!C505</f>
        <v>1</v>
      </c>
      <c r="D777" s="10">
        <f>dataset_1!D505</f>
        <v>0</v>
      </c>
      <c r="E777" s="10">
        <f>dataset_1!E505</f>
        <v>1</v>
      </c>
      <c r="F777" s="10">
        <f>dataset_1!F505</f>
        <v>1</v>
      </c>
      <c r="G777" s="10" t="b">
        <f>dataset_1!G505</f>
        <v>0</v>
      </c>
      <c r="H777" s="10">
        <f>dataset_1!H505</f>
        <v>0</v>
      </c>
      <c r="I777" s="10">
        <f>dataset_1!I505</f>
        <v>1</v>
      </c>
      <c r="J777" s="10">
        <f>dataset_1!J505</f>
        <v>0.04</v>
      </c>
      <c r="K777" s="10">
        <f>VLOOKUP(A777,dataset_2!$A$2:$G$611,2,0)</f>
        <v>0.0758</v>
      </c>
      <c r="L777" s="10">
        <f>VLOOKUP(A777,dataset_2!$A$2:$G$611,3,0)</f>
        <v>0.57</v>
      </c>
      <c r="M777" s="10">
        <f>VLOOKUP(A777,dataset_2!$A$2:$G$611,4,0)</f>
        <v>0.1045</v>
      </c>
      <c r="N777" s="10">
        <f>VLOOKUP(A777,dataset_2!$A$2:$G$611,5,0)</f>
        <v>1</v>
      </c>
      <c r="O777" s="10">
        <f>VLOOKUP(A777,dataset_2!$A$2:$G$611,6,0)</f>
        <v>12</v>
      </c>
      <c r="P777" s="10">
        <f>VLOOKUP(A777,dataset_2!$A$2:$G$611,7,0)</f>
        <v>13</v>
      </c>
      <c r="Q777" s="10"/>
      <c r="R777" s="10"/>
      <c r="S777" s="10"/>
      <c r="T777" s="10"/>
      <c r="U777" s="10">
        <f t="shared" si="4"/>
        <v>1</v>
      </c>
      <c r="V777" s="10"/>
      <c r="W777" s="10"/>
      <c r="X777" s="10"/>
      <c r="Y777" s="10"/>
      <c r="Z777" s="10"/>
    </row>
    <row r="778" ht="13.5" customHeight="1">
      <c r="A778" s="3">
        <v>759.0</v>
      </c>
      <c r="B778" s="12">
        <v>40578.0</v>
      </c>
      <c r="C778" s="3">
        <v>1.0</v>
      </c>
      <c r="D778" s="3">
        <v>0.0</v>
      </c>
      <c r="E778" s="3">
        <v>2.0</v>
      </c>
      <c r="F778" s="3">
        <v>0.0</v>
      </c>
      <c r="G778" s="3" t="b">
        <f t="shared" ref="G778:G779" si="84">FALSE()</f>
        <v>0</v>
      </c>
      <c r="H778" s="3">
        <v>5.0</v>
      </c>
      <c r="I778" s="3">
        <v>2.0</v>
      </c>
      <c r="J778" s="3">
        <v>0.2</v>
      </c>
      <c r="K778" s="3">
        <v>0.2576</v>
      </c>
      <c r="L778" s="3">
        <v>0.44</v>
      </c>
      <c r="M778" s="3">
        <v>0.0</v>
      </c>
      <c r="N778" s="3">
        <v>3.0</v>
      </c>
      <c r="O778" s="3">
        <v>10.0</v>
      </c>
      <c r="P778" s="3">
        <v>13.0</v>
      </c>
      <c r="Q778" s="10"/>
      <c r="R778" s="10"/>
      <c r="S778" s="10"/>
      <c r="T778" s="10"/>
      <c r="U778" s="10">
        <f t="shared" si="4"/>
        <v>1</v>
      </c>
      <c r="V778" s="10"/>
      <c r="W778" s="10"/>
      <c r="X778" s="10"/>
      <c r="Y778" s="10"/>
      <c r="Z778" s="10"/>
    </row>
    <row r="779" ht="13.5" customHeight="1">
      <c r="A779" s="3">
        <v>809.0</v>
      </c>
      <c r="B779" s="12">
        <v>40580.0</v>
      </c>
      <c r="C779" s="3">
        <v>1.0</v>
      </c>
      <c r="D779" s="3">
        <v>0.0</v>
      </c>
      <c r="E779" s="3">
        <v>2.0</v>
      </c>
      <c r="F779" s="3">
        <v>3.0</v>
      </c>
      <c r="G779" s="3" t="b">
        <f t="shared" si="84"/>
        <v>0</v>
      </c>
      <c r="H779" s="3">
        <v>0.0</v>
      </c>
      <c r="I779" s="3">
        <v>1.0</v>
      </c>
      <c r="J779" s="3">
        <v>0.26</v>
      </c>
      <c r="K779" s="3">
        <v>0.2879</v>
      </c>
      <c r="L779" s="3">
        <v>0.6</v>
      </c>
      <c r="M779" s="3">
        <v>0.0896</v>
      </c>
      <c r="N779" s="3">
        <v>3.0</v>
      </c>
      <c r="O779" s="3">
        <v>10.0</v>
      </c>
      <c r="P779" s="3">
        <v>13.0</v>
      </c>
      <c r="Q779" s="10"/>
      <c r="R779" s="10"/>
      <c r="S779" s="10"/>
      <c r="T779" s="10"/>
      <c r="U779" s="10">
        <f t="shared" si="4"/>
        <v>1</v>
      </c>
      <c r="V779" s="10"/>
      <c r="W779" s="10"/>
      <c r="X779" s="10"/>
      <c r="Y779" s="10"/>
      <c r="Z779" s="10"/>
    </row>
    <row r="780" ht="13.5" customHeight="1">
      <c r="A780" s="10">
        <f>dataset_1!A70</f>
        <v>69</v>
      </c>
      <c r="B780" s="11">
        <f>dataset_1!B70</f>
        <v>40546</v>
      </c>
      <c r="C780" s="10">
        <f>dataset_1!C70</f>
        <v>1</v>
      </c>
      <c r="D780" s="10">
        <f>dataset_1!D70</f>
        <v>0</v>
      </c>
      <c r="E780" s="10">
        <f>dataset_1!E70</f>
        <v>1</v>
      </c>
      <c r="F780" s="10">
        <f>dataset_1!F70</f>
        <v>23</v>
      </c>
      <c r="G780" s="10" t="b">
        <f>dataset_1!G70</f>
        <v>0</v>
      </c>
      <c r="H780" s="10">
        <f>dataset_1!H70</f>
        <v>1</v>
      </c>
      <c r="I780" s="10">
        <f>dataset_1!I70</f>
        <v>1</v>
      </c>
      <c r="J780" s="10">
        <f>dataset_1!J70</f>
        <v>0.18</v>
      </c>
      <c r="K780" s="10">
        <f>VLOOKUP(A780,dataset_2!$A$2:$G$611,2,0)</f>
        <v>0.2121</v>
      </c>
      <c r="L780" s="10">
        <f>VLOOKUP(A780,dataset_2!$A$2:$G$611,3,0)</f>
        <v>0.55</v>
      </c>
      <c r="M780" s="10">
        <f>VLOOKUP(A780,dataset_2!$A$2:$G$611,4,0)</f>
        <v>0.1045</v>
      </c>
      <c r="N780" s="10">
        <f>VLOOKUP(A780,dataset_2!$A$2:$G$611,5,0)</f>
        <v>1</v>
      </c>
      <c r="O780" s="10">
        <f>VLOOKUP(A780,dataset_2!$A$2:$G$611,6,0)</f>
        <v>11</v>
      </c>
      <c r="P780" s="10">
        <f>VLOOKUP(A780,dataset_2!$A$2:$G$611,7,0)</f>
        <v>12</v>
      </c>
      <c r="Q780" s="10"/>
      <c r="R780" s="10"/>
      <c r="S780" s="10"/>
      <c r="T780" s="10"/>
      <c r="U780" s="10">
        <f t="shared" si="4"/>
        <v>1</v>
      </c>
      <c r="V780" s="10"/>
      <c r="W780" s="10"/>
      <c r="X780" s="10"/>
      <c r="Y780" s="10"/>
      <c r="Z780" s="10"/>
    </row>
    <row r="781" ht="13.5" customHeight="1">
      <c r="A781" s="10">
        <f>dataset_1!A188</f>
        <v>187</v>
      </c>
      <c r="B781" s="11">
        <f>dataset_1!B188</f>
        <v>40552</v>
      </c>
      <c r="C781" s="10">
        <f>dataset_1!C188</f>
        <v>1</v>
      </c>
      <c r="D781" s="10">
        <f>dataset_1!D188</f>
        <v>0</v>
      </c>
      <c r="E781" s="10">
        <f>dataset_1!E188</f>
        <v>1</v>
      </c>
      <c r="F781" s="10">
        <f>dataset_1!F188</f>
        <v>1</v>
      </c>
      <c r="G781" s="10" t="b">
        <f>dataset_1!G188</f>
        <v>0</v>
      </c>
      <c r="H781" s="10">
        <f>dataset_1!H188</f>
        <v>0</v>
      </c>
      <c r="I781" s="10">
        <f>dataset_1!I188</f>
        <v>1</v>
      </c>
      <c r="J781" s="10">
        <f>dataset_1!J188</f>
        <v>0.1</v>
      </c>
      <c r="K781" s="10">
        <f>VLOOKUP(A781,dataset_2!$A$2:$G$611,2,0)</f>
        <v>0.0606</v>
      </c>
      <c r="L781" s="10">
        <f>VLOOKUP(A781,dataset_2!$A$2:$G$611,3,0)</f>
        <v>0.42</v>
      </c>
      <c r="M781" s="10">
        <f>VLOOKUP(A781,dataset_2!$A$2:$G$611,4,0)</f>
        <v>0.4627</v>
      </c>
      <c r="N781" s="10">
        <f>VLOOKUP(A781,dataset_2!$A$2:$G$611,5,0)</f>
        <v>0</v>
      </c>
      <c r="O781" s="10">
        <f>VLOOKUP(A781,dataset_2!$A$2:$G$611,6,0)</f>
        <v>12</v>
      </c>
      <c r="P781" s="10">
        <f>VLOOKUP(A781,dataset_2!$A$2:$G$611,7,0)</f>
        <v>12</v>
      </c>
      <c r="Q781" s="10"/>
      <c r="R781" s="10"/>
      <c r="S781" s="10"/>
      <c r="T781" s="10"/>
      <c r="U781" s="10">
        <f t="shared" si="4"/>
        <v>1</v>
      </c>
      <c r="V781" s="10"/>
      <c r="W781" s="10"/>
      <c r="X781" s="10"/>
      <c r="Y781" s="10"/>
      <c r="Z781" s="10"/>
    </row>
    <row r="782" ht="13.5" customHeight="1">
      <c r="A782" s="10">
        <f>dataset_1!A235</f>
        <v>234</v>
      </c>
      <c r="B782" s="11">
        <f>dataset_1!B235</f>
        <v>40554</v>
      </c>
      <c r="C782" s="10">
        <f>dataset_1!C235</f>
        <v>1</v>
      </c>
      <c r="D782" s="10">
        <f>dataset_1!D235</f>
        <v>0</v>
      </c>
      <c r="E782" s="10">
        <f>dataset_1!E235</f>
        <v>1</v>
      </c>
      <c r="F782" s="10">
        <f>dataset_1!F235</f>
        <v>0</v>
      </c>
      <c r="G782" s="10" t="b">
        <f>dataset_1!G235</f>
        <v>0</v>
      </c>
      <c r="H782" s="10">
        <f>dataset_1!H235</f>
        <v>2</v>
      </c>
      <c r="I782" s="10">
        <f>dataset_1!I235</f>
        <v>1</v>
      </c>
      <c r="J782" s="10">
        <f>dataset_1!J235</f>
        <v>0.14</v>
      </c>
      <c r="K782" s="10">
        <f>VLOOKUP(A782,dataset_2!$A$2:$G$611,2,0)</f>
        <v>0.1667</v>
      </c>
      <c r="L782" s="10">
        <f>VLOOKUP(A782,dataset_2!$A$2:$G$611,3,0)</f>
        <v>0.59</v>
      </c>
      <c r="M782" s="10">
        <f>VLOOKUP(A782,dataset_2!$A$2:$G$611,4,0)</f>
        <v>0.1045</v>
      </c>
      <c r="N782" s="10">
        <f>VLOOKUP(A782,dataset_2!$A$2:$G$611,5,0)</f>
        <v>2</v>
      </c>
      <c r="O782" s="10">
        <f>VLOOKUP(A782,dataset_2!$A$2:$G$611,6,0)</f>
        <v>10</v>
      </c>
      <c r="P782" s="10">
        <f>VLOOKUP(A782,dataset_2!$A$2:$G$611,7,0)</f>
        <v>12</v>
      </c>
      <c r="Q782" s="10"/>
      <c r="R782" s="10"/>
      <c r="S782" s="10"/>
      <c r="T782" s="10"/>
      <c r="U782" s="10">
        <f t="shared" si="4"/>
        <v>1</v>
      </c>
      <c r="V782" s="10"/>
      <c r="W782" s="10"/>
      <c r="X782" s="10"/>
      <c r="Y782" s="10"/>
      <c r="Z782" s="10"/>
    </row>
    <row r="783" ht="13.5" customHeight="1">
      <c r="A783" s="10">
        <f>dataset_1!A328</f>
        <v>327</v>
      </c>
      <c r="B783" s="11">
        <f>dataset_1!B328</f>
        <v>40558</v>
      </c>
      <c r="C783" s="10">
        <f>dataset_1!C328</f>
        <v>1</v>
      </c>
      <c r="D783" s="10">
        <f>dataset_1!D328</f>
        <v>0</v>
      </c>
      <c r="E783" s="10">
        <f>dataset_1!E328</f>
        <v>1</v>
      </c>
      <c r="F783" s="10">
        <f>dataset_1!F328</f>
        <v>2</v>
      </c>
      <c r="G783" s="10" t="b">
        <f>dataset_1!G328</f>
        <v>0</v>
      </c>
      <c r="H783" s="10">
        <f>dataset_1!H328</f>
        <v>6</v>
      </c>
      <c r="I783" s="10">
        <f>dataset_1!I328</f>
        <v>2</v>
      </c>
      <c r="J783" s="10">
        <f>dataset_1!J328</f>
        <v>0.16</v>
      </c>
      <c r="K783" s="10">
        <f>VLOOKUP(A783,dataset_2!$A$2:$G$611,2,0)</f>
        <v>0.197</v>
      </c>
      <c r="L783" s="10">
        <f>VLOOKUP(A783,dataset_2!$A$2:$G$611,3,0)</f>
        <v>0.59</v>
      </c>
      <c r="M783" s="10">
        <f>VLOOKUP(A783,dataset_2!$A$2:$G$611,4,0)</f>
        <v>0.0896</v>
      </c>
      <c r="N783" s="10">
        <f>VLOOKUP(A783,dataset_2!$A$2:$G$611,5,0)</f>
        <v>0</v>
      </c>
      <c r="O783" s="10">
        <f>VLOOKUP(A783,dataset_2!$A$2:$G$611,6,0)</f>
        <v>12</v>
      </c>
      <c r="P783" s="10">
        <f>VLOOKUP(A783,dataset_2!$A$2:$G$611,7,0)</f>
        <v>12</v>
      </c>
      <c r="Q783" s="10"/>
      <c r="R783" s="10"/>
      <c r="S783" s="10"/>
      <c r="T783" s="10"/>
      <c r="U783" s="10">
        <f t="shared" si="4"/>
        <v>1</v>
      </c>
      <c r="V783" s="10"/>
      <c r="W783" s="10"/>
      <c r="X783" s="10"/>
      <c r="Y783" s="10"/>
      <c r="Z783" s="10"/>
    </row>
    <row r="784" ht="13.5" customHeight="1">
      <c r="A784" s="10">
        <f>dataset_1!A482</f>
        <v>481</v>
      </c>
      <c r="B784" s="11">
        <f>dataset_1!B482</f>
        <v>40565</v>
      </c>
      <c r="C784" s="10">
        <f>dataset_1!C482</f>
        <v>1</v>
      </c>
      <c r="D784" s="10">
        <f>dataset_1!D482</f>
        <v>0</v>
      </c>
      <c r="E784" s="10">
        <f>dataset_1!E482</f>
        <v>1</v>
      </c>
      <c r="F784" s="10">
        <f>dataset_1!F482</f>
        <v>1</v>
      </c>
      <c r="G784" s="10" t="b">
        <f>dataset_1!G482</f>
        <v>0</v>
      </c>
      <c r="H784" s="10">
        <f>dataset_1!H482</f>
        <v>6</v>
      </c>
      <c r="I784" s="10">
        <f>dataset_1!I482</f>
        <v>2</v>
      </c>
      <c r="J784" s="10">
        <f>dataset_1!J482</f>
        <v>0.04</v>
      </c>
      <c r="K784" s="10">
        <f>VLOOKUP(A784,dataset_2!$A$2:$G$611,2,0)</f>
        <v>0</v>
      </c>
      <c r="L784" s="10">
        <f>VLOOKUP(A784,dataset_2!$A$2:$G$611,3,0)</f>
        <v>0.41</v>
      </c>
      <c r="M784" s="10">
        <f>VLOOKUP(A784,dataset_2!$A$2:$G$611,4,0)</f>
        <v>0.3881</v>
      </c>
      <c r="N784" s="10">
        <f>VLOOKUP(A784,dataset_2!$A$2:$G$611,5,0)</f>
        <v>3</v>
      </c>
      <c r="O784" s="10">
        <f>VLOOKUP(A784,dataset_2!$A$2:$G$611,6,0)</f>
        <v>9</v>
      </c>
      <c r="P784" s="10">
        <f>VLOOKUP(A784,dataset_2!$A$2:$G$611,7,0)</f>
        <v>12</v>
      </c>
      <c r="Q784" s="10"/>
      <c r="R784" s="10"/>
      <c r="S784" s="10"/>
      <c r="T784" s="10"/>
      <c r="U784" s="10">
        <f t="shared" si="4"/>
        <v>1</v>
      </c>
      <c r="V784" s="10"/>
      <c r="W784" s="10"/>
      <c r="X784" s="10"/>
      <c r="Y784" s="10"/>
      <c r="Z784" s="10"/>
    </row>
    <row r="785" ht="13.5" customHeight="1">
      <c r="A785" s="3">
        <v>649.0</v>
      </c>
      <c r="B785" s="12">
        <v>40573.0</v>
      </c>
      <c r="C785" s="3">
        <v>1.0</v>
      </c>
      <c r="D785" s="3">
        <v>0.0</v>
      </c>
      <c r="E785" s="3">
        <v>1.0</v>
      </c>
      <c r="F785" s="3">
        <v>8.0</v>
      </c>
      <c r="G785" s="3" t="b">
        <f t="shared" ref="G785:G789" si="85">FALSE()</f>
        <v>0</v>
      </c>
      <c r="H785" s="3">
        <v>0.0</v>
      </c>
      <c r="I785" s="3">
        <v>2.0</v>
      </c>
      <c r="J785" s="3">
        <v>0.14</v>
      </c>
      <c r="K785" s="3">
        <v>0.2121</v>
      </c>
      <c r="L785" s="3">
        <v>0.86</v>
      </c>
      <c r="M785" s="3">
        <v>0.0</v>
      </c>
      <c r="N785" s="3">
        <v>1.0</v>
      </c>
      <c r="O785" s="3">
        <v>11.0</v>
      </c>
      <c r="P785" s="3">
        <v>12.0</v>
      </c>
      <c r="Q785" s="10"/>
      <c r="R785" s="10"/>
      <c r="S785" s="10"/>
      <c r="T785" s="10"/>
      <c r="U785" s="10">
        <f t="shared" si="4"/>
        <v>1</v>
      </c>
      <c r="V785" s="10"/>
      <c r="W785" s="10"/>
      <c r="X785" s="10"/>
      <c r="Y785" s="10"/>
      <c r="Z785" s="10"/>
    </row>
    <row r="786" ht="13.5" customHeight="1">
      <c r="A786" s="3">
        <v>736.0</v>
      </c>
      <c r="B786" s="12">
        <v>40577.0</v>
      </c>
      <c r="C786" s="3">
        <v>1.0</v>
      </c>
      <c r="D786" s="3">
        <v>0.0</v>
      </c>
      <c r="E786" s="3">
        <v>2.0</v>
      </c>
      <c r="F786" s="3">
        <v>0.0</v>
      </c>
      <c r="G786" s="3" t="b">
        <f t="shared" si="85"/>
        <v>0</v>
      </c>
      <c r="H786" s="3">
        <v>4.0</v>
      </c>
      <c r="I786" s="3">
        <v>1.0</v>
      </c>
      <c r="J786" s="3">
        <v>0.2</v>
      </c>
      <c r="K786" s="3">
        <v>0.1667</v>
      </c>
      <c r="L786" s="3">
        <v>0.4</v>
      </c>
      <c r="M786" s="3">
        <v>0.4478</v>
      </c>
      <c r="N786" s="3">
        <v>1.0</v>
      </c>
      <c r="O786" s="3">
        <v>11.0</v>
      </c>
      <c r="P786" s="3">
        <v>12.0</v>
      </c>
      <c r="Q786" s="10"/>
      <c r="R786" s="10"/>
      <c r="S786" s="10"/>
      <c r="T786" s="10"/>
      <c r="U786" s="10">
        <f t="shared" si="4"/>
        <v>1</v>
      </c>
      <c r="V786" s="10"/>
      <c r="W786" s="10"/>
      <c r="X786" s="10"/>
      <c r="Y786" s="10"/>
      <c r="Z786" s="10"/>
    </row>
    <row r="787" ht="13.5" customHeight="1">
      <c r="A787" s="3">
        <v>877.0</v>
      </c>
      <c r="B787" s="12">
        <v>40582.0</v>
      </c>
      <c r="C787" s="3">
        <v>1.0</v>
      </c>
      <c r="D787" s="3">
        <v>0.0</v>
      </c>
      <c r="E787" s="3">
        <v>2.0</v>
      </c>
      <c r="F787" s="3">
        <v>23.0</v>
      </c>
      <c r="G787" s="3" t="b">
        <f t="shared" si="85"/>
        <v>0</v>
      </c>
      <c r="H787" s="3">
        <v>2.0</v>
      </c>
      <c r="I787" s="3">
        <v>1.0</v>
      </c>
      <c r="J787" s="3">
        <v>0.12</v>
      </c>
      <c r="K787" s="3">
        <v>0.1061</v>
      </c>
      <c r="L787" s="3">
        <v>0.33</v>
      </c>
      <c r="M787" s="3">
        <v>0.3284</v>
      </c>
      <c r="N787" s="3">
        <v>3.0</v>
      </c>
      <c r="O787" s="3">
        <v>9.0</v>
      </c>
      <c r="P787" s="3">
        <v>12.0</v>
      </c>
      <c r="Q787" s="10"/>
      <c r="R787" s="10"/>
      <c r="S787" s="10"/>
      <c r="T787" s="10"/>
      <c r="U787" s="10">
        <f t="shared" si="4"/>
        <v>1</v>
      </c>
      <c r="V787" s="10"/>
      <c r="W787" s="10"/>
      <c r="X787" s="10"/>
      <c r="Y787" s="10"/>
      <c r="Z787" s="10"/>
    </row>
    <row r="788" ht="13.5" customHeight="1">
      <c r="A788" s="3">
        <v>973.0</v>
      </c>
      <c r="B788" s="12">
        <v>40587.0</v>
      </c>
      <c r="C788" s="3">
        <v>1.0</v>
      </c>
      <c r="D788" s="3">
        <v>0.0</v>
      </c>
      <c r="E788" s="3">
        <v>2.0</v>
      </c>
      <c r="F788" s="3">
        <v>3.0</v>
      </c>
      <c r="G788" s="3" t="b">
        <f t="shared" si="85"/>
        <v>0</v>
      </c>
      <c r="H788" s="3">
        <v>0.0</v>
      </c>
      <c r="I788" s="3">
        <v>2.0</v>
      </c>
      <c r="J788" s="3">
        <v>0.2</v>
      </c>
      <c r="K788" s="3">
        <v>0.2273</v>
      </c>
      <c r="L788" s="3">
        <v>0.69</v>
      </c>
      <c r="M788" s="3">
        <v>0.1045</v>
      </c>
      <c r="N788" s="3">
        <v>4.0</v>
      </c>
      <c r="O788" s="3">
        <v>8.0</v>
      </c>
      <c r="P788" s="3">
        <v>12.0</v>
      </c>
      <c r="Q788" s="10"/>
      <c r="R788" s="10"/>
      <c r="S788" s="10"/>
      <c r="T788" s="10"/>
      <c r="U788" s="10">
        <f t="shared" si="4"/>
        <v>1</v>
      </c>
      <c r="V788" s="10"/>
      <c r="W788" s="10"/>
      <c r="X788" s="10"/>
      <c r="Y788" s="10"/>
      <c r="Z788" s="10"/>
    </row>
    <row r="789" ht="13.5" customHeight="1">
      <c r="A789" s="3">
        <v>977.0</v>
      </c>
      <c r="B789" s="12">
        <v>40587.0</v>
      </c>
      <c r="C789" s="3">
        <v>1.0</v>
      </c>
      <c r="D789" s="3">
        <v>0.0</v>
      </c>
      <c r="E789" s="3">
        <v>2.0</v>
      </c>
      <c r="F789" s="3">
        <v>8.0</v>
      </c>
      <c r="G789" s="3" t="b">
        <f t="shared" si="85"/>
        <v>0</v>
      </c>
      <c r="H789" s="3">
        <v>0.0</v>
      </c>
      <c r="I789" s="3">
        <v>2.0</v>
      </c>
      <c r="J789" s="3">
        <v>0.22</v>
      </c>
      <c r="K789" s="3">
        <v>0.2273</v>
      </c>
      <c r="L789" s="3">
        <v>0.64</v>
      </c>
      <c r="M789" s="3">
        <v>0.194</v>
      </c>
      <c r="N789" s="3">
        <v>1.0</v>
      </c>
      <c r="O789" s="3">
        <v>11.0</v>
      </c>
      <c r="P789" s="3">
        <v>12.0</v>
      </c>
      <c r="Q789" s="10"/>
      <c r="R789" s="10"/>
      <c r="S789" s="10"/>
      <c r="T789" s="10"/>
      <c r="U789" s="10">
        <f t="shared" si="4"/>
        <v>1</v>
      </c>
      <c r="V789" s="10"/>
      <c r="W789" s="10"/>
      <c r="X789" s="10"/>
      <c r="Y789" s="10"/>
      <c r="Z789" s="10"/>
    </row>
    <row r="790" ht="13.5" customHeight="1">
      <c r="A790" s="10">
        <f>dataset_1!A93</f>
        <v>92</v>
      </c>
      <c r="B790" s="11">
        <f>dataset_1!B93</f>
        <v>40547</v>
      </c>
      <c r="C790" s="10">
        <f>dataset_1!C93</f>
        <v>1</v>
      </c>
      <c r="D790" s="10">
        <f>dataset_1!D93</f>
        <v>0</v>
      </c>
      <c r="E790" s="10">
        <f>dataset_1!E93</f>
        <v>1</v>
      </c>
      <c r="F790" s="10">
        <f>dataset_1!F93</f>
        <v>23</v>
      </c>
      <c r="G790" s="10" t="b">
        <f>dataset_1!G93</f>
        <v>0</v>
      </c>
      <c r="H790" s="10">
        <f>dataset_1!H93</f>
        <v>2</v>
      </c>
      <c r="I790" s="10">
        <f>dataset_1!I93</f>
        <v>1</v>
      </c>
      <c r="J790" s="10">
        <f>dataset_1!J93</f>
        <v>0.2</v>
      </c>
      <c r="K790" s="10">
        <f>VLOOKUP(A790,dataset_2!$A$2:$G$611,2,0)</f>
        <v>0.2273</v>
      </c>
      <c r="L790" s="10">
        <f>VLOOKUP(A790,dataset_2!$A$2:$G$611,3,0)</f>
        <v>0.69</v>
      </c>
      <c r="M790" s="10">
        <f>VLOOKUP(A790,dataset_2!$A$2:$G$611,4,0)</f>
        <v>0.0896</v>
      </c>
      <c r="N790" s="10">
        <f>VLOOKUP(A790,dataset_2!$A$2:$G$611,5,0)</f>
        <v>2</v>
      </c>
      <c r="O790" s="10">
        <f>VLOOKUP(A790,dataset_2!$A$2:$G$611,6,0)</f>
        <v>9</v>
      </c>
      <c r="P790" s="10">
        <f>VLOOKUP(A790,dataset_2!$A$2:$G$611,7,0)</f>
        <v>11</v>
      </c>
      <c r="Q790" s="10"/>
      <c r="R790" s="10"/>
      <c r="S790" s="10"/>
      <c r="T790" s="10"/>
      <c r="U790" s="10">
        <f t="shared" si="4"/>
        <v>1</v>
      </c>
      <c r="V790" s="10"/>
      <c r="W790" s="10"/>
      <c r="X790" s="10"/>
      <c r="Y790" s="10"/>
      <c r="Z790" s="10"/>
    </row>
    <row r="791" ht="13.5" customHeight="1">
      <c r="A791" s="10">
        <f>dataset_1!A117</f>
        <v>116</v>
      </c>
      <c r="B791" s="11">
        <f>dataset_1!B117</f>
        <v>40549</v>
      </c>
      <c r="C791" s="10">
        <f>dataset_1!C117</f>
        <v>1</v>
      </c>
      <c r="D791" s="10">
        <f>dataset_1!D117</f>
        <v>0</v>
      </c>
      <c r="E791" s="10">
        <f>dataset_1!E117</f>
        <v>1</v>
      </c>
      <c r="F791" s="10">
        <f>dataset_1!F117</f>
        <v>0</v>
      </c>
      <c r="G791" s="10" t="b">
        <f>dataset_1!G117</f>
        <v>0</v>
      </c>
      <c r="H791" s="10">
        <f>dataset_1!H117</f>
        <v>4</v>
      </c>
      <c r="I791" s="10">
        <f>dataset_1!I117</f>
        <v>1</v>
      </c>
      <c r="J791" s="10">
        <f>dataset_1!J117</f>
        <v>0.18</v>
      </c>
      <c r="K791" s="10">
        <f>VLOOKUP(A791,dataset_2!$A$2:$G$611,2,0)</f>
        <v>0.2424</v>
      </c>
      <c r="L791" s="10">
        <f>VLOOKUP(A791,dataset_2!$A$2:$G$611,3,0)</f>
        <v>0.55</v>
      </c>
      <c r="M791" s="10">
        <f>VLOOKUP(A791,dataset_2!$A$2:$G$611,4,0)</f>
        <v>0</v>
      </c>
      <c r="N791" s="10">
        <f>VLOOKUP(A791,dataset_2!$A$2:$G$611,5,0)</f>
        <v>0</v>
      </c>
      <c r="O791" s="10">
        <f>VLOOKUP(A791,dataset_2!$A$2:$G$611,6,0)</f>
        <v>11</v>
      </c>
      <c r="P791" s="10">
        <f>VLOOKUP(A791,dataset_2!$A$2:$G$611,7,0)</f>
        <v>11</v>
      </c>
      <c r="Q791" s="10"/>
      <c r="R791" s="10"/>
      <c r="S791" s="10"/>
      <c r="T791" s="10"/>
      <c r="U791" s="10">
        <f t="shared" si="4"/>
        <v>1</v>
      </c>
      <c r="V791" s="10"/>
      <c r="W791" s="10"/>
      <c r="X791" s="10"/>
      <c r="Y791" s="10"/>
      <c r="Z791" s="10"/>
    </row>
    <row r="792" ht="13.5" customHeight="1">
      <c r="A792" s="10">
        <f>dataset_1!A189</f>
        <v>188</v>
      </c>
      <c r="B792" s="11">
        <f>dataset_1!B189</f>
        <v>40552</v>
      </c>
      <c r="C792" s="10">
        <f>dataset_1!C189</f>
        <v>1</v>
      </c>
      <c r="D792" s="10">
        <f>dataset_1!D189</f>
        <v>0</v>
      </c>
      <c r="E792" s="10">
        <f>dataset_1!E189</f>
        <v>1</v>
      </c>
      <c r="F792" s="10">
        <f>dataset_1!F189</f>
        <v>2</v>
      </c>
      <c r="G792" s="10" t="b">
        <f>dataset_1!G189</f>
        <v>0</v>
      </c>
      <c r="H792" s="10">
        <f>dataset_1!H189</f>
        <v>0</v>
      </c>
      <c r="I792" s="10">
        <f>dataset_1!I189</f>
        <v>1</v>
      </c>
      <c r="J792" s="10">
        <f>dataset_1!J189</f>
        <v>0.1</v>
      </c>
      <c r="K792" s="10">
        <f>VLOOKUP(A792,dataset_2!$A$2:$G$611,2,0)</f>
        <v>0.0606</v>
      </c>
      <c r="L792" s="10">
        <f>VLOOKUP(A792,dataset_2!$A$2:$G$611,3,0)</f>
        <v>0.46</v>
      </c>
      <c r="M792" s="10">
        <f>VLOOKUP(A792,dataset_2!$A$2:$G$611,4,0)</f>
        <v>0.4627</v>
      </c>
      <c r="N792" s="10">
        <f>VLOOKUP(A792,dataset_2!$A$2:$G$611,5,0)</f>
        <v>0</v>
      </c>
      <c r="O792" s="10">
        <f>VLOOKUP(A792,dataset_2!$A$2:$G$611,6,0)</f>
        <v>11</v>
      </c>
      <c r="P792" s="10">
        <f>VLOOKUP(A792,dataset_2!$A$2:$G$611,7,0)</f>
        <v>11</v>
      </c>
      <c r="Q792" s="10"/>
      <c r="R792" s="10"/>
      <c r="S792" s="10"/>
      <c r="T792" s="10"/>
      <c r="U792" s="10">
        <f t="shared" si="4"/>
        <v>1</v>
      </c>
      <c r="V792" s="10"/>
      <c r="W792" s="10"/>
      <c r="X792" s="10"/>
      <c r="Y792" s="10"/>
      <c r="Z792" s="10"/>
    </row>
    <row r="793" ht="13.5" customHeight="1">
      <c r="A793" s="10">
        <f>dataset_1!A483</f>
        <v>482</v>
      </c>
      <c r="B793" s="11">
        <f>dataset_1!B483</f>
        <v>40565</v>
      </c>
      <c r="C793" s="10">
        <f>dataset_1!C483</f>
        <v>1</v>
      </c>
      <c r="D793" s="10">
        <f>dataset_1!D483</f>
        <v>0</v>
      </c>
      <c r="E793" s="10">
        <f>dataset_1!E483</f>
        <v>1</v>
      </c>
      <c r="F793" s="10">
        <f>dataset_1!F483</f>
        <v>2</v>
      </c>
      <c r="G793" s="10" t="b">
        <f>dataset_1!G483</f>
        <v>0</v>
      </c>
      <c r="H793" s="10">
        <f>dataset_1!H483</f>
        <v>6</v>
      </c>
      <c r="I793" s="10">
        <f>dataset_1!I483</f>
        <v>2</v>
      </c>
      <c r="J793" s="10">
        <f>dataset_1!J483</f>
        <v>0.04</v>
      </c>
      <c r="K793" s="10">
        <f>VLOOKUP(A793,dataset_2!$A$2:$G$611,2,0)</f>
        <v>0.0303</v>
      </c>
      <c r="L793" s="10">
        <f>VLOOKUP(A793,dataset_2!$A$2:$G$611,3,0)</f>
        <v>0.41</v>
      </c>
      <c r="M793" s="10">
        <f>VLOOKUP(A793,dataset_2!$A$2:$G$611,4,0)</f>
        <v>0.2537</v>
      </c>
      <c r="N793" s="10">
        <f>VLOOKUP(A793,dataset_2!$A$2:$G$611,5,0)</f>
        <v>0</v>
      </c>
      <c r="O793" s="10">
        <f>VLOOKUP(A793,dataset_2!$A$2:$G$611,6,0)</f>
        <v>11</v>
      </c>
      <c r="P793" s="10">
        <f>VLOOKUP(A793,dataset_2!$A$2:$G$611,7,0)</f>
        <v>11</v>
      </c>
      <c r="Q793" s="10"/>
      <c r="R793" s="10"/>
      <c r="S793" s="10"/>
      <c r="T793" s="10"/>
      <c r="U793" s="10">
        <f t="shared" si="4"/>
        <v>1</v>
      </c>
      <c r="V793" s="10"/>
      <c r="W793" s="10"/>
      <c r="X793" s="10"/>
      <c r="Y793" s="10"/>
      <c r="Z793" s="10"/>
    </row>
    <row r="794" ht="13.5" customHeight="1">
      <c r="A794" s="3">
        <v>644.0</v>
      </c>
      <c r="B794" s="12">
        <v>40573.0</v>
      </c>
      <c r="C794" s="3">
        <v>1.0</v>
      </c>
      <c r="D794" s="3">
        <v>0.0</v>
      </c>
      <c r="E794" s="3">
        <v>1.0</v>
      </c>
      <c r="F794" s="3">
        <v>2.0</v>
      </c>
      <c r="G794" s="3" t="b">
        <f t="shared" ref="G794:G797" si="86">FALSE()</f>
        <v>0</v>
      </c>
      <c r="H794" s="3">
        <v>0.0</v>
      </c>
      <c r="I794" s="3">
        <v>1.0</v>
      </c>
      <c r="J794" s="3">
        <v>0.16</v>
      </c>
      <c r="K794" s="3">
        <v>0.2273</v>
      </c>
      <c r="L794" s="3">
        <v>0.8</v>
      </c>
      <c r="M794" s="3">
        <v>0.0</v>
      </c>
      <c r="N794" s="3">
        <v>1.0</v>
      </c>
      <c r="O794" s="3">
        <v>10.0</v>
      </c>
      <c r="P794" s="3">
        <v>11.0</v>
      </c>
      <c r="Q794" s="10"/>
      <c r="R794" s="10"/>
      <c r="S794" s="10"/>
      <c r="T794" s="10"/>
      <c r="U794" s="10">
        <f t="shared" si="4"/>
        <v>1</v>
      </c>
      <c r="V794" s="10"/>
      <c r="W794" s="10"/>
      <c r="X794" s="10"/>
      <c r="Y794" s="10"/>
      <c r="Z794" s="10"/>
    </row>
    <row r="795" ht="13.5" customHeight="1">
      <c r="A795" s="3">
        <v>785.0</v>
      </c>
      <c r="B795" s="12">
        <v>40579.0</v>
      </c>
      <c r="C795" s="3">
        <v>1.0</v>
      </c>
      <c r="D795" s="3">
        <v>0.0</v>
      </c>
      <c r="E795" s="3">
        <v>2.0</v>
      </c>
      <c r="F795" s="3">
        <v>3.0</v>
      </c>
      <c r="G795" s="3" t="b">
        <f t="shared" si="86"/>
        <v>0</v>
      </c>
      <c r="H795" s="3">
        <v>6.0</v>
      </c>
      <c r="I795" s="3">
        <v>2.0</v>
      </c>
      <c r="J795" s="3">
        <v>0.24</v>
      </c>
      <c r="K795" s="3">
        <v>0.2424</v>
      </c>
      <c r="L795" s="3">
        <v>0.75</v>
      </c>
      <c r="M795" s="3">
        <v>0.1642</v>
      </c>
      <c r="N795" s="3">
        <v>1.0</v>
      </c>
      <c r="O795" s="3">
        <v>10.0</v>
      </c>
      <c r="P795" s="3">
        <v>11.0</v>
      </c>
      <c r="Q795" s="10"/>
      <c r="R795" s="10"/>
      <c r="S795" s="10"/>
      <c r="T795" s="10"/>
      <c r="U795" s="10">
        <f t="shared" si="4"/>
        <v>1</v>
      </c>
      <c r="V795" s="10"/>
      <c r="W795" s="10"/>
      <c r="X795" s="10"/>
      <c r="Y795" s="10"/>
      <c r="Z795" s="10"/>
    </row>
    <row r="796" ht="13.5" customHeight="1">
      <c r="A796" s="3">
        <v>953.0</v>
      </c>
      <c r="B796" s="12">
        <v>40586.0</v>
      </c>
      <c r="C796" s="3">
        <v>1.0</v>
      </c>
      <c r="D796" s="3">
        <v>0.0</v>
      </c>
      <c r="E796" s="3">
        <v>2.0</v>
      </c>
      <c r="F796" s="3">
        <v>7.0</v>
      </c>
      <c r="G796" s="3" t="b">
        <f t="shared" si="86"/>
        <v>0</v>
      </c>
      <c r="H796" s="3">
        <v>6.0</v>
      </c>
      <c r="I796" s="3">
        <v>1.0</v>
      </c>
      <c r="J796" s="3">
        <v>0.12</v>
      </c>
      <c r="K796" s="3">
        <v>0.1515</v>
      </c>
      <c r="L796" s="3">
        <v>0.8</v>
      </c>
      <c r="M796" s="3">
        <v>0.1045</v>
      </c>
      <c r="N796" s="3">
        <v>2.0</v>
      </c>
      <c r="O796" s="3">
        <v>9.0</v>
      </c>
      <c r="P796" s="3">
        <v>11.0</v>
      </c>
      <c r="Q796" s="10"/>
      <c r="R796" s="10"/>
      <c r="S796" s="10"/>
      <c r="T796" s="10"/>
      <c r="U796" s="10">
        <f t="shared" si="4"/>
        <v>1</v>
      </c>
      <c r="V796" s="10"/>
      <c r="W796" s="10"/>
      <c r="X796" s="10"/>
      <c r="Y796" s="10"/>
      <c r="Z796" s="10"/>
    </row>
    <row r="797" ht="13.5" customHeight="1">
      <c r="A797" s="3">
        <v>993.0</v>
      </c>
      <c r="B797" s="12">
        <v>40588.0</v>
      </c>
      <c r="C797" s="3">
        <v>1.0</v>
      </c>
      <c r="D797" s="3">
        <v>0.0</v>
      </c>
      <c r="E797" s="3">
        <v>2.0</v>
      </c>
      <c r="F797" s="3">
        <v>0.0</v>
      </c>
      <c r="G797" s="3" t="b">
        <f t="shared" si="86"/>
        <v>0</v>
      </c>
      <c r="H797" s="3">
        <v>1.0</v>
      </c>
      <c r="I797" s="3">
        <v>1.0</v>
      </c>
      <c r="J797" s="3">
        <v>0.38</v>
      </c>
      <c r="K797" s="3">
        <v>0.3939</v>
      </c>
      <c r="L797" s="3">
        <v>0.37</v>
      </c>
      <c r="M797" s="3">
        <v>0.3582</v>
      </c>
      <c r="N797" s="3">
        <v>3.0</v>
      </c>
      <c r="O797" s="3">
        <v>8.0</v>
      </c>
      <c r="P797" s="3">
        <v>11.0</v>
      </c>
      <c r="Q797" s="10"/>
      <c r="R797" s="10"/>
      <c r="S797" s="10"/>
      <c r="T797" s="10"/>
      <c r="U797" s="10">
        <f t="shared" si="4"/>
        <v>1</v>
      </c>
      <c r="V797" s="10"/>
      <c r="W797" s="10"/>
      <c r="X797" s="10"/>
      <c r="Y797" s="10"/>
      <c r="Z797" s="10"/>
    </row>
    <row r="798" ht="13.5" customHeight="1">
      <c r="A798" s="10">
        <f>dataset_1!A195</f>
        <v>194</v>
      </c>
      <c r="B798" s="11">
        <f>dataset_1!B195</f>
        <v>40552</v>
      </c>
      <c r="C798" s="10">
        <f>dataset_1!C195</f>
        <v>1</v>
      </c>
      <c r="D798" s="10">
        <f>dataset_1!D195</f>
        <v>0</v>
      </c>
      <c r="E798" s="10">
        <f>dataset_1!E195</f>
        <v>1</v>
      </c>
      <c r="F798" s="10">
        <f>dataset_1!F195</f>
        <v>8</v>
      </c>
      <c r="G798" s="10" t="b">
        <f>dataset_1!G195</f>
        <v>0</v>
      </c>
      <c r="H798" s="10">
        <f>dataset_1!H195</f>
        <v>0</v>
      </c>
      <c r="I798" s="10">
        <f>dataset_1!I195</f>
        <v>1</v>
      </c>
      <c r="J798" s="10">
        <f>dataset_1!J195</f>
        <v>0.1</v>
      </c>
      <c r="K798" s="10">
        <f>VLOOKUP(A798,dataset_2!$A$2:$G$611,2,0)</f>
        <v>0.0909</v>
      </c>
      <c r="L798" s="10">
        <f>VLOOKUP(A798,dataset_2!$A$2:$G$611,3,0)</f>
        <v>0.49</v>
      </c>
      <c r="M798" s="10">
        <f>VLOOKUP(A798,dataset_2!$A$2:$G$611,4,0)</f>
        <v>0.2836</v>
      </c>
      <c r="N798" s="10">
        <f>VLOOKUP(A798,dataset_2!$A$2:$G$611,5,0)</f>
        <v>0</v>
      </c>
      <c r="O798" s="10">
        <f>VLOOKUP(A798,dataset_2!$A$2:$G$611,6,0)</f>
        <v>10</v>
      </c>
      <c r="P798" s="10">
        <f>VLOOKUP(A798,dataset_2!$A$2:$G$611,7,0)</f>
        <v>10</v>
      </c>
      <c r="Q798" s="10"/>
      <c r="R798" s="10"/>
      <c r="S798" s="10"/>
      <c r="T798" s="10"/>
      <c r="U798" s="10">
        <f t="shared" si="4"/>
        <v>1</v>
      </c>
      <c r="V798" s="10"/>
      <c r="W798" s="10"/>
      <c r="X798" s="10"/>
      <c r="Y798" s="10"/>
      <c r="Z798" s="10"/>
    </row>
    <row r="799" ht="13.5" customHeight="1">
      <c r="A799" s="10">
        <f>dataset_1!A333</f>
        <v>332</v>
      </c>
      <c r="B799" s="11">
        <f>dataset_1!B333</f>
        <v>40558</v>
      </c>
      <c r="C799" s="10">
        <f>dataset_1!C333</f>
        <v>1</v>
      </c>
      <c r="D799" s="10">
        <f>dataset_1!D333</f>
        <v>0</v>
      </c>
      <c r="E799" s="10">
        <f>dataset_1!E333</f>
        <v>1</v>
      </c>
      <c r="F799" s="10">
        <f>dataset_1!F333</f>
        <v>7</v>
      </c>
      <c r="G799" s="10" t="b">
        <f>dataset_1!G333</f>
        <v>0</v>
      </c>
      <c r="H799" s="10">
        <f>dataset_1!H333</f>
        <v>6</v>
      </c>
      <c r="I799" s="10">
        <f>dataset_1!I333</f>
        <v>1</v>
      </c>
      <c r="J799" s="10">
        <f>dataset_1!J333</f>
        <v>0.14</v>
      </c>
      <c r="K799" s="10">
        <f>VLOOKUP(A799,dataset_2!$A$2:$G$611,2,0)</f>
        <v>0.2121</v>
      </c>
      <c r="L799" s="10">
        <f>VLOOKUP(A799,dataset_2!$A$2:$G$611,3,0)</f>
        <v>0.63</v>
      </c>
      <c r="M799" s="10">
        <f>VLOOKUP(A799,dataset_2!$A$2:$G$611,4,0)</f>
        <v>0</v>
      </c>
      <c r="N799" s="10">
        <f>VLOOKUP(A799,dataset_2!$A$2:$G$611,5,0)</f>
        <v>1</v>
      </c>
      <c r="O799" s="10">
        <f>VLOOKUP(A799,dataset_2!$A$2:$G$611,6,0)</f>
        <v>9</v>
      </c>
      <c r="P799" s="10">
        <f>VLOOKUP(A799,dataset_2!$A$2:$G$611,7,0)</f>
        <v>10</v>
      </c>
      <c r="Q799" s="10"/>
      <c r="R799" s="10"/>
      <c r="S799" s="10"/>
      <c r="T799" s="10"/>
      <c r="U799" s="10">
        <f t="shared" si="4"/>
        <v>1</v>
      </c>
      <c r="V799" s="10"/>
      <c r="W799" s="10"/>
      <c r="X799" s="10"/>
      <c r="Y799" s="10"/>
      <c r="Z799" s="10"/>
    </row>
    <row r="800" ht="13.5" customHeight="1">
      <c r="A800" s="10">
        <f>dataset_1!A575</f>
        <v>574</v>
      </c>
      <c r="B800" s="11">
        <f>dataset_1!B575</f>
        <v>40569</v>
      </c>
      <c r="C800" s="10">
        <f>dataset_1!C575</f>
        <v>1</v>
      </c>
      <c r="D800" s="10">
        <f>dataset_1!D575</f>
        <v>0</v>
      </c>
      <c r="E800" s="10">
        <f>dataset_1!E575</f>
        <v>1</v>
      </c>
      <c r="F800" s="10">
        <f>dataset_1!F575</f>
        <v>2</v>
      </c>
      <c r="G800" s="10" t="b">
        <f>dataset_1!G575</f>
        <v>0</v>
      </c>
      <c r="H800" s="10">
        <f>dataset_1!H575</f>
        <v>3</v>
      </c>
      <c r="I800" s="10">
        <f>dataset_1!I575</f>
        <v>3</v>
      </c>
      <c r="J800" s="10">
        <f>dataset_1!J575</f>
        <v>0.22</v>
      </c>
      <c r="K800" s="10">
        <f>VLOOKUP(A800,dataset_2!$A$2:$G$611,2,0)</f>
        <v>0.2273</v>
      </c>
      <c r="L800" s="10">
        <f>VLOOKUP(A800,dataset_2!$A$2:$G$611,3,0)</f>
        <v>0.69</v>
      </c>
      <c r="M800" s="10">
        <f>VLOOKUP(A800,dataset_2!$A$2:$G$611,4,0)</f>
        <v>0.194</v>
      </c>
      <c r="N800" s="10">
        <f>VLOOKUP(A800,dataset_2!$A$2:$G$611,5,0)</f>
        <v>3</v>
      </c>
      <c r="O800" s="10">
        <f>VLOOKUP(A800,dataset_2!$A$2:$G$611,6,0)</f>
        <v>7</v>
      </c>
      <c r="P800" s="10">
        <f>VLOOKUP(A800,dataset_2!$A$2:$G$611,7,0)</f>
        <v>10</v>
      </c>
      <c r="Q800" s="10"/>
      <c r="R800" s="10"/>
      <c r="S800" s="10"/>
      <c r="T800" s="10"/>
      <c r="U800" s="10">
        <f t="shared" si="4"/>
        <v>1</v>
      </c>
      <c r="V800" s="10"/>
      <c r="W800" s="10"/>
      <c r="X800" s="10"/>
      <c r="Y800" s="10"/>
      <c r="Z800" s="10"/>
    </row>
    <row r="801" ht="13.5" customHeight="1">
      <c r="A801" s="3">
        <v>790.0</v>
      </c>
      <c r="B801" s="12">
        <v>40579.0</v>
      </c>
      <c r="C801" s="3">
        <v>1.0</v>
      </c>
      <c r="D801" s="3">
        <v>0.0</v>
      </c>
      <c r="E801" s="3">
        <v>2.0</v>
      </c>
      <c r="F801" s="3">
        <v>8.0</v>
      </c>
      <c r="G801" s="3" t="b">
        <f t="shared" ref="G801:G804" si="87">FALSE()</f>
        <v>0</v>
      </c>
      <c r="H801" s="3">
        <v>6.0</v>
      </c>
      <c r="I801" s="3">
        <v>3.0</v>
      </c>
      <c r="J801" s="3">
        <v>0.2</v>
      </c>
      <c r="K801" s="3">
        <v>0.2273</v>
      </c>
      <c r="L801" s="3">
        <v>1.0</v>
      </c>
      <c r="M801" s="3">
        <v>0.0896</v>
      </c>
      <c r="N801" s="3">
        <v>0.0</v>
      </c>
      <c r="O801" s="3">
        <v>10.0</v>
      </c>
      <c r="P801" s="3">
        <v>10.0</v>
      </c>
      <c r="Q801" s="10"/>
      <c r="R801" s="10"/>
      <c r="S801" s="10"/>
      <c r="T801" s="10"/>
      <c r="U801" s="10">
        <f t="shared" si="4"/>
        <v>1</v>
      </c>
      <c r="V801" s="10"/>
      <c r="W801" s="10"/>
      <c r="X801" s="10"/>
      <c r="Y801" s="10"/>
      <c r="Z801" s="10"/>
    </row>
    <row r="802" ht="13.5" customHeight="1">
      <c r="A802" s="3">
        <v>835.0</v>
      </c>
      <c r="B802" s="12">
        <v>40581.0</v>
      </c>
      <c r="C802" s="3">
        <v>1.0</v>
      </c>
      <c r="D802" s="3">
        <v>0.0</v>
      </c>
      <c r="E802" s="3">
        <v>2.0</v>
      </c>
      <c r="F802" s="3">
        <v>5.0</v>
      </c>
      <c r="G802" s="3" t="b">
        <f t="shared" si="87"/>
        <v>0</v>
      </c>
      <c r="H802" s="3">
        <v>1.0</v>
      </c>
      <c r="I802" s="3">
        <v>1.0</v>
      </c>
      <c r="J802" s="3">
        <v>0.2</v>
      </c>
      <c r="K802" s="3">
        <v>0.2576</v>
      </c>
      <c r="L802" s="3">
        <v>0.86</v>
      </c>
      <c r="M802" s="3">
        <v>0.0</v>
      </c>
      <c r="N802" s="3">
        <v>1.0</v>
      </c>
      <c r="O802" s="3">
        <v>9.0</v>
      </c>
      <c r="P802" s="3">
        <v>10.0</v>
      </c>
      <c r="Q802" s="10"/>
      <c r="R802" s="10"/>
      <c r="S802" s="10"/>
      <c r="T802" s="10"/>
      <c r="U802" s="10">
        <f t="shared" si="4"/>
        <v>1</v>
      </c>
      <c r="V802" s="10"/>
      <c r="W802" s="10"/>
      <c r="X802" s="10"/>
      <c r="Y802" s="10"/>
      <c r="Z802" s="10"/>
    </row>
    <row r="803" ht="13.5" customHeight="1">
      <c r="A803" s="3">
        <v>854.0</v>
      </c>
      <c r="B803" s="12">
        <v>40582.0</v>
      </c>
      <c r="C803" s="3">
        <v>1.0</v>
      </c>
      <c r="D803" s="3">
        <v>0.0</v>
      </c>
      <c r="E803" s="3">
        <v>2.0</v>
      </c>
      <c r="F803" s="3">
        <v>0.0</v>
      </c>
      <c r="G803" s="3" t="b">
        <f t="shared" si="87"/>
        <v>0</v>
      </c>
      <c r="H803" s="3">
        <v>2.0</v>
      </c>
      <c r="I803" s="3">
        <v>2.0</v>
      </c>
      <c r="J803" s="3">
        <v>0.28</v>
      </c>
      <c r="K803" s="3">
        <v>0.3182</v>
      </c>
      <c r="L803" s="3">
        <v>0.87</v>
      </c>
      <c r="M803" s="3">
        <v>0.0</v>
      </c>
      <c r="N803" s="3">
        <v>4.0</v>
      </c>
      <c r="O803" s="3">
        <v>6.0</v>
      </c>
      <c r="P803" s="3">
        <v>10.0</v>
      </c>
      <c r="Q803" s="10"/>
      <c r="R803" s="10"/>
      <c r="S803" s="10"/>
      <c r="T803" s="10"/>
      <c r="U803" s="10">
        <f t="shared" si="4"/>
        <v>1</v>
      </c>
      <c r="V803" s="10"/>
      <c r="W803" s="10"/>
      <c r="X803" s="10"/>
      <c r="Y803" s="10"/>
      <c r="Z803" s="10"/>
    </row>
    <row r="804" ht="13.5" customHeight="1">
      <c r="A804" s="3">
        <v>949.0</v>
      </c>
      <c r="B804" s="12">
        <v>40586.0</v>
      </c>
      <c r="C804" s="3">
        <v>1.0</v>
      </c>
      <c r="D804" s="3">
        <v>0.0</v>
      </c>
      <c r="E804" s="3">
        <v>2.0</v>
      </c>
      <c r="F804" s="3">
        <v>3.0</v>
      </c>
      <c r="G804" s="3" t="b">
        <f t="shared" si="87"/>
        <v>0</v>
      </c>
      <c r="H804" s="3">
        <v>6.0</v>
      </c>
      <c r="I804" s="3">
        <v>1.0</v>
      </c>
      <c r="J804" s="3">
        <v>0.12</v>
      </c>
      <c r="K804" s="3">
        <v>0.197</v>
      </c>
      <c r="L804" s="3">
        <v>0.8</v>
      </c>
      <c r="M804" s="3">
        <v>0.0</v>
      </c>
      <c r="N804" s="3">
        <v>3.0</v>
      </c>
      <c r="O804" s="3">
        <v>7.0</v>
      </c>
      <c r="P804" s="3">
        <v>10.0</v>
      </c>
      <c r="Q804" s="10"/>
      <c r="R804" s="10"/>
      <c r="S804" s="10"/>
      <c r="T804" s="10"/>
      <c r="U804" s="10">
        <f t="shared" si="4"/>
        <v>1</v>
      </c>
      <c r="V804" s="10"/>
      <c r="W804" s="10"/>
      <c r="X804" s="10"/>
      <c r="Y804" s="10"/>
      <c r="Z804" s="10"/>
    </row>
    <row r="805" ht="13.5" customHeight="1">
      <c r="A805" s="10">
        <f>dataset_1!A28</f>
        <v>27</v>
      </c>
      <c r="B805" s="11">
        <f>dataset_1!B28</f>
        <v>40545</v>
      </c>
      <c r="C805" s="10">
        <f>dataset_1!C28</f>
        <v>1</v>
      </c>
      <c r="D805" s="10">
        <f>dataset_1!D28</f>
        <v>0</v>
      </c>
      <c r="E805" s="10">
        <f>dataset_1!E28</f>
        <v>1</v>
      </c>
      <c r="F805" s="10">
        <f>dataset_1!F28</f>
        <v>2</v>
      </c>
      <c r="G805" s="10" t="b">
        <f>dataset_1!G28</f>
        <v>0</v>
      </c>
      <c r="H805" s="10">
        <f>dataset_1!H28</f>
        <v>0</v>
      </c>
      <c r="I805" s="10">
        <f>dataset_1!I28</f>
        <v>2</v>
      </c>
      <c r="J805" s="10">
        <f>dataset_1!J28</f>
        <v>0.42</v>
      </c>
      <c r="K805" s="10">
        <f>VLOOKUP(A805,dataset_2!$A$2:$G$611,2,0)</f>
        <v>0.4242</v>
      </c>
      <c r="L805" s="10">
        <f>VLOOKUP(A805,dataset_2!$A$2:$G$611,3,0)</f>
        <v>1</v>
      </c>
      <c r="M805" s="10">
        <f>VLOOKUP(A805,dataset_2!$A$2:$G$611,4,0)</f>
        <v>0.2836</v>
      </c>
      <c r="N805" s="10">
        <f>VLOOKUP(A805,dataset_2!$A$2:$G$611,5,0)</f>
        <v>1</v>
      </c>
      <c r="O805" s="10">
        <f>VLOOKUP(A805,dataset_2!$A$2:$G$611,6,0)</f>
        <v>8</v>
      </c>
      <c r="P805" s="10">
        <f>VLOOKUP(A805,dataset_2!$A$2:$G$611,7,0)</f>
        <v>9</v>
      </c>
      <c r="Q805" s="10"/>
      <c r="R805" s="10"/>
      <c r="S805" s="10"/>
      <c r="T805" s="10"/>
      <c r="U805" s="10">
        <f t="shared" si="4"/>
        <v>1</v>
      </c>
      <c r="V805" s="10"/>
      <c r="W805" s="10"/>
      <c r="X805" s="10"/>
      <c r="Y805" s="10"/>
      <c r="Z805" s="10"/>
    </row>
    <row r="806" ht="13.5" customHeight="1">
      <c r="A806" s="10">
        <f>dataset_1!A47</f>
        <v>46</v>
      </c>
      <c r="B806" s="11">
        <f>dataset_1!B47</f>
        <v>40545</v>
      </c>
      <c r="C806" s="10">
        <f>dataset_1!C47</f>
        <v>1</v>
      </c>
      <c r="D806" s="10">
        <f>dataset_1!D47</f>
        <v>0</v>
      </c>
      <c r="E806" s="10">
        <f>dataset_1!E47</f>
        <v>1</v>
      </c>
      <c r="F806" s="10">
        <f>dataset_1!F47</f>
        <v>22</v>
      </c>
      <c r="G806" s="10" t="b">
        <f>dataset_1!G47</f>
        <v>0</v>
      </c>
      <c r="H806" s="10">
        <f>dataset_1!H47</f>
        <v>0</v>
      </c>
      <c r="I806" s="10">
        <f>dataset_1!I47</f>
        <v>1</v>
      </c>
      <c r="J806" s="10">
        <f>dataset_1!J47</f>
        <v>0.24</v>
      </c>
      <c r="K806" s="10">
        <f>VLOOKUP(A806,dataset_2!$A$2:$G$611,2,0)</f>
        <v>0.2121</v>
      </c>
      <c r="L806" s="10">
        <f>VLOOKUP(A806,dataset_2!$A$2:$G$611,3,0)</f>
        <v>0.44</v>
      </c>
      <c r="M806" s="10">
        <f>VLOOKUP(A806,dataset_2!$A$2:$G$611,4,0)</f>
        <v>0.2985</v>
      </c>
      <c r="N806" s="10">
        <f>VLOOKUP(A806,dataset_2!$A$2:$G$611,5,0)</f>
        <v>0</v>
      </c>
      <c r="O806" s="10">
        <f>VLOOKUP(A806,dataset_2!$A$2:$G$611,6,0)</f>
        <v>9</v>
      </c>
      <c r="P806" s="10">
        <f>VLOOKUP(A806,dataset_2!$A$2:$G$611,7,0)</f>
        <v>9</v>
      </c>
      <c r="Q806" s="10"/>
      <c r="R806" s="10"/>
      <c r="S806" s="10"/>
      <c r="T806" s="10"/>
      <c r="U806" s="10">
        <f t="shared" si="4"/>
        <v>1</v>
      </c>
      <c r="V806" s="10"/>
      <c r="W806" s="10"/>
      <c r="X806" s="10"/>
      <c r="Y806" s="10"/>
      <c r="Z806" s="10"/>
    </row>
    <row r="807" ht="13.5" customHeight="1">
      <c r="A807" s="10">
        <f>dataset_1!A170</f>
        <v>169</v>
      </c>
      <c r="B807" s="11">
        <f>dataset_1!B170</f>
        <v>40551</v>
      </c>
      <c r="C807" s="10">
        <f>dataset_1!C170</f>
        <v>1</v>
      </c>
      <c r="D807" s="10">
        <f>dataset_1!D170</f>
        <v>0</v>
      </c>
      <c r="E807" s="10">
        <f>dataset_1!E170</f>
        <v>1</v>
      </c>
      <c r="F807" s="10">
        <f>dataset_1!F170</f>
        <v>7</v>
      </c>
      <c r="G807" s="10" t="b">
        <f>dataset_1!G170</f>
        <v>0</v>
      </c>
      <c r="H807" s="10">
        <f>dataset_1!H170</f>
        <v>6</v>
      </c>
      <c r="I807" s="10">
        <f>dataset_1!I170</f>
        <v>2</v>
      </c>
      <c r="J807" s="10">
        <f>dataset_1!J170</f>
        <v>0.16</v>
      </c>
      <c r="K807" s="10">
        <f>VLOOKUP(A807,dataset_2!$A$2:$G$611,2,0)</f>
        <v>0.1818</v>
      </c>
      <c r="L807" s="10">
        <f>VLOOKUP(A807,dataset_2!$A$2:$G$611,3,0)</f>
        <v>0.74</v>
      </c>
      <c r="M807" s="10">
        <f>VLOOKUP(A807,dataset_2!$A$2:$G$611,4,0)</f>
        <v>0.1045</v>
      </c>
      <c r="N807" s="10">
        <f>VLOOKUP(A807,dataset_2!$A$2:$G$611,5,0)</f>
        <v>1</v>
      </c>
      <c r="O807" s="10">
        <f>VLOOKUP(A807,dataset_2!$A$2:$G$611,6,0)</f>
        <v>8</v>
      </c>
      <c r="P807" s="10">
        <f>VLOOKUP(A807,dataset_2!$A$2:$G$611,7,0)</f>
        <v>9</v>
      </c>
      <c r="Q807" s="10"/>
      <c r="R807" s="10"/>
      <c r="S807" s="10"/>
      <c r="T807" s="10"/>
      <c r="U807" s="10">
        <f t="shared" si="4"/>
        <v>1</v>
      </c>
      <c r="V807" s="10"/>
      <c r="W807" s="10"/>
      <c r="X807" s="10"/>
      <c r="Y807" s="10"/>
      <c r="Z807" s="10"/>
    </row>
    <row r="808" ht="13.5" customHeight="1">
      <c r="A808" s="10">
        <f>dataset_1!A550</f>
        <v>549</v>
      </c>
      <c r="B808" s="11">
        <f>dataset_1!B550</f>
        <v>40568</v>
      </c>
      <c r="C808" s="10">
        <f>dataset_1!C550</f>
        <v>1</v>
      </c>
      <c r="D808" s="10">
        <f>dataset_1!D550</f>
        <v>0</v>
      </c>
      <c r="E808" s="10">
        <f>dataset_1!E550</f>
        <v>1</v>
      </c>
      <c r="F808" s="10">
        <f>dataset_1!F550</f>
        <v>0</v>
      </c>
      <c r="G808" s="10" t="b">
        <f>dataset_1!G550</f>
        <v>0</v>
      </c>
      <c r="H808" s="10">
        <f>dataset_1!H550</f>
        <v>2</v>
      </c>
      <c r="I808" s="10">
        <f>dataset_1!I550</f>
        <v>2</v>
      </c>
      <c r="J808" s="10">
        <f>dataset_1!J550</f>
        <v>0.16</v>
      </c>
      <c r="K808" s="10">
        <f>VLOOKUP(A808,dataset_2!$A$2:$G$611,2,0)</f>
        <v>0.1364</v>
      </c>
      <c r="L808" s="10">
        <f>VLOOKUP(A808,dataset_2!$A$2:$G$611,3,0)</f>
        <v>0.69</v>
      </c>
      <c r="M808" s="10">
        <f>VLOOKUP(A808,dataset_2!$A$2:$G$611,4,0)</f>
        <v>0.2836</v>
      </c>
      <c r="N808" s="10">
        <f>VLOOKUP(A808,dataset_2!$A$2:$G$611,5,0)</f>
        <v>3</v>
      </c>
      <c r="O808" s="10">
        <f>VLOOKUP(A808,dataset_2!$A$2:$G$611,6,0)</f>
        <v>6</v>
      </c>
      <c r="P808" s="10">
        <f>VLOOKUP(A808,dataset_2!$A$2:$G$611,7,0)</f>
        <v>9</v>
      </c>
      <c r="Q808" s="10"/>
      <c r="R808" s="10"/>
      <c r="S808" s="10"/>
      <c r="T808" s="10"/>
      <c r="U808" s="10">
        <f t="shared" si="4"/>
        <v>1</v>
      </c>
      <c r="V808" s="10"/>
      <c r="W808" s="10"/>
      <c r="X808" s="10"/>
      <c r="Y808" s="10"/>
      <c r="Z808" s="10"/>
    </row>
    <row r="809" ht="13.5" customHeight="1">
      <c r="A809" s="10">
        <f>dataset_1!A554</f>
        <v>553</v>
      </c>
      <c r="B809" s="11">
        <f>dataset_1!B554</f>
        <v>40568</v>
      </c>
      <c r="C809" s="10">
        <f>dataset_1!C554</f>
        <v>1</v>
      </c>
      <c r="D809" s="10">
        <f>dataset_1!D554</f>
        <v>0</v>
      </c>
      <c r="E809" s="10">
        <f>dataset_1!E554</f>
        <v>1</v>
      </c>
      <c r="F809" s="10">
        <f>dataset_1!F554</f>
        <v>5</v>
      </c>
      <c r="G809" s="10" t="b">
        <f>dataset_1!G554</f>
        <v>0</v>
      </c>
      <c r="H809" s="10">
        <f>dataset_1!H554</f>
        <v>2</v>
      </c>
      <c r="I809" s="10">
        <f>dataset_1!I554</f>
        <v>1</v>
      </c>
      <c r="J809" s="10">
        <f>dataset_1!J554</f>
        <v>0.14</v>
      </c>
      <c r="K809" s="10">
        <f>VLOOKUP(A809,dataset_2!$A$2:$G$611,2,0)</f>
        <v>0.1364</v>
      </c>
      <c r="L809" s="10">
        <f>VLOOKUP(A809,dataset_2!$A$2:$G$611,3,0)</f>
        <v>0.74</v>
      </c>
      <c r="M809" s="10">
        <f>VLOOKUP(A809,dataset_2!$A$2:$G$611,4,0)</f>
        <v>0.2239</v>
      </c>
      <c r="N809" s="10">
        <f>VLOOKUP(A809,dataset_2!$A$2:$G$611,5,0)</f>
        <v>0</v>
      </c>
      <c r="O809" s="10">
        <f>VLOOKUP(A809,dataset_2!$A$2:$G$611,6,0)</f>
        <v>9</v>
      </c>
      <c r="P809" s="10">
        <f>VLOOKUP(A809,dataset_2!$A$2:$G$611,7,0)</f>
        <v>9</v>
      </c>
      <c r="Q809" s="10"/>
      <c r="R809" s="10"/>
      <c r="S809" s="10"/>
      <c r="T809" s="10"/>
      <c r="U809" s="10">
        <f t="shared" si="4"/>
        <v>1</v>
      </c>
      <c r="V809" s="10"/>
      <c r="W809" s="10"/>
      <c r="X809" s="10"/>
      <c r="Y809" s="10"/>
      <c r="Z809" s="10"/>
    </row>
    <row r="810" ht="13.5" customHeight="1">
      <c r="A810" s="10">
        <f>dataset_1!A597</f>
        <v>596</v>
      </c>
      <c r="B810" s="11">
        <f>dataset_1!B597</f>
        <v>40571</v>
      </c>
      <c r="C810" s="10">
        <f>dataset_1!C597</f>
        <v>1</v>
      </c>
      <c r="D810" s="10">
        <f>dataset_1!D597</f>
        <v>0</v>
      </c>
      <c r="E810" s="10">
        <f>dataset_1!E597</f>
        <v>1</v>
      </c>
      <c r="F810" s="10">
        <f>dataset_1!F597</f>
        <v>0</v>
      </c>
      <c r="G810" s="10" t="b">
        <f>dataset_1!G597</f>
        <v>0</v>
      </c>
      <c r="H810" s="10">
        <f>dataset_1!H597</f>
        <v>5</v>
      </c>
      <c r="I810" s="10">
        <f>dataset_1!I597</f>
        <v>2</v>
      </c>
      <c r="J810" s="10">
        <f>dataset_1!J597</f>
        <v>0.2</v>
      </c>
      <c r="K810" s="10">
        <f>VLOOKUP(A810,dataset_2!$A$2:$G$611,2,0)</f>
        <v>0.2121</v>
      </c>
      <c r="L810" s="10">
        <f>VLOOKUP(A810,dataset_2!$A$2:$G$611,3,0)</f>
        <v>0.75</v>
      </c>
      <c r="M810" s="10">
        <f>VLOOKUP(A810,dataset_2!$A$2:$G$611,4,0)</f>
        <v>0.1343</v>
      </c>
      <c r="N810" s="10">
        <f>VLOOKUP(A810,dataset_2!$A$2:$G$611,5,0)</f>
        <v>0</v>
      </c>
      <c r="O810" s="10">
        <f>VLOOKUP(A810,dataset_2!$A$2:$G$611,6,0)</f>
        <v>9</v>
      </c>
      <c r="P810" s="10">
        <f>VLOOKUP(A810,dataset_2!$A$2:$G$611,7,0)</f>
        <v>9</v>
      </c>
      <c r="Q810" s="10"/>
      <c r="R810" s="10"/>
      <c r="S810" s="10"/>
      <c r="T810" s="10"/>
      <c r="U810" s="10">
        <f t="shared" si="4"/>
        <v>1</v>
      </c>
      <c r="V810" s="10"/>
      <c r="W810" s="10"/>
      <c r="X810" s="10"/>
      <c r="Y810" s="10"/>
      <c r="Z810" s="10"/>
    </row>
    <row r="811" ht="13.5" customHeight="1">
      <c r="A811" s="3">
        <v>787.0</v>
      </c>
      <c r="B811" s="12">
        <v>40579.0</v>
      </c>
      <c r="C811" s="3">
        <v>1.0</v>
      </c>
      <c r="D811" s="3">
        <v>0.0</v>
      </c>
      <c r="E811" s="3">
        <v>2.0</v>
      </c>
      <c r="F811" s="3">
        <v>5.0</v>
      </c>
      <c r="G811" s="3" t="b">
        <f>FALSE()</f>
        <v>0</v>
      </c>
      <c r="H811" s="3">
        <v>6.0</v>
      </c>
      <c r="I811" s="3">
        <v>3.0</v>
      </c>
      <c r="J811" s="3">
        <v>0.2</v>
      </c>
      <c r="K811" s="3">
        <v>0.2273</v>
      </c>
      <c r="L811" s="3">
        <v>1.0</v>
      </c>
      <c r="M811" s="3">
        <v>0.0896</v>
      </c>
      <c r="N811" s="3">
        <v>0.0</v>
      </c>
      <c r="O811" s="3">
        <v>9.0</v>
      </c>
      <c r="P811" s="3">
        <v>9.0</v>
      </c>
      <c r="Q811" s="10"/>
      <c r="R811" s="10"/>
      <c r="S811" s="10"/>
      <c r="T811" s="10"/>
      <c r="U811" s="10">
        <f t="shared" si="4"/>
        <v>1</v>
      </c>
      <c r="V811" s="10"/>
      <c r="W811" s="10"/>
      <c r="X811" s="10"/>
      <c r="Y811" s="10"/>
      <c r="Z811" s="10"/>
    </row>
    <row r="812" ht="13.5" customHeight="1">
      <c r="A812" s="10">
        <f>dataset_1!A10</f>
        <v>9</v>
      </c>
      <c r="B812" s="11">
        <f>dataset_1!B10</f>
        <v>40544</v>
      </c>
      <c r="C812" s="10">
        <f>dataset_1!C10</f>
        <v>1</v>
      </c>
      <c r="D812" s="10">
        <f>dataset_1!D10</f>
        <v>0</v>
      </c>
      <c r="E812" s="10">
        <f>dataset_1!E10</f>
        <v>1</v>
      </c>
      <c r="F812" s="10">
        <f>dataset_1!F10</f>
        <v>8</v>
      </c>
      <c r="G812" s="10" t="b">
        <f>dataset_1!G10</f>
        <v>0</v>
      </c>
      <c r="H812" s="10">
        <f>dataset_1!H10</f>
        <v>6</v>
      </c>
      <c r="I812" s="10">
        <f>dataset_1!I10</f>
        <v>1</v>
      </c>
      <c r="J812" s="10">
        <f>dataset_1!J10</f>
        <v>0.24</v>
      </c>
      <c r="K812" s="10" t="str">
        <f>VLOOKUP(A812,dataset_2!$A$2:$G$611,2,0)</f>
        <v/>
      </c>
      <c r="L812" s="10">
        <f>VLOOKUP(A812,dataset_2!$A$2:$G$611,3,0)</f>
        <v>0.75</v>
      </c>
      <c r="M812" s="10">
        <f>VLOOKUP(A812,dataset_2!$A$2:$G$611,4,0)</f>
        <v>0</v>
      </c>
      <c r="N812" s="10">
        <f>VLOOKUP(A812,dataset_2!$A$2:$G$611,5,0)</f>
        <v>1</v>
      </c>
      <c r="O812" s="10">
        <f>VLOOKUP(A812,dataset_2!$A$2:$G$611,6,0)</f>
        <v>7</v>
      </c>
      <c r="P812" s="10">
        <f>VLOOKUP(A812,dataset_2!$A$2:$G$611,7,0)</f>
        <v>8</v>
      </c>
      <c r="Q812" s="10"/>
      <c r="R812" s="10"/>
      <c r="S812" s="10"/>
      <c r="T812" s="10"/>
      <c r="U812" s="10">
        <f t="shared" si="4"/>
        <v>1</v>
      </c>
      <c r="V812" s="10"/>
      <c r="W812" s="10"/>
      <c r="X812" s="10"/>
      <c r="Y812" s="10"/>
      <c r="Z812" s="10"/>
    </row>
    <row r="813" ht="13.5" customHeight="1">
      <c r="A813" s="10">
        <f>dataset_1!A33</f>
        <v>32</v>
      </c>
      <c r="B813" s="11">
        <f>dataset_1!B33</f>
        <v>40545</v>
      </c>
      <c r="C813" s="10">
        <f>dataset_1!C33</f>
        <v>1</v>
      </c>
      <c r="D813" s="10">
        <f>dataset_1!D33</f>
        <v>0</v>
      </c>
      <c r="E813" s="10">
        <f>dataset_1!E33</f>
        <v>1</v>
      </c>
      <c r="F813" s="10">
        <f>dataset_1!F33</f>
        <v>8</v>
      </c>
      <c r="G813" s="10" t="b">
        <f>dataset_1!G33</f>
        <v>0</v>
      </c>
      <c r="H813" s="10">
        <f>dataset_1!H33</f>
        <v>0</v>
      </c>
      <c r="I813" s="10">
        <f>dataset_1!I33</f>
        <v>3</v>
      </c>
      <c r="J813" s="10">
        <f>dataset_1!J33</f>
        <v>0.4</v>
      </c>
      <c r="K813" s="10">
        <f>VLOOKUP(A813,dataset_2!$A$2:$G$611,2,0)</f>
        <v>0.4091</v>
      </c>
      <c r="L813" s="10">
        <f>VLOOKUP(A813,dataset_2!$A$2:$G$611,3,0)</f>
        <v>0.71</v>
      </c>
      <c r="M813" s="10">
        <f>VLOOKUP(A813,dataset_2!$A$2:$G$611,4,0)</f>
        <v>0.2239</v>
      </c>
      <c r="N813" s="10">
        <f>VLOOKUP(A813,dataset_2!$A$2:$G$611,5,0)</f>
        <v>0</v>
      </c>
      <c r="O813" s="10">
        <f>VLOOKUP(A813,dataset_2!$A$2:$G$611,6,0)</f>
        <v>8</v>
      </c>
      <c r="P813" s="10">
        <f>VLOOKUP(A813,dataset_2!$A$2:$G$611,7,0)</f>
        <v>8</v>
      </c>
      <c r="Q813" s="10"/>
      <c r="R813" s="10"/>
      <c r="S813" s="10"/>
      <c r="T813" s="10"/>
      <c r="U813" s="10">
        <f t="shared" si="4"/>
        <v>1</v>
      </c>
      <c r="V813" s="10"/>
      <c r="W813" s="10"/>
      <c r="X813" s="10"/>
      <c r="Y813" s="10"/>
      <c r="Z813" s="10"/>
    </row>
    <row r="814" ht="13.5" customHeight="1">
      <c r="A814" s="10">
        <f>dataset_1!A48</f>
        <v>47</v>
      </c>
      <c r="B814" s="11">
        <f>dataset_1!B48</f>
        <v>40545</v>
      </c>
      <c r="C814" s="10">
        <f>dataset_1!C48</f>
        <v>1</v>
      </c>
      <c r="D814" s="10">
        <f>dataset_1!D48</f>
        <v>0</v>
      </c>
      <c r="E814" s="10">
        <f>dataset_1!E48</f>
        <v>1</v>
      </c>
      <c r="F814" s="10">
        <f>dataset_1!F48</f>
        <v>23</v>
      </c>
      <c r="G814" s="10" t="b">
        <f>dataset_1!G48</f>
        <v>0</v>
      </c>
      <c r="H814" s="10">
        <f>dataset_1!H48</f>
        <v>0</v>
      </c>
      <c r="I814" s="10">
        <f>dataset_1!I48</f>
        <v>1</v>
      </c>
      <c r="J814" s="10">
        <f>dataset_1!J48</f>
        <v>0.22</v>
      </c>
      <c r="K814" s="10">
        <f>VLOOKUP(A814,dataset_2!$A$2:$G$611,2,0)</f>
        <v>0.2273</v>
      </c>
      <c r="L814" s="10">
        <f>VLOOKUP(A814,dataset_2!$A$2:$G$611,3,0)</f>
        <v>0.47</v>
      </c>
      <c r="M814" s="10">
        <f>VLOOKUP(A814,dataset_2!$A$2:$G$611,4,0)</f>
        <v>0.1642</v>
      </c>
      <c r="N814" s="10">
        <f>VLOOKUP(A814,dataset_2!$A$2:$G$611,5,0)</f>
        <v>0</v>
      </c>
      <c r="O814" s="10">
        <f>VLOOKUP(A814,dataset_2!$A$2:$G$611,6,0)</f>
        <v>8</v>
      </c>
      <c r="P814" s="10">
        <f>VLOOKUP(A814,dataset_2!$A$2:$G$611,7,0)</f>
        <v>8</v>
      </c>
      <c r="Q814" s="10"/>
      <c r="R814" s="10"/>
      <c r="S814" s="10"/>
      <c r="T814" s="10"/>
      <c r="U814" s="10">
        <f t="shared" si="4"/>
        <v>1</v>
      </c>
      <c r="V814" s="10"/>
      <c r="W814" s="10"/>
      <c r="X814" s="10"/>
      <c r="Y814" s="10"/>
      <c r="Z814" s="10"/>
    </row>
    <row r="815" ht="13.5" customHeight="1">
      <c r="A815" s="10">
        <f>dataset_1!A307</f>
        <v>306</v>
      </c>
      <c r="B815" s="11">
        <f>dataset_1!B307</f>
        <v>40557</v>
      </c>
      <c r="C815" s="10">
        <f>dataset_1!C307</f>
        <v>1</v>
      </c>
      <c r="D815" s="10">
        <f>dataset_1!D307</f>
        <v>0</v>
      </c>
      <c r="E815" s="10">
        <f>dataset_1!E307</f>
        <v>1</v>
      </c>
      <c r="F815" s="10">
        <f>dataset_1!F307</f>
        <v>5</v>
      </c>
      <c r="G815" s="10" t="b">
        <f>dataset_1!G307</f>
        <v>0</v>
      </c>
      <c r="H815" s="10">
        <f>dataset_1!H307</f>
        <v>5</v>
      </c>
      <c r="I815" s="10">
        <f>dataset_1!I307</f>
        <v>1</v>
      </c>
      <c r="J815" s="10">
        <f>dataset_1!J307</f>
        <v>0.1</v>
      </c>
      <c r="K815" s="10">
        <f>VLOOKUP(A815,dataset_2!$A$2:$G$611,2,0)</f>
        <v>0.1364</v>
      </c>
      <c r="L815" s="10">
        <f>VLOOKUP(A815,dataset_2!$A$2:$G$611,3,0)</f>
        <v>0.54</v>
      </c>
      <c r="M815" s="10">
        <f>VLOOKUP(A815,dataset_2!$A$2:$G$611,4,0)</f>
        <v>0.0896</v>
      </c>
      <c r="N815" s="10">
        <f>VLOOKUP(A815,dataset_2!$A$2:$G$611,5,0)</f>
        <v>0</v>
      </c>
      <c r="O815" s="10">
        <f>VLOOKUP(A815,dataset_2!$A$2:$G$611,6,0)</f>
        <v>8</v>
      </c>
      <c r="P815" s="10">
        <f>VLOOKUP(A815,dataset_2!$A$2:$G$611,7,0)</f>
        <v>8</v>
      </c>
      <c r="Q815" s="10"/>
      <c r="R815" s="10"/>
      <c r="S815" s="10"/>
      <c r="T815" s="10"/>
      <c r="U815" s="10">
        <f t="shared" si="4"/>
        <v>1</v>
      </c>
      <c r="V815" s="10"/>
      <c r="W815" s="10"/>
      <c r="X815" s="10"/>
      <c r="Y815" s="10"/>
      <c r="Z815" s="10"/>
    </row>
    <row r="816" ht="13.5" customHeight="1">
      <c r="A816" s="10">
        <f>dataset_1!A329</f>
        <v>328</v>
      </c>
      <c r="B816" s="11">
        <f>dataset_1!B329</f>
        <v>40558</v>
      </c>
      <c r="C816" s="10">
        <f>dataset_1!C329</f>
        <v>1</v>
      </c>
      <c r="D816" s="10">
        <f>dataset_1!D329</f>
        <v>0</v>
      </c>
      <c r="E816" s="10">
        <f>dataset_1!E329</f>
        <v>1</v>
      </c>
      <c r="F816" s="10">
        <f>dataset_1!F329</f>
        <v>3</v>
      </c>
      <c r="G816" s="10" t="b">
        <f>dataset_1!G329</f>
        <v>0</v>
      </c>
      <c r="H816" s="10">
        <f>dataset_1!H329</f>
        <v>6</v>
      </c>
      <c r="I816" s="10">
        <f>dataset_1!I329</f>
        <v>2</v>
      </c>
      <c r="J816" s="10">
        <f>dataset_1!J329</f>
        <v>0.16</v>
      </c>
      <c r="K816" s="10">
        <f>VLOOKUP(A816,dataset_2!$A$2:$G$611,2,0)</f>
        <v>0.2273</v>
      </c>
      <c r="L816" s="10">
        <f>VLOOKUP(A816,dataset_2!$A$2:$G$611,3,0)</f>
        <v>0.59</v>
      </c>
      <c r="M816" s="10">
        <f>VLOOKUP(A816,dataset_2!$A$2:$G$611,4,0)</f>
        <v>0</v>
      </c>
      <c r="N816" s="10">
        <f>VLOOKUP(A816,dataset_2!$A$2:$G$611,5,0)</f>
        <v>1</v>
      </c>
      <c r="O816" s="10">
        <f>VLOOKUP(A816,dataset_2!$A$2:$G$611,6,0)</f>
        <v>7</v>
      </c>
      <c r="P816" s="10">
        <f>VLOOKUP(A816,dataset_2!$A$2:$G$611,7,0)</f>
        <v>8</v>
      </c>
      <c r="Q816" s="10"/>
      <c r="R816" s="10"/>
      <c r="S816" s="10"/>
      <c r="T816" s="10"/>
      <c r="U816" s="10">
        <f t="shared" si="4"/>
        <v>1</v>
      </c>
      <c r="V816" s="10"/>
      <c r="W816" s="10"/>
      <c r="X816" s="10"/>
      <c r="Y816" s="10"/>
      <c r="Z816" s="10"/>
    </row>
    <row r="817" ht="13.5" customHeight="1">
      <c r="A817" s="10">
        <f>dataset_1!A376</f>
        <v>375</v>
      </c>
      <c r="B817" s="11">
        <f>dataset_1!B376</f>
        <v>40560</v>
      </c>
      <c r="C817" s="10">
        <f>dataset_1!C376</f>
        <v>1</v>
      </c>
      <c r="D817" s="10">
        <f>dataset_1!D376</f>
        <v>0</v>
      </c>
      <c r="E817" s="10">
        <f>dataset_1!E376</f>
        <v>1</v>
      </c>
      <c r="F817" s="10">
        <f>dataset_1!F376</f>
        <v>2</v>
      </c>
      <c r="G817" s="10" t="b">
        <f>dataset_1!G376</f>
        <v>1</v>
      </c>
      <c r="H817" s="10">
        <f>dataset_1!H376</f>
        <v>1</v>
      </c>
      <c r="I817" s="10">
        <f>dataset_1!I376</f>
        <v>2</v>
      </c>
      <c r="J817" s="10">
        <f>dataset_1!J376</f>
        <v>0.18</v>
      </c>
      <c r="K817" s="10">
        <f>VLOOKUP(A817,dataset_2!$A$2:$G$611,2,0)</f>
        <v>0.1667</v>
      </c>
      <c r="L817" s="10">
        <f>VLOOKUP(A817,dataset_2!$A$2:$G$611,3,0)</f>
        <v>0.43</v>
      </c>
      <c r="M817" s="10">
        <f>VLOOKUP(A817,dataset_2!$A$2:$G$611,4,0)</f>
        <v>0.2537</v>
      </c>
      <c r="N817" s="10">
        <f>VLOOKUP(A817,dataset_2!$A$2:$G$611,5,0)</f>
        <v>0</v>
      </c>
      <c r="O817" s="10">
        <f>VLOOKUP(A817,dataset_2!$A$2:$G$611,6,0)</f>
        <v>8</v>
      </c>
      <c r="P817" s="10">
        <f>VLOOKUP(A817,dataset_2!$A$2:$G$611,7,0)</f>
        <v>8</v>
      </c>
      <c r="Q817" s="10"/>
      <c r="R817" s="10"/>
      <c r="S817" s="10"/>
      <c r="T817" s="10"/>
      <c r="U817" s="10">
        <f t="shared" si="4"/>
        <v>1</v>
      </c>
      <c r="V817" s="10"/>
      <c r="W817" s="10"/>
      <c r="X817" s="10"/>
      <c r="Y817" s="10"/>
      <c r="Z817" s="10"/>
    </row>
    <row r="818" ht="13.5" customHeight="1">
      <c r="A818" s="10">
        <f>dataset_1!A487</f>
        <v>486</v>
      </c>
      <c r="B818" s="11">
        <f>dataset_1!B487</f>
        <v>40565</v>
      </c>
      <c r="C818" s="10">
        <f>dataset_1!C487</f>
        <v>1</v>
      </c>
      <c r="D818" s="10">
        <f>dataset_1!D487</f>
        <v>0</v>
      </c>
      <c r="E818" s="10">
        <f>dataset_1!E487</f>
        <v>1</v>
      </c>
      <c r="F818" s="10">
        <f>dataset_1!F487</f>
        <v>7</v>
      </c>
      <c r="G818" s="10" t="b">
        <f>dataset_1!G487</f>
        <v>0</v>
      </c>
      <c r="H818" s="10">
        <f>dataset_1!H487</f>
        <v>6</v>
      </c>
      <c r="I818" s="10">
        <f>dataset_1!I487</f>
        <v>1</v>
      </c>
      <c r="J818" s="10">
        <f>dataset_1!J487</f>
        <v>0.02</v>
      </c>
      <c r="K818" s="10">
        <f>VLOOKUP(A818,dataset_2!$A$2:$G$611,2,0)</f>
        <v>0.0152</v>
      </c>
      <c r="L818" s="10">
        <f>VLOOKUP(A818,dataset_2!$A$2:$G$611,3,0)</f>
        <v>0.44</v>
      </c>
      <c r="M818" s="10">
        <f>VLOOKUP(A818,dataset_2!$A$2:$G$611,4,0)</f>
        <v>0.2836</v>
      </c>
      <c r="N818" s="10">
        <f>VLOOKUP(A818,dataset_2!$A$2:$G$611,5,0)</f>
        <v>0</v>
      </c>
      <c r="O818" s="10">
        <f>VLOOKUP(A818,dataset_2!$A$2:$G$611,6,0)</f>
        <v>8</v>
      </c>
      <c r="P818" s="10">
        <f>VLOOKUP(A818,dataset_2!$A$2:$G$611,7,0)</f>
        <v>8</v>
      </c>
      <c r="Q818" s="10"/>
      <c r="R818" s="10"/>
      <c r="S818" s="10"/>
      <c r="T818" s="10"/>
      <c r="U818" s="10">
        <f t="shared" si="4"/>
        <v>1</v>
      </c>
      <c r="V818" s="10"/>
      <c r="W818" s="10"/>
      <c r="X818" s="10"/>
      <c r="Y818" s="10"/>
      <c r="Z818" s="10"/>
    </row>
    <row r="819" ht="13.5" customHeight="1">
      <c r="A819" s="10">
        <f>dataset_1!A577</f>
        <v>576</v>
      </c>
      <c r="B819" s="11">
        <f>dataset_1!B577</f>
        <v>40569</v>
      </c>
      <c r="C819" s="10">
        <f>dataset_1!C577</f>
        <v>1</v>
      </c>
      <c r="D819" s="10">
        <f>dataset_1!D577</f>
        <v>0</v>
      </c>
      <c r="E819" s="10">
        <f>dataset_1!E577</f>
        <v>1</v>
      </c>
      <c r="F819" s="10">
        <f>dataset_1!F577</f>
        <v>6</v>
      </c>
      <c r="G819" s="10" t="b">
        <f>dataset_1!G577</f>
        <v>0</v>
      </c>
      <c r="H819" s="10">
        <f>dataset_1!H577</f>
        <v>3</v>
      </c>
      <c r="I819" s="10">
        <f>dataset_1!I577</f>
        <v>3</v>
      </c>
      <c r="J819" s="10">
        <f>dataset_1!J577</f>
        <v>0.2</v>
      </c>
      <c r="K819" s="10">
        <f>VLOOKUP(A819,dataset_2!$A$2:$G$611,2,0)</f>
        <v>0.1818</v>
      </c>
      <c r="L819" s="10">
        <f>VLOOKUP(A819,dataset_2!$A$2:$G$611,3,0)</f>
        <v>0.86</v>
      </c>
      <c r="M819" s="10">
        <f>VLOOKUP(A819,dataset_2!$A$2:$G$611,4,0)</f>
        <v>0.2836</v>
      </c>
      <c r="N819" s="10">
        <f>VLOOKUP(A819,dataset_2!$A$2:$G$611,5,0)</f>
        <v>0</v>
      </c>
      <c r="O819" s="10">
        <f>VLOOKUP(A819,dataset_2!$A$2:$G$611,6,0)</f>
        <v>8</v>
      </c>
      <c r="P819" s="10">
        <f>VLOOKUP(A819,dataset_2!$A$2:$G$611,7,0)</f>
        <v>8</v>
      </c>
      <c r="Q819" s="10"/>
      <c r="R819" s="10"/>
      <c r="S819" s="10"/>
      <c r="T819" s="10"/>
      <c r="U819" s="10">
        <f t="shared" si="4"/>
        <v>1</v>
      </c>
      <c r="V819" s="10"/>
      <c r="W819" s="10"/>
      <c r="X819" s="10"/>
      <c r="Y819" s="10"/>
      <c r="Z819" s="10"/>
    </row>
    <row r="820" ht="13.5" customHeight="1">
      <c r="A820" s="3">
        <v>622.0</v>
      </c>
      <c r="B820" s="12">
        <v>40572.0</v>
      </c>
      <c r="C820" s="3">
        <v>1.0</v>
      </c>
      <c r="D820" s="3">
        <v>0.0</v>
      </c>
      <c r="E820" s="3">
        <v>1.0</v>
      </c>
      <c r="F820" s="3">
        <v>3.0</v>
      </c>
      <c r="G820" s="3" t="b">
        <f t="shared" ref="G820:G825" si="88">FALSE()</f>
        <v>0</v>
      </c>
      <c r="H820" s="3">
        <v>6.0</v>
      </c>
      <c r="I820" s="3">
        <v>1.0</v>
      </c>
      <c r="J820" s="3">
        <v>0.2</v>
      </c>
      <c r="K820" s="3">
        <v>0.2121</v>
      </c>
      <c r="L820" s="3">
        <v>0.64</v>
      </c>
      <c r="M820" s="3">
        <v>0.1343</v>
      </c>
      <c r="N820" s="3">
        <v>3.0</v>
      </c>
      <c r="O820" s="3">
        <v>5.0</v>
      </c>
      <c r="P820" s="3">
        <v>8.0</v>
      </c>
      <c r="Q820" s="10"/>
      <c r="R820" s="10"/>
      <c r="S820" s="10"/>
      <c r="T820" s="10"/>
      <c r="U820" s="10">
        <f t="shared" si="4"/>
        <v>1</v>
      </c>
      <c r="V820" s="10"/>
      <c r="W820" s="10"/>
      <c r="X820" s="10"/>
      <c r="Y820" s="10"/>
      <c r="Z820" s="10"/>
    </row>
    <row r="821" ht="13.5" customHeight="1">
      <c r="A821" s="3">
        <v>645.0</v>
      </c>
      <c r="B821" s="12">
        <v>40573.0</v>
      </c>
      <c r="C821" s="3">
        <v>1.0</v>
      </c>
      <c r="D821" s="3">
        <v>0.0</v>
      </c>
      <c r="E821" s="3">
        <v>1.0</v>
      </c>
      <c r="F821" s="3">
        <v>3.0</v>
      </c>
      <c r="G821" s="3" t="b">
        <f t="shared" si="88"/>
        <v>0</v>
      </c>
      <c r="H821" s="3">
        <v>0.0</v>
      </c>
      <c r="I821" s="3">
        <v>1.0</v>
      </c>
      <c r="J821" s="3">
        <v>0.14</v>
      </c>
      <c r="K821" s="3">
        <v>0.2121</v>
      </c>
      <c r="L821" s="3">
        <v>0.93</v>
      </c>
      <c r="M821" s="3">
        <v>0.0</v>
      </c>
      <c r="N821" s="3">
        <v>1.0</v>
      </c>
      <c r="O821" s="3">
        <v>7.0</v>
      </c>
      <c r="P821" s="3">
        <v>8.0</v>
      </c>
      <c r="Q821" s="10"/>
      <c r="R821" s="10"/>
      <c r="S821" s="10"/>
      <c r="T821" s="10"/>
      <c r="U821" s="10">
        <f t="shared" si="4"/>
        <v>1</v>
      </c>
      <c r="V821" s="10"/>
      <c r="W821" s="10"/>
      <c r="X821" s="10"/>
      <c r="Y821" s="10"/>
      <c r="Z821" s="10"/>
    </row>
    <row r="822" ht="13.5" customHeight="1">
      <c r="A822" s="3">
        <v>670.0</v>
      </c>
      <c r="B822" s="12">
        <v>40574.0</v>
      </c>
      <c r="C822" s="3">
        <v>1.0</v>
      </c>
      <c r="D822" s="3">
        <v>0.0</v>
      </c>
      <c r="E822" s="3">
        <v>1.0</v>
      </c>
      <c r="F822" s="3">
        <v>5.0</v>
      </c>
      <c r="G822" s="3" t="b">
        <f t="shared" si="88"/>
        <v>0</v>
      </c>
      <c r="H822" s="3">
        <v>1.0</v>
      </c>
      <c r="I822" s="3">
        <v>1.0</v>
      </c>
      <c r="J822" s="3">
        <v>0.18</v>
      </c>
      <c r="K822" s="3">
        <v>0.1667</v>
      </c>
      <c r="L822" s="3">
        <v>0.64</v>
      </c>
      <c r="M822" s="3">
        <v>0.2836</v>
      </c>
      <c r="N822" s="3">
        <v>0.0</v>
      </c>
      <c r="O822" s="3">
        <v>8.0</v>
      </c>
      <c r="P822" s="3">
        <v>8.0</v>
      </c>
      <c r="Q822" s="10"/>
      <c r="R822" s="10"/>
      <c r="S822" s="10"/>
      <c r="T822" s="10"/>
      <c r="U822" s="10">
        <f t="shared" si="4"/>
        <v>1</v>
      </c>
      <c r="V822" s="10"/>
      <c r="W822" s="10"/>
      <c r="X822" s="10"/>
      <c r="Y822" s="10"/>
      <c r="Z822" s="10"/>
    </row>
    <row r="823" ht="13.5" customHeight="1">
      <c r="A823" s="3">
        <v>689.0</v>
      </c>
      <c r="B823" s="12">
        <v>40575.0</v>
      </c>
      <c r="C823" s="3">
        <v>1.0</v>
      </c>
      <c r="D823" s="3">
        <v>0.0</v>
      </c>
      <c r="E823" s="3">
        <v>2.0</v>
      </c>
      <c r="F823" s="3">
        <v>0.0</v>
      </c>
      <c r="G823" s="3" t="b">
        <f t="shared" si="88"/>
        <v>0</v>
      </c>
      <c r="H823" s="3">
        <v>2.0</v>
      </c>
      <c r="I823" s="3">
        <v>2.0</v>
      </c>
      <c r="J823" s="3">
        <v>0.16</v>
      </c>
      <c r="K823" s="3">
        <v>0.1818</v>
      </c>
      <c r="L823" s="3">
        <v>0.64</v>
      </c>
      <c r="M823" s="3">
        <v>0.1045</v>
      </c>
      <c r="N823" s="3">
        <v>2.0</v>
      </c>
      <c r="O823" s="3">
        <v>6.0</v>
      </c>
      <c r="P823" s="3">
        <v>8.0</v>
      </c>
      <c r="Q823" s="10"/>
      <c r="R823" s="10"/>
      <c r="S823" s="10"/>
      <c r="T823" s="10"/>
      <c r="U823" s="10">
        <f t="shared" si="4"/>
        <v>1</v>
      </c>
      <c r="V823" s="10"/>
      <c r="W823" s="10"/>
      <c r="X823" s="10"/>
      <c r="Y823" s="10"/>
      <c r="Z823" s="10"/>
    </row>
    <row r="824" ht="13.5" customHeight="1">
      <c r="A824" s="3">
        <v>786.0</v>
      </c>
      <c r="B824" s="12">
        <v>40579.0</v>
      </c>
      <c r="C824" s="3">
        <v>1.0</v>
      </c>
      <c r="D824" s="3">
        <v>0.0</v>
      </c>
      <c r="E824" s="3">
        <v>2.0</v>
      </c>
      <c r="F824" s="3">
        <v>4.0</v>
      </c>
      <c r="G824" s="3" t="b">
        <f t="shared" si="88"/>
        <v>0</v>
      </c>
      <c r="H824" s="3">
        <v>6.0</v>
      </c>
      <c r="I824" s="3">
        <v>3.0</v>
      </c>
      <c r="J824" s="3">
        <v>0.22</v>
      </c>
      <c r="K824" s="3">
        <v>0.2273</v>
      </c>
      <c r="L824" s="3">
        <v>0.93</v>
      </c>
      <c r="M824" s="3">
        <v>0.1343</v>
      </c>
      <c r="N824" s="3">
        <v>0.0</v>
      </c>
      <c r="O824" s="3">
        <v>8.0</v>
      </c>
      <c r="P824" s="3">
        <v>8.0</v>
      </c>
      <c r="Q824" s="10"/>
      <c r="R824" s="10"/>
      <c r="S824" s="10"/>
      <c r="T824" s="10"/>
      <c r="U824" s="10">
        <f t="shared" si="4"/>
        <v>1</v>
      </c>
      <c r="V824" s="10"/>
      <c r="W824" s="10"/>
      <c r="X824" s="10"/>
      <c r="Y824" s="10"/>
      <c r="Z824" s="10"/>
    </row>
    <row r="825" ht="13.5" customHeight="1">
      <c r="A825" s="3">
        <v>813.0</v>
      </c>
      <c r="B825" s="12">
        <v>40580.0</v>
      </c>
      <c r="C825" s="3">
        <v>1.0</v>
      </c>
      <c r="D825" s="3">
        <v>0.0</v>
      </c>
      <c r="E825" s="3">
        <v>2.0</v>
      </c>
      <c r="F825" s="3">
        <v>7.0</v>
      </c>
      <c r="G825" s="3" t="b">
        <f t="shared" si="88"/>
        <v>0</v>
      </c>
      <c r="H825" s="3">
        <v>0.0</v>
      </c>
      <c r="I825" s="3">
        <v>1.0</v>
      </c>
      <c r="J825" s="3">
        <v>0.24</v>
      </c>
      <c r="K825" s="3">
        <v>0.2424</v>
      </c>
      <c r="L825" s="3">
        <v>0.65</v>
      </c>
      <c r="M825" s="3">
        <v>0.1642</v>
      </c>
      <c r="N825" s="3">
        <v>0.0</v>
      </c>
      <c r="O825" s="3">
        <v>8.0</v>
      </c>
      <c r="P825" s="3">
        <v>8.0</v>
      </c>
      <c r="Q825" s="10"/>
      <c r="R825" s="10"/>
      <c r="S825" s="10"/>
      <c r="T825" s="10"/>
      <c r="U825" s="10">
        <f t="shared" si="4"/>
        <v>1</v>
      </c>
      <c r="V825" s="10"/>
      <c r="W825" s="10"/>
      <c r="X825" s="10"/>
      <c r="Y825" s="10"/>
      <c r="Z825" s="10"/>
    </row>
    <row r="826" ht="13.5" customHeight="1">
      <c r="A826" s="10">
        <f>dataset_1!A141</f>
        <v>140</v>
      </c>
      <c r="B826" s="11">
        <f>dataset_1!B141</f>
        <v>40550</v>
      </c>
      <c r="C826" s="10">
        <f>dataset_1!C141</f>
        <v>1</v>
      </c>
      <c r="D826" s="10">
        <f>dataset_1!D141</f>
        <v>0</v>
      </c>
      <c r="E826" s="10">
        <f>dataset_1!E141</f>
        <v>1</v>
      </c>
      <c r="F826" s="10">
        <f>dataset_1!F141</f>
        <v>1</v>
      </c>
      <c r="G826" s="10" t="b">
        <f>dataset_1!G141</f>
        <v>0</v>
      </c>
      <c r="H826" s="10">
        <f>dataset_1!H141</f>
        <v>5</v>
      </c>
      <c r="I826" s="10">
        <f>dataset_1!I141</f>
        <v>2</v>
      </c>
      <c r="J826" s="10">
        <f>dataset_1!J141</f>
        <v>0.2</v>
      </c>
      <c r="K826" s="10">
        <f>VLOOKUP(A826,dataset_2!$A$2:$G$611,2,0)</f>
        <v>0.197</v>
      </c>
      <c r="L826" s="10">
        <f>VLOOKUP(A826,dataset_2!$A$2:$G$611,3,0)</f>
        <v>0.69</v>
      </c>
      <c r="M826" s="10">
        <f>VLOOKUP(A826,dataset_2!$A$2:$G$611,4,0)</f>
        <v>0.2239</v>
      </c>
      <c r="N826" s="10">
        <f>VLOOKUP(A826,dataset_2!$A$2:$G$611,5,0)</f>
        <v>2</v>
      </c>
      <c r="O826" s="10">
        <f>VLOOKUP(A826,dataset_2!$A$2:$G$611,6,0)</f>
        <v>5</v>
      </c>
      <c r="P826" s="10">
        <f>VLOOKUP(A826,dataset_2!$A$2:$G$611,7,0)</f>
        <v>7</v>
      </c>
      <c r="Q826" s="10"/>
      <c r="R826" s="10"/>
      <c r="S826" s="10"/>
      <c r="T826" s="10"/>
      <c r="U826" s="10">
        <f t="shared" si="4"/>
        <v>1</v>
      </c>
      <c r="V826" s="10"/>
      <c r="W826" s="10"/>
      <c r="X826" s="10"/>
      <c r="Y826" s="10"/>
      <c r="Z826" s="10"/>
    </row>
    <row r="827" ht="13.5" customHeight="1">
      <c r="A827" s="10">
        <f>dataset_1!A166</f>
        <v>165</v>
      </c>
      <c r="B827" s="11">
        <f>dataset_1!B166</f>
        <v>40551</v>
      </c>
      <c r="C827" s="10">
        <f>dataset_1!C166</f>
        <v>1</v>
      </c>
      <c r="D827" s="10">
        <f>dataset_1!D166</f>
        <v>0</v>
      </c>
      <c r="E827" s="10">
        <f>dataset_1!E166</f>
        <v>1</v>
      </c>
      <c r="F827" s="10">
        <f>dataset_1!F166</f>
        <v>3</v>
      </c>
      <c r="G827" s="10" t="b">
        <f>dataset_1!G166</f>
        <v>0</v>
      </c>
      <c r="H827" s="10">
        <f>dataset_1!H166</f>
        <v>6</v>
      </c>
      <c r="I827" s="10">
        <f>dataset_1!I166</f>
        <v>3</v>
      </c>
      <c r="J827" s="10">
        <f>dataset_1!J166</f>
        <v>0.18</v>
      </c>
      <c r="K827" s="10">
        <f>VLOOKUP(A827,dataset_2!$A$2:$G$611,2,0)</f>
        <v>0.197</v>
      </c>
      <c r="L827" s="10">
        <f>VLOOKUP(A827,dataset_2!$A$2:$G$611,3,0)</f>
        <v>0.55</v>
      </c>
      <c r="M827" s="10">
        <f>VLOOKUP(A827,dataset_2!$A$2:$G$611,4,0)</f>
        <v>0.1642</v>
      </c>
      <c r="N827" s="10">
        <f>VLOOKUP(A827,dataset_2!$A$2:$G$611,5,0)</f>
        <v>0</v>
      </c>
      <c r="O827" s="10">
        <f>VLOOKUP(A827,dataset_2!$A$2:$G$611,6,0)</f>
        <v>7</v>
      </c>
      <c r="P827" s="10">
        <f>VLOOKUP(A827,dataset_2!$A$2:$G$611,7,0)</f>
        <v>7</v>
      </c>
      <c r="Q827" s="10"/>
      <c r="R827" s="10"/>
      <c r="S827" s="10"/>
      <c r="T827" s="10"/>
      <c r="U827" s="10">
        <f t="shared" si="4"/>
        <v>1</v>
      </c>
      <c r="V827" s="10"/>
      <c r="W827" s="10"/>
      <c r="X827" s="10"/>
      <c r="Y827" s="10"/>
      <c r="Z827" s="10"/>
    </row>
    <row r="828" ht="13.5" customHeight="1">
      <c r="A828" s="10">
        <f>dataset_1!A257</f>
        <v>256</v>
      </c>
      <c r="B828" s="11">
        <f>dataset_1!B257</f>
        <v>40555</v>
      </c>
      <c r="C828" s="10">
        <f>dataset_1!C257</f>
        <v>1</v>
      </c>
      <c r="D828" s="10">
        <f>dataset_1!D257</f>
        <v>0</v>
      </c>
      <c r="E828" s="10">
        <f>dataset_1!E257</f>
        <v>1</v>
      </c>
      <c r="F828" s="10">
        <f>dataset_1!F257</f>
        <v>0</v>
      </c>
      <c r="G828" s="10" t="b">
        <f>dataset_1!G257</f>
        <v>0</v>
      </c>
      <c r="H828" s="10">
        <f>dataset_1!H257</f>
        <v>3</v>
      </c>
      <c r="I828" s="10">
        <f>dataset_1!I257</f>
        <v>2</v>
      </c>
      <c r="J828" s="10">
        <f>dataset_1!J257</f>
        <v>0.16</v>
      </c>
      <c r="K828" s="10">
        <f>VLOOKUP(A828,dataset_2!$A$2:$G$611,2,0)</f>
        <v>0.197</v>
      </c>
      <c r="L828" s="10">
        <f>VLOOKUP(A828,dataset_2!$A$2:$G$611,3,0)</f>
        <v>0.86</v>
      </c>
      <c r="M828" s="10">
        <f>VLOOKUP(A828,dataset_2!$A$2:$G$611,4,0)</f>
        <v>0.0896</v>
      </c>
      <c r="N828" s="10">
        <f>VLOOKUP(A828,dataset_2!$A$2:$G$611,5,0)</f>
        <v>0</v>
      </c>
      <c r="O828" s="10">
        <f>VLOOKUP(A828,dataset_2!$A$2:$G$611,6,0)</f>
        <v>7</v>
      </c>
      <c r="P828" s="10">
        <f>VLOOKUP(A828,dataset_2!$A$2:$G$611,7,0)</f>
        <v>7</v>
      </c>
      <c r="Q828" s="10"/>
      <c r="R828" s="10"/>
      <c r="S828" s="10"/>
      <c r="T828" s="10"/>
      <c r="U828" s="10">
        <f t="shared" si="4"/>
        <v>1</v>
      </c>
      <c r="V828" s="10"/>
      <c r="W828" s="10"/>
      <c r="X828" s="10"/>
      <c r="Y828" s="10"/>
      <c r="Z828" s="10"/>
    </row>
    <row r="829" ht="13.5" customHeight="1">
      <c r="A829" s="10">
        <f>dataset_1!A279</f>
        <v>278</v>
      </c>
      <c r="B829" s="11">
        <f>dataset_1!B279</f>
        <v>40556</v>
      </c>
      <c r="C829" s="10">
        <f>dataset_1!C279</f>
        <v>1</v>
      </c>
      <c r="D829" s="10">
        <f>dataset_1!D279</f>
        <v>0</v>
      </c>
      <c r="E829" s="10">
        <f>dataset_1!E279</f>
        <v>1</v>
      </c>
      <c r="F829" s="10">
        <f>dataset_1!F279</f>
        <v>0</v>
      </c>
      <c r="G829" s="10" t="b">
        <f>dataset_1!G279</f>
        <v>0</v>
      </c>
      <c r="H829" s="10">
        <f>dataset_1!H279</f>
        <v>4</v>
      </c>
      <c r="I829" s="10">
        <f>dataset_1!I279</f>
        <v>1</v>
      </c>
      <c r="J829" s="10">
        <f>dataset_1!J279</f>
        <v>0.14</v>
      </c>
      <c r="K829" s="10">
        <f>VLOOKUP(A829,dataset_2!$A$2:$G$611,2,0)</f>
        <v>0.1212</v>
      </c>
      <c r="L829" s="10">
        <f>VLOOKUP(A829,dataset_2!$A$2:$G$611,3,0)</f>
        <v>0.59</v>
      </c>
      <c r="M829" s="10">
        <f>VLOOKUP(A829,dataset_2!$A$2:$G$611,4,0)</f>
        <v>0.2836</v>
      </c>
      <c r="N829" s="10">
        <f>VLOOKUP(A829,dataset_2!$A$2:$G$611,5,0)</f>
        <v>1</v>
      </c>
      <c r="O829" s="10">
        <f>VLOOKUP(A829,dataset_2!$A$2:$G$611,6,0)</f>
        <v>6</v>
      </c>
      <c r="P829" s="10">
        <f>VLOOKUP(A829,dataset_2!$A$2:$G$611,7,0)</f>
        <v>7</v>
      </c>
      <c r="Q829" s="10"/>
      <c r="R829" s="10"/>
      <c r="S829" s="10"/>
      <c r="T829" s="10"/>
      <c r="U829" s="10">
        <f t="shared" si="4"/>
        <v>1</v>
      </c>
      <c r="V829" s="10"/>
      <c r="W829" s="10"/>
      <c r="X829" s="10"/>
      <c r="Y829" s="10"/>
      <c r="Z829" s="10"/>
    </row>
    <row r="830" ht="13.5" customHeight="1">
      <c r="A830" s="10">
        <f>dataset_1!A411</f>
        <v>410</v>
      </c>
      <c r="B830" s="11">
        <f>dataset_1!B411</f>
        <v>40562</v>
      </c>
      <c r="C830" s="10">
        <f>dataset_1!C411</f>
        <v>1</v>
      </c>
      <c r="D830" s="10">
        <f>dataset_1!D411</f>
        <v>0</v>
      </c>
      <c r="E830" s="10">
        <f>dataset_1!E411</f>
        <v>1</v>
      </c>
      <c r="F830" s="10">
        <f>dataset_1!F411</f>
        <v>1</v>
      </c>
      <c r="G830" s="10" t="b">
        <f>dataset_1!G411</f>
        <v>0</v>
      </c>
      <c r="H830" s="10">
        <f>dataset_1!H411</f>
        <v>3</v>
      </c>
      <c r="I830" s="10">
        <f>dataset_1!I411</f>
        <v>3</v>
      </c>
      <c r="J830" s="10">
        <f>dataset_1!J411</f>
        <v>0.22</v>
      </c>
      <c r="K830" s="10">
        <f>VLOOKUP(A830,dataset_2!$A$2:$G$611,2,0)</f>
        <v>0.2273</v>
      </c>
      <c r="L830" s="10">
        <f>VLOOKUP(A830,dataset_2!$A$2:$G$611,3,0)</f>
        <v>0.93</v>
      </c>
      <c r="M830" s="10">
        <f>VLOOKUP(A830,dataset_2!$A$2:$G$611,4,0)</f>
        <v>0.1343</v>
      </c>
      <c r="N830" s="10">
        <f>VLOOKUP(A830,dataset_2!$A$2:$G$611,5,0)</f>
        <v>1</v>
      </c>
      <c r="O830" s="10">
        <f>VLOOKUP(A830,dataset_2!$A$2:$G$611,6,0)</f>
        <v>6</v>
      </c>
      <c r="P830" s="10">
        <f>VLOOKUP(A830,dataset_2!$A$2:$G$611,7,0)</f>
        <v>7</v>
      </c>
      <c r="Q830" s="10"/>
      <c r="R830" s="10"/>
      <c r="S830" s="10"/>
      <c r="T830" s="10"/>
      <c r="U830" s="10">
        <f t="shared" si="4"/>
        <v>1</v>
      </c>
      <c r="V830" s="10"/>
      <c r="W830" s="10"/>
      <c r="X830" s="10"/>
      <c r="Y830" s="10"/>
      <c r="Z830" s="10"/>
    </row>
    <row r="831" ht="13.5" customHeight="1">
      <c r="A831" s="10">
        <f>dataset_1!A414</f>
        <v>413</v>
      </c>
      <c r="B831" s="11">
        <f>dataset_1!B414</f>
        <v>40562</v>
      </c>
      <c r="C831" s="10">
        <f>dataset_1!C414</f>
        <v>1</v>
      </c>
      <c r="D831" s="10">
        <f>dataset_1!D414</f>
        <v>0</v>
      </c>
      <c r="E831" s="10">
        <f>dataset_1!E414</f>
        <v>1</v>
      </c>
      <c r="F831" s="10">
        <f>dataset_1!F414</f>
        <v>5</v>
      </c>
      <c r="G831" s="10" t="b">
        <f>dataset_1!G414</f>
        <v>0</v>
      </c>
      <c r="H831" s="10">
        <f>dataset_1!H414</f>
        <v>3</v>
      </c>
      <c r="I831" s="10">
        <f>dataset_1!I414</f>
        <v>2</v>
      </c>
      <c r="J831" s="10">
        <f>dataset_1!J414</f>
        <v>0.22</v>
      </c>
      <c r="K831" s="10">
        <f>VLOOKUP(A831,dataset_2!$A$2:$G$611,2,0)</f>
        <v>0.2576</v>
      </c>
      <c r="L831" s="10">
        <f>VLOOKUP(A831,dataset_2!$A$2:$G$611,3,0)</f>
        <v>0.93</v>
      </c>
      <c r="M831" s="10">
        <f>VLOOKUP(A831,dataset_2!$A$2:$G$611,4,0)</f>
        <v>0.0896</v>
      </c>
      <c r="N831" s="10">
        <f>VLOOKUP(A831,dataset_2!$A$2:$G$611,5,0)</f>
        <v>0</v>
      </c>
      <c r="O831" s="10">
        <f>VLOOKUP(A831,dataset_2!$A$2:$G$611,6,0)</f>
        <v>7</v>
      </c>
      <c r="P831" s="10">
        <f>VLOOKUP(A831,dataset_2!$A$2:$G$611,7,0)</f>
        <v>7</v>
      </c>
      <c r="Q831" s="10"/>
      <c r="R831" s="10"/>
      <c r="S831" s="10"/>
      <c r="T831" s="10"/>
      <c r="U831" s="10">
        <f t="shared" si="4"/>
        <v>1</v>
      </c>
      <c r="V831" s="10"/>
      <c r="W831" s="10"/>
      <c r="X831" s="10"/>
      <c r="Y831" s="10"/>
      <c r="Z831" s="10"/>
    </row>
    <row r="832" ht="13.5" customHeight="1">
      <c r="A832" s="10">
        <f>dataset_1!A484</f>
        <v>483</v>
      </c>
      <c r="B832" s="11">
        <f>dataset_1!B484</f>
        <v>40565</v>
      </c>
      <c r="C832" s="10">
        <f>dataset_1!C484</f>
        <v>1</v>
      </c>
      <c r="D832" s="10">
        <f>dataset_1!D484</f>
        <v>0</v>
      </c>
      <c r="E832" s="10">
        <f>dataset_1!E484</f>
        <v>1</v>
      </c>
      <c r="F832" s="10">
        <f>dataset_1!F484</f>
        <v>3</v>
      </c>
      <c r="G832" s="10" t="b">
        <f>dataset_1!G484</f>
        <v>0</v>
      </c>
      <c r="H832" s="10">
        <f>dataset_1!H484</f>
        <v>6</v>
      </c>
      <c r="I832" s="10">
        <f>dataset_1!I484</f>
        <v>2</v>
      </c>
      <c r="J832" s="10">
        <f>dataset_1!J484</f>
        <v>0.04</v>
      </c>
      <c r="K832" s="10">
        <f>VLOOKUP(A832,dataset_2!$A$2:$G$611,2,0)</f>
        <v>0.0303</v>
      </c>
      <c r="L832" s="10">
        <f>VLOOKUP(A832,dataset_2!$A$2:$G$611,3,0)</f>
        <v>0.41</v>
      </c>
      <c r="M832" s="10">
        <f>VLOOKUP(A832,dataset_2!$A$2:$G$611,4,0)</f>
        <v>0.2836</v>
      </c>
      <c r="N832" s="10">
        <f>VLOOKUP(A832,dataset_2!$A$2:$G$611,5,0)</f>
        <v>1</v>
      </c>
      <c r="O832" s="10">
        <f>VLOOKUP(A832,dataset_2!$A$2:$G$611,6,0)</f>
        <v>6</v>
      </c>
      <c r="P832" s="10">
        <f>VLOOKUP(A832,dataset_2!$A$2:$G$611,7,0)</f>
        <v>7</v>
      </c>
      <c r="Q832" s="10"/>
      <c r="R832" s="10"/>
      <c r="S832" s="10"/>
      <c r="T832" s="10"/>
      <c r="U832" s="10">
        <f t="shared" si="4"/>
        <v>1</v>
      </c>
      <c r="V832" s="10"/>
      <c r="W832" s="10"/>
      <c r="X832" s="10"/>
      <c r="Y832" s="10"/>
      <c r="Z832" s="10"/>
    </row>
    <row r="833" ht="13.5" customHeight="1">
      <c r="A833" s="10">
        <f>dataset_1!A527</f>
        <v>526</v>
      </c>
      <c r="B833" s="11">
        <f>dataset_1!B527</f>
        <v>40567</v>
      </c>
      <c r="C833" s="10">
        <f>dataset_1!C527</f>
        <v>1</v>
      </c>
      <c r="D833" s="10">
        <f>dataset_1!D527</f>
        <v>0</v>
      </c>
      <c r="E833" s="10">
        <f>dataset_1!E527</f>
        <v>1</v>
      </c>
      <c r="F833" s="10">
        <f>dataset_1!F527</f>
        <v>0</v>
      </c>
      <c r="G833" s="10" t="b">
        <f>dataset_1!G527</f>
        <v>0</v>
      </c>
      <c r="H833" s="10">
        <f>dataset_1!H527</f>
        <v>1</v>
      </c>
      <c r="I833" s="10">
        <f>dataset_1!I527</f>
        <v>1</v>
      </c>
      <c r="J833" s="10">
        <f>dataset_1!J527</f>
        <v>0.06</v>
      </c>
      <c r="K833" s="10">
        <f>VLOOKUP(A833,dataset_2!$A$2:$G$611,2,0)</f>
        <v>0.0606</v>
      </c>
      <c r="L833" s="10">
        <f>VLOOKUP(A833,dataset_2!$A$2:$G$611,3,0)</f>
        <v>0.41</v>
      </c>
      <c r="M833" s="10">
        <f>VLOOKUP(A833,dataset_2!$A$2:$G$611,4,0)</f>
        <v>0.194</v>
      </c>
      <c r="N833" s="10">
        <f>VLOOKUP(A833,dataset_2!$A$2:$G$611,5,0)</f>
        <v>0</v>
      </c>
      <c r="O833" s="10">
        <f>VLOOKUP(A833,dataset_2!$A$2:$G$611,6,0)</f>
        <v>7</v>
      </c>
      <c r="P833" s="10">
        <f>VLOOKUP(A833,dataset_2!$A$2:$G$611,7,0)</f>
        <v>7</v>
      </c>
      <c r="Q833" s="10"/>
      <c r="R833" s="10"/>
      <c r="S833" s="10"/>
      <c r="T833" s="10"/>
      <c r="U833" s="10">
        <f t="shared" si="4"/>
        <v>1</v>
      </c>
      <c r="V833" s="10"/>
      <c r="W833" s="10"/>
      <c r="X833" s="10"/>
      <c r="Y833" s="10"/>
      <c r="Z833" s="10"/>
    </row>
    <row r="834" ht="13.5" customHeight="1">
      <c r="A834" s="3">
        <v>665.0</v>
      </c>
      <c r="B834" s="12">
        <v>40574.0</v>
      </c>
      <c r="C834" s="3">
        <v>1.0</v>
      </c>
      <c r="D834" s="3">
        <v>0.0</v>
      </c>
      <c r="E834" s="3">
        <v>1.0</v>
      </c>
      <c r="F834" s="3">
        <v>0.0</v>
      </c>
      <c r="G834" s="3" t="b">
        <f t="shared" ref="G834:G842" si="89">FALSE()</f>
        <v>0</v>
      </c>
      <c r="H834" s="3">
        <v>1.0</v>
      </c>
      <c r="I834" s="3">
        <v>2.0</v>
      </c>
      <c r="J834" s="3">
        <v>0.24</v>
      </c>
      <c r="K834" s="3">
        <v>0.2273</v>
      </c>
      <c r="L834" s="3">
        <v>0.65</v>
      </c>
      <c r="M834" s="3">
        <v>0.2239</v>
      </c>
      <c r="N834" s="3">
        <v>1.0</v>
      </c>
      <c r="O834" s="3">
        <v>6.0</v>
      </c>
      <c r="P834" s="3">
        <v>7.0</v>
      </c>
      <c r="Q834" s="10"/>
      <c r="R834" s="10"/>
      <c r="S834" s="10"/>
      <c r="T834" s="10"/>
      <c r="U834" s="10">
        <f t="shared" si="4"/>
        <v>1</v>
      </c>
      <c r="V834" s="10"/>
      <c r="W834" s="10"/>
      <c r="X834" s="10"/>
      <c r="Y834" s="10"/>
      <c r="Z834" s="10"/>
    </row>
    <row r="835" ht="13.5" customHeight="1">
      <c r="A835" s="3">
        <v>666.0</v>
      </c>
      <c r="B835" s="12">
        <v>40574.0</v>
      </c>
      <c r="C835" s="3">
        <v>1.0</v>
      </c>
      <c r="D835" s="3">
        <v>0.0</v>
      </c>
      <c r="E835" s="3">
        <v>1.0</v>
      </c>
      <c r="F835" s="3">
        <v>1.0</v>
      </c>
      <c r="G835" s="3" t="b">
        <f t="shared" si="89"/>
        <v>0</v>
      </c>
      <c r="H835" s="3">
        <v>1.0</v>
      </c>
      <c r="I835" s="3">
        <v>1.0</v>
      </c>
      <c r="J835" s="3">
        <v>0.22</v>
      </c>
      <c r="K835" s="3">
        <v>0.2121</v>
      </c>
      <c r="L835" s="3">
        <v>0.64</v>
      </c>
      <c r="M835" s="3">
        <v>0.2537</v>
      </c>
      <c r="N835" s="3">
        <v>2.0</v>
      </c>
      <c r="O835" s="3">
        <v>5.0</v>
      </c>
      <c r="P835" s="3">
        <v>7.0</v>
      </c>
      <c r="Q835" s="10"/>
      <c r="R835" s="10"/>
      <c r="S835" s="10"/>
      <c r="T835" s="10"/>
      <c r="U835" s="10">
        <f t="shared" si="4"/>
        <v>1</v>
      </c>
      <c r="V835" s="10"/>
      <c r="W835" s="10"/>
      <c r="X835" s="10"/>
      <c r="Y835" s="10"/>
      <c r="Z835" s="10"/>
    </row>
    <row r="836" ht="13.5" customHeight="1">
      <c r="A836" s="3">
        <v>760.0</v>
      </c>
      <c r="B836" s="12">
        <v>40578.0</v>
      </c>
      <c r="C836" s="3">
        <v>1.0</v>
      </c>
      <c r="D836" s="3">
        <v>0.0</v>
      </c>
      <c r="E836" s="3">
        <v>2.0</v>
      </c>
      <c r="F836" s="3">
        <v>1.0</v>
      </c>
      <c r="G836" s="3" t="b">
        <f t="shared" si="89"/>
        <v>0</v>
      </c>
      <c r="H836" s="3">
        <v>5.0</v>
      </c>
      <c r="I836" s="3">
        <v>2.0</v>
      </c>
      <c r="J836" s="3">
        <v>0.16</v>
      </c>
      <c r="K836" s="3">
        <v>0.2273</v>
      </c>
      <c r="L836" s="3">
        <v>0.59</v>
      </c>
      <c r="M836" s="3">
        <v>0.0</v>
      </c>
      <c r="N836" s="3">
        <v>0.0</v>
      </c>
      <c r="O836" s="3">
        <v>7.0</v>
      </c>
      <c r="P836" s="3">
        <v>7.0</v>
      </c>
      <c r="Q836" s="10"/>
      <c r="R836" s="10"/>
      <c r="S836" s="10"/>
      <c r="T836" s="10"/>
      <c r="U836" s="10">
        <f t="shared" si="4"/>
        <v>1</v>
      </c>
      <c r="V836" s="10"/>
      <c r="W836" s="10"/>
      <c r="X836" s="10"/>
      <c r="Y836" s="10"/>
      <c r="Z836" s="10"/>
    </row>
    <row r="837" ht="13.5" customHeight="1">
      <c r="A837" s="3">
        <v>763.0</v>
      </c>
      <c r="B837" s="12">
        <v>40578.0</v>
      </c>
      <c r="C837" s="3">
        <v>1.0</v>
      </c>
      <c r="D837" s="3">
        <v>0.0</v>
      </c>
      <c r="E837" s="3">
        <v>2.0</v>
      </c>
      <c r="F837" s="3">
        <v>5.0</v>
      </c>
      <c r="G837" s="3" t="b">
        <f t="shared" si="89"/>
        <v>0</v>
      </c>
      <c r="H837" s="3">
        <v>5.0</v>
      </c>
      <c r="I837" s="3">
        <v>2.0</v>
      </c>
      <c r="J837" s="3">
        <v>0.14</v>
      </c>
      <c r="K837" s="3">
        <v>0.1515</v>
      </c>
      <c r="L837" s="3">
        <v>0.63</v>
      </c>
      <c r="M837" s="3">
        <v>0.1343</v>
      </c>
      <c r="N837" s="3">
        <v>0.0</v>
      </c>
      <c r="O837" s="3">
        <v>7.0</v>
      </c>
      <c r="P837" s="3">
        <v>7.0</v>
      </c>
      <c r="Q837" s="10"/>
      <c r="R837" s="10"/>
      <c r="S837" s="10"/>
      <c r="T837" s="10"/>
      <c r="U837" s="10">
        <f t="shared" si="4"/>
        <v>1</v>
      </c>
      <c r="V837" s="10"/>
      <c r="W837" s="10"/>
      <c r="X837" s="10"/>
      <c r="Y837" s="10"/>
      <c r="Z837" s="10"/>
    </row>
    <row r="838" ht="13.5" customHeight="1">
      <c r="A838" s="3">
        <v>879.0</v>
      </c>
      <c r="B838" s="12">
        <v>40583.0</v>
      </c>
      <c r="C838" s="3">
        <v>1.0</v>
      </c>
      <c r="D838" s="3">
        <v>0.0</v>
      </c>
      <c r="E838" s="3">
        <v>2.0</v>
      </c>
      <c r="F838" s="3">
        <v>1.0</v>
      </c>
      <c r="G838" s="3" t="b">
        <f t="shared" si="89"/>
        <v>0</v>
      </c>
      <c r="H838" s="3">
        <v>3.0</v>
      </c>
      <c r="I838" s="3">
        <v>1.0</v>
      </c>
      <c r="J838" s="3">
        <v>0.1</v>
      </c>
      <c r="K838" s="3">
        <v>0.1061</v>
      </c>
      <c r="L838" s="3">
        <v>0.36</v>
      </c>
      <c r="M838" s="3">
        <v>0.2239</v>
      </c>
      <c r="N838" s="3">
        <v>0.0</v>
      </c>
      <c r="O838" s="3">
        <v>7.0</v>
      </c>
      <c r="P838" s="3">
        <v>7.0</v>
      </c>
      <c r="Q838" s="10"/>
      <c r="R838" s="10"/>
      <c r="S838" s="10"/>
      <c r="T838" s="10"/>
      <c r="U838" s="10">
        <f t="shared" si="4"/>
        <v>1</v>
      </c>
      <c r="V838" s="10"/>
      <c r="W838" s="10"/>
      <c r="X838" s="10"/>
      <c r="Y838" s="10"/>
      <c r="Z838" s="10"/>
    </row>
    <row r="839" ht="13.5" customHeight="1">
      <c r="A839" s="3">
        <v>882.0</v>
      </c>
      <c r="B839" s="12">
        <v>40583.0</v>
      </c>
      <c r="C839" s="3">
        <v>1.0</v>
      </c>
      <c r="D839" s="3">
        <v>0.0</v>
      </c>
      <c r="E839" s="3">
        <v>2.0</v>
      </c>
      <c r="F839" s="3">
        <v>5.0</v>
      </c>
      <c r="G839" s="3" t="b">
        <f t="shared" si="89"/>
        <v>0</v>
      </c>
      <c r="H839" s="3">
        <v>3.0</v>
      </c>
      <c r="I839" s="3">
        <v>1.0</v>
      </c>
      <c r="J839" s="3">
        <v>0.06</v>
      </c>
      <c r="K839" s="3">
        <v>0.1061</v>
      </c>
      <c r="L839" s="3">
        <v>0.45</v>
      </c>
      <c r="M839" s="3">
        <v>0.1045</v>
      </c>
      <c r="N839" s="3">
        <v>0.0</v>
      </c>
      <c r="O839" s="3">
        <v>7.0</v>
      </c>
      <c r="P839" s="3">
        <v>7.0</v>
      </c>
      <c r="Q839" s="10"/>
      <c r="R839" s="10"/>
      <c r="S839" s="10"/>
      <c r="T839" s="10"/>
      <c r="U839" s="10">
        <f t="shared" si="4"/>
        <v>1</v>
      </c>
      <c r="V839" s="10"/>
      <c r="W839" s="10"/>
      <c r="X839" s="10"/>
      <c r="Y839" s="10"/>
      <c r="Z839" s="10"/>
    </row>
    <row r="840" ht="13.5" customHeight="1">
      <c r="A840" s="3">
        <v>902.0</v>
      </c>
      <c r="B840" s="12">
        <v>40584.0</v>
      </c>
      <c r="C840" s="3">
        <v>1.0</v>
      </c>
      <c r="D840" s="3">
        <v>0.0</v>
      </c>
      <c r="E840" s="3">
        <v>2.0</v>
      </c>
      <c r="F840" s="3">
        <v>1.0</v>
      </c>
      <c r="G840" s="3" t="b">
        <f t="shared" si="89"/>
        <v>0</v>
      </c>
      <c r="H840" s="3">
        <v>4.0</v>
      </c>
      <c r="I840" s="3">
        <v>3.0</v>
      </c>
      <c r="J840" s="3">
        <v>0.14</v>
      </c>
      <c r="K840" s="3">
        <v>0.1515</v>
      </c>
      <c r="L840" s="3">
        <v>0.8</v>
      </c>
      <c r="M840" s="3">
        <v>0.1343</v>
      </c>
      <c r="N840" s="3">
        <v>0.0</v>
      </c>
      <c r="O840" s="3">
        <v>7.0</v>
      </c>
      <c r="P840" s="3">
        <v>7.0</v>
      </c>
      <c r="Q840" s="10"/>
      <c r="R840" s="10"/>
      <c r="S840" s="10"/>
      <c r="T840" s="10"/>
      <c r="U840" s="10">
        <f t="shared" si="4"/>
        <v>1</v>
      </c>
      <c r="V840" s="10"/>
      <c r="W840" s="10"/>
      <c r="X840" s="10"/>
      <c r="Y840" s="10"/>
      <c r="Z840" s="10"/>
    </row>
    <row r="841" ht="13.5" customHeight="1">
      <c r="A841" s="3">
        <v>925.0</v>
      </c>
      <c r="B841" s="12">
        <v>40585.0</v>
      </c>
      <c r="C841" s="3">
        <v>1.0</v>
      </c>
      <c r="D841" s="3">
        <v>0.0</v>
      </c>
      <c r="E841" s="3">
        <v>2.0</v>
      </c>
      <c r="F841" s="3">
        <v>1.0</v>
      </c>
      <c r="G841" s="3" t="b">
        <f t="shared" si="89"/>
        <v>0</v>
      </c>
      <c r="H841" s="3">
        <v>5.0</v>
      </c>
      <c r="I841" s="3">
        <v>1.0</v>
      </c>
      <c r="J841" s="3">
        <v>0.1</v>
      </c>
      <c r="K841" s="3">
        <v>0.1364</v>
      </c>
      <c r="L841" s="3">
        <v>0.54</v>
      </c>
      <c r="M841" s="3">
        <v>0.0896</v>
      </c>
      <c r="N841" s="3">
        <v>1.0</v>
      </c>
      <c r="O841" s="3">
        <v>6.0</v>
      </c>
      <c r="P841" s="3">
        <v>7.0</v>
      </c>
      <c r="Q841" s="10"/>
      <c r="R841" s="10"/>
      <c r="S841" s="10"/>
      <c r="T841" s="10"/>
      <c r="U841" s="10">
        <f t="shared" si="4"/>
        <v>1</v>
      </c>
      <c r="V841" s="10"/>
      <c r="W841" s="10"/>
      <c r="X841" s="10"/>
      <c r="Y841" s="10"/>
      <c r="Z841" s="10"/>
    </row>
    <row r="842" ht="13.5" customHeight="1">
      <c r="A842" s="3">
        <v>994.0</v>
      </c>
      <c r="B842" s="12">
        <v>40588.0</v>
      </c>
      <c r="C842" s="3">
        <v>1.0</v>
      </c>
      <c r="D842" s="3">
        <v>0.0</v>
      </c>
      <c r="E842" s="3">
        <v>2.0</v>
      </c>
      <c r="F842" s="3">
        <v>1.0</v>
      </c>
      <c r="G842" s="3" t="b">
        <f t="shared" si="89"/>
        <v>0</v>
      </c>
      <c r="H842" s="3">
        <v>1.0</v>
      </c>
      <c r="I842" s="3">
        <v>1.0</v>
      </c>
      <c r="J842" s="3">
        <v>0.38</v>
      </c>
      <c r="K842" s="3">
        <v>0.3939</v>
      </c>
      <c r="L842" s="3">
        <v>0.37</v>
      </c>
      <c r="M842" s="3">
        <v>0.3582</v>
      </c>
      <c r="N842" s="3">
        <v>1.0</v>
      </c>
      <c r="O842" s="3">
        <v>6.0</v>
      </c>
      <c r="P842" s="3">
        <v>7.0</v>
      </c>
      <c r="Q842" s="10"/>
      <c r="R842" s="10"/>
      <c r="S842" s="10"/>
      <c r="T842" s="10"/>
      <c r="U842" s="10">
        <f t="shared" si="4"/>
        <v>1</v>
      </c>
      <c r="V842" s="10"/>
      <c r="W842" s="10"/>
      <c r="X842" s="10"/>
      <c r="Y842" s="10"/>
      <c r="Z842" s="10"/>
    </row>
    <row r="843" ht="13.5" customHeight="1">
      <c r="A843" s="10">
        <f>dataset_1!A29</f>
        <v>28</v>
      </c>
      <c r="B843" s="11">
        <f>dataset_1!B29</f>
        <v>40545</v>
      </c>
      <c r="C843" s="10">
        <f>dataset_1!C29</f>
        <v>1</v>
      </c>
      <c r="D843" s="10">
        <f>dataset_1!D29</f>
        <v>0</v>
      </c>
      <c r="E843" s="10">
        <f>dataset_1!E29</f>
        <v>1</v>
      </c>
      <c r="F843" s="10">
        <f>dataset_1!F29</f>
        <v>3</v>
      </c>
      <c r="G843" s="10" t="b">
        <f>dataset_1!G29</f>
        <v>0</v>
      </c>
      <c r="H843" s="10">
        <f>dataset_1!H29</f>
        <v>0</v>
      </c>
      <c r="I843" s="10">
        <f>dataset_1!I29</f>
        <v>2</v>
      </c>
      <c r="J843" s="10">
        <f>dataset_1!J29</f>
        <v>0.46</v>
      </c>
      <c r="K843" s="10">
        <f>VLOOKUP(A843,dataset_2!$A$2:$G$611,2,0)</f>
        <v>0.4545</v>
      </c>
      <c r="L843" s="10">
        <f>VLOOKUP(A843,dataset_2!$A$2:$G$611,3,0)</f>
        <v>0.94</v>
      </c>
      <c r="M843" s="10">
        <f>VLOOKUP(A843,dataset_2!$A$2:$G$611,4,0)</f>
        <v>0.194</v>
      </c>
      <c r="N843" s="10">
        <f>VLOOKUP(A843,dataset_2!$A$2:$G$611,5,0)</f>
        <v>2</v>
      </c>
      <c r="O843" s="10">
        <f>VLOOKUP(A843,dataset_2!$A$2:$G$611,6,0)</f>
        <v>4</v>
      </c>
      <c r="P843" s="10">
        <f>VLOOKUP(A843,dataset_2!$A$2:$G$611,7,0)</f>
        <v>6</v>
      </c>
      <c r="Q843" s="10"/>
      <c r="R843" s="10"/>
      <c r="S843" s="10"/>
      <c r="T843" s="10"/>
      <c r="U843" s="10">
        <f t="shared" si="4"/>
        <v>1</v>
      </c>
      <c r="V843" s="10"/>
      <c r="W843" s="10"/>
      <c r="X843" s="10"/>
      <c r="Y843" s="10"/>
      <c r="Z843" s="10"/>
    </row>
    <row r="844" ht="13.5" customHeight="1">
      <c r="A844" s="10">
        <f>dataset_1!A94</f>
        <v>93</v>
      </c>
      <c r="B844" s="11">
        <f>dataset_1!B94</f>
        <v>40548</v>
      </c>
      <c r="C844" s="10">
        <f>dataset_1!C94</f>
        <v>1</v>
      </c>
      <c r="D844" s="10">
        <f>dataset_1!D94</f>
        <v>0</v>
      </c>
      <c r="E844" s="10">
        <f>dataset_1!E94</f>
        <v>1</v>
      </c>
      <c r="F844" s="10">
        <f>dataset_1!F94</f>
        <v>0</v>
      </c>
      <c r="G844" s="10" t="b">
        <f>dataset_1!G94</f>
        <v>0</v>
      </c>
      <c r="H844" s="10">
        <f>dataset_1!H94</f>
        <v>3</v>
      </c>
      <c r="I844" s="10">
        <f>dataset_1!I94</f>
        <v>1</v>
      </c>
      <c r="J844" s="10">
        <f>dataset_1!J94</f>
        <v>0.2</v>
      </c>
      <c r="K844" s="10">
        <f>VLOOKUP(A844,dataset_2!$A$2:$G$611,2,0)</f>
        <v>0.2576</v>
      </c>
      <c r="L844" s="10">
        <f>VLOOKUP(A844,dataset_2!$A$2:$G$611,3,0)</f>
        <v>0.64</v>
      </c>
      <c r="M844" s="10">
        <f>VLOOKUP(A844,dataset_2!$A$2:$G$611,4,0)</f>
        <v>0</v>
      </c>
      <c r="N844" s="10">
        <f>VLOOKUP(A844,dataset_2!$A$2:$G$611,5,0)</f>
        <v>0</v>
      </c>
      <c r="O844" s="10">
        <f>VLOOKUP(A844,dataset_2!$A$2:$G$611,6,0)</f>
        <v>6</v>
      </c>
      <c r="P844" s="10">
        <f>VLOOKUP(A844,dataset_2!$A$2:$G$611,7,0)</f>
        <v>6</v>
      </c>
      <c r="Q844" s="10"/>
      <c r="R844" s="10"/>
      <c r="S844" s="10"/>
      <c r="T844" s="10"/>
      <c r="U844" s="10">
        <f t="shared" si="4"/>
        <v>1</v>
      </c>
      <c r="V844" s="10"/>
      <c r="W844" s="10"/>
      <c r="X844" s="10"/>
      <c r="Y844" s="10"/>
      <c r="Z844" s="10"/>
    </row>
    <row r="845" ht="13.5" customHeight="1">
      <c r="A845" s="10">
        <f>dataset_1!A95</f>
        <v>94</v>
      </c>
      <c r="B845" s="11">
        <f>dataset_1!B95</f>
        <v>40548</v>
      </c>
      <c r="C845" s="10">
        <f>dataset_1!C95</f>
        <v>1</v>
      </c>
      <c r="D845" s="10">
        <f>dataset_1!D95</f>
        <v>0</v>
      </c>
      <c r="E845" s="10">
        <f>dataset_1!E95</f>
        <v>1</v>
      </c>
      <c r="F845" s="10">
        <f>dataset_1!F95</f>
        <v>1</v>
      </c>
      <c r="G845" s="10" t="b">
        <f>dataset_1!G95</f>
        <v>0</v>
      </c>
      <c r="H845" s="10">
        <f>dataset_1!H95</f>
        <v>3</v>
      </c>
      <c r="I845" s="10">
        <f>dataset_1!I95</f>
        <v>1</v>
      </c>
      <c r="J845" s="10">
        <f>dataset_1!J95</f>
        <v>0.16</v>
      </c>
      <c r="K845" s="10">
        <f>VLOOKUP(A845,dataset_2!$A$2:$G$611,2,0)</f>
        <v>0.197</v>
      </c>
      <c r="L845" s="10">
        <f>VLOOKUP(A845,dataset_2!$A$2:$G$611,3,0)</f>
        <v>0.74</v>
      </c>
      <c r="M845" s="10">
        <f>VLOOKUP(A845,dataset_2!$A$2:$G$611,4,0)</f>
        <v>0.0896</v>
      </c>
      <c r="N845" s="10">
        <f>VLOOKUP(A845,dataset_2!$A$2:$G$611,5,0)</f>
        <v>0</v>
      </c>
      <c r="O845" s="10">
        <f>VLOOKUP(A845,dataset_2!$A$2:$G$611,6,0)</f>
        <v>6</v>
      </c>
      <c r="P845" s="10">
        <f>VLOOKUP(A845,dataset_2!$A$2:$G$611,7,0)</f>
        <v>6</v>
      </c>
      <c r="Q845" s="10"/>
      <c r="R845" s="10"/>
      <c r="S845" s="10"/>
      <c r="T845" s="10"/>
      <c r="U845" s="10">
        <f t="shared" si="4"/>
        <v>1</v>
      </c>
      <c r="V845" s="10"/>
      <c r="W845" s="10"/>
      <c r="X845" s="10"/>
      <c r="Y845" s="10"/>
      <c r="Z845" s="10"/>
    </row>
    <row r="846" ht="13.5" customHeight="1">
      <c r="A846" s="10">
        <f>dataset_1!A194</f>
        <v>193</v>
      </c>
      <c r="B846" s="11">
        <f>dataset_1!B194</f>
        <v>40552</v>
      </c>
      <c r="C846" s="10">
        <f>dataset_1!C194</f>
        <v>1</v>
      </c>
      <c r="D846" s="10">
        <f>dataset_1!D194</f>
        <v>0</v>
      </c>
      <c r="E846" s="10">
        <f>dataset_1!E194</f>
        <v>1</v>
      </c>
      <c r="F846" s="10">
        <f>dataset_1!F194</f>
        <v>7</v>
      </c>
      <c r="G846" s="10" t="b">
        <f>dataset_1!G194</f>
        <v>0</v>
      </c>
      <c r="H846" s="10">
        <f>dataset_1!H194</f>
        <v>0</v>
      </c>
      <c r="I846" s="10">
        <f>dataset_1!I194</f>
        <v>1</v>
      </c>
      <c r="J846" s="10">
        <f>dataset_1!J194</f>
        <v>0.08</v>
      </c>
      <c r="K846" s="10">
        <f>VLOOKUP(A846,dataset_2!$A$2:$G$611,2,0)</f>
        <v>0.0909</v>
      </c>
      <c r="L846" s="10">
        <f>VLOOKUP(A846,dataset_2!$A$2:$G$611,3,0)</f>
        <v>0.53</v>
      </c>
      <c r="M846" s="10">
        <f>VLOOKUP(A846,dataset_2!$A$2:$G$611,4,0)</f>
        <v>0.194</v>
      </c>
      <c r="N846" s="10">
        <f>VLOOKUP(A846,dataset_2!$A$2:$G$611,5,0)</f>
        <v>1</v>
      </c>
      <c r="O846" s="10">
        <f>VLOOKUP(A846,dataset_2!$A$2:$G$611,6,0)</f>
        <v>5</v>
      </c>
      <c r="P846" s="10">
        <f>VLOOKUP(A846,dataset_2!$A$2:$G$611,7,0)</f>
        <v>6</v>
      </c>
      <c r="Q846" s="10"/>
      <c r="R846" s="10"/>
      <c r="S846" s="10"/>
      <c r="T846" s="10"/>
      <c r="U846" s="10">
        <f t="shared" si="4"/>
        <v>1</v>
      </c>
      <c r="V846" s="10"/>
      <c r="W846" s="10"/>
      <c r="X846" s="10"/>
      <c r="Y846" s="10"/>
      <c r="Z846" s="10"/>
    </row>
    <row r="847" ht="13.5" customHeight="1">
      <c r="A847" s="10">
        <f>dataset_1!A210</f>
        <v>209</v>
      </c>
      <c r="B847" s="11">
        <f>dataset_1!B210</f>
        <v>40552</v>
      </c>
      <c r="C847" s="10">
        <f>dataset_1!C210</f>
        <v>1</v>
      </c>
      <c r="D847" s="10">
        <f>dataset_1!D210</f>
        <v>0</v>
      </c>
      <c r="E847" s="10">
        <f>dataset_1!E210</f>
        <v>1</v>
      </c>
      <c r="F847" s="10">
        <f>dataset_1!F210</f>
        <v>23</v>
      </c>
      <c r="G847" s="10" t="b">
        <f>dataset_1!G210</f>
        <v>0</v>
      </c>
      <c r="H847" s="10">
        <f>dataset_1!H210</f>
        <v>0</v>
      </c>
      <c r="I847" s="10">
        <f>dataset_1!I210</f>
        <v>1</v>
      </c>
      <c r="J847" s="10">
        <f>dataset_1!J210</f>
        <v>0.12</v>
      </c>
      <c r="K847" s="10">
        <f>VLOOKUP(A847,dataset_2!$A$2:$G$611,2,0)</f>
        <v>0.1364</v>
      </c>
      <c r="L847" s="10">
        <f>VLOOKUP(A847,dataset_2!$A$2:$G$611,3,0)</f>
        <v>0.5</v>
      </c>
      <c r="M847" s="10">
        <f>VLOOKUP(A847,dataset_2!$A$2:$G$611,4,0)</f>
        <v>0.194</v>
      </c>
      <c r="N847" s="10">
        <f>VLOOKUP(A847,dataset_2!$A$2:$G$611,5,0)</f>
        <v>0</v>
      </c>
      <c r="O847" s="10">
        <f>VLOOKUP(A847,dataset_2!$A$2:$G$611,6,0)</f>
        <v>6</v>
      </c>
      <c r="P847" s="10">
        <f>VLOOKUP(A847,dataset_2!$A$2:$G$611,7,0)</f>
        <v>6</v>
      </c>
      <c r="Q847" s="10"/>
      <c r="R847" s="10"/>
      <c r="S847" s="10"/>
      <c r="T847" s="10"/>
      <c r="U847" s="10">
        <f t="shared" si="4"/>
        <v>1</v>
      </c>
      <c r="V847" s="10"/>
      <c r="W847" s="10"/>
      <c r="X847" s="10"/>
      <c r="Y847" s="10"/>
      <c r="Z847" s="10"/>
    </row>
    <row r="848" ht="13.5" customHeight="1">
      <c r="A848" s="10">
        <f>dataset_1!A238</f>
        <v>237</v>
      </c>
      <c r="B848" s="11">
        <f>dataset_1!B238</f>
        <v>40554</v>
      </c>
      <c r="C848" s="10">
        <f>dataset_1!C238</f>
        <v>1</v>
      </c>
      <c r="D848" s="10">
        <f>dataset_1!D238</f>
        <v>0</v>
      </c>
      <c r="E848" s="10">
        <f>dataset_1!E238</f>
        <v>1</v>
      </c>
      <c r="F848" s="10">
        <f>dataset_1!F238</f>
        <v>5</v>
      </c>
      <c r="G848" s="10" t="b">
        <f>dataset_1!G238</f>
        <v>0</v>
      </c>
      <c r="H848" s="10">
        <f>dataset_1!H238</f>
        <v>2</v>
      </c>
      <c r="I848" s="10">
        <f>dataset_1!I238</f>
        <v>2</v>
      </c>
      <c r="J848" s="10">
        <f>dataset_1!J238</f>
        <v>0.16</v>
      </c>
      <c r="K848" s="10">
        <f>VLOOKUP(A848,dataset_2!$A$2:$G$611,2,0)</f>
        <v>0.1818</v>
      </c>
      <c r="L848" s="10">
        <f>VLOOKUP(A848,dataset_2!$A$2:$G$611,3,0)</f>
        <v>0.55</v>
      </c>
      <c r="M848" s="10">
        <f>VLOOKUP(A848,dataset_2!$A$2:$G$611,4,0)</f>
        <v>0.1343</v>
      </c>
      <c r="N848" s="10">
        <f>VLOOKUP(A848,dataset_2!$A$2:$G$611,5,0)</f>
        <v>0</v>
      </c>
      <c r="O848" s="10">
        <f>VLOOKUP(A848,dataset_2!$A$2:$G$611,6,0)</f>
        <v>6</v>
      </c>
      <c r="P848" s="10">
        <f>VLOOKUP(A848,dataset_2!$A$2:$G$611,7,0)</f>
        <v>6</v>
      </c>
      <c r="Q848" s="10"/>
      <c r="R848" s="10"/>
      <c r="S848" s="10"/>
      <c r="T848" s="10"/>
      <c r="U848" s="10">
        <f t="shared" si="4"/>
        <v>1</v>
      </c>
      <c r="V848" s="10"/>
      <c r="W848" s="10"/>
      <c r="X848" s="10"/>
      <c r="Y848" s="10"/>
      <c r="Z848" s="10"/>
    </row>
    <row r="849" ht="13.5" customHeight="1">
      <c r="A849" s="10">
        <f>dataset_1!A258</f>
        <v>257</v>
      </c>
      <c r="B849" s="11">
        <f>dataset_1!B258</f>
        <v>40555</v>
      </c>
      <c r="C849" s="10">
        <f>dataset_1!C258</f>
        <v>1</v>
      </c>
      <c r="D849" s="10">
        <f>dataset_1!D258</f>
        <v>0</v>
      </c>
      <c r="E849" s="10">
        <f>dataset_1!E258</f>
        <v>1</v>
      </c>
      <c r="F849" s="10">
        <f>dataset_1!F258</f>
        <v>1</v>
      </c>
      <c r="G849" s="10" t="b">
        <f>dataset_1!G258</f>
        <v>0</v>
      </c>
      <c r="H849" s="10">
        <f>dataset_1!H258</f>
        <v>3</v>
      </c>
      <c r="I849" s="10">
        <f>dataset_1!I258</f>
        <v>2</v>
      </c>
      <c r="J849" s="10">
        <f>dataset_1!J258</f>
        <v>0.16</v>
      </c>
      <c r="K849" s="10">
        <f>VLOOKUP(A849,dataset_2!$A$2:$G$611,2,0)</f>
        <v>0.1818</v>
      </c>
      <c r="L849" s="10">
        <f>VLOOKUP(A849,dataset_2!$A$2:$G$611,3,0)</f>
        <v>0.86</v>
      </c>
      <c r="M849" s="10">
        <f>VLOOKUP(A849,dataset_2!$A$2:$G$611,4,0)</f>
        <v>0.1045</v>
      </c>
      <c r="N849" s="10">
        <f>VLOOKUP(A849,dataset_2!$A$2:$G$611,5,0)</f>
        <v>0</v>
      </c>
      <c r="O849" s="10">
        <f>VLOOKUP(A849,dataset_2!$A$2:$G$611,6,0)</f>
        <v>6</v>
      </c>
      <c r="P849" s="10">
        <f>VLOOKUP(A849,dataset_2!$A$2:$G$611,7,0)</f>
        <v>6</v>
      </c>
      <c r="Q849" s="10"/>
      <c r="R849" s="10"/>
      <c r="S849" s="10"/>
      <c r="T849" s="10"/>
      <c r="U849" s="10">
        <f t="shared" si="4"/>
        <v>1</v>
      </c>
      <c r="V849" s="10"/>
      <c r="W849" s="10"/>
      <c r="X849" s="10"/>
      <c r="Y849" s="10"/>
      <c r="Z849" s="10"/>
    </row>
    <row r="850" ht="13.5" customHeight="1">
      <c r="A850" s="10">
        <f>dataset_1!A438</f>
        <v>437</v>
      </c>
      <c r="B850" s="11">
        <f>dataset_1!B438</f>
        <v>40563</v>
      </c>
      <c r="C850" s="10">
        <f>dataset_1!C438</f>
        <v>1</v>
      </c>
      <c r="D850" s="10">
        <f>dataset_1!D438</f>
        <v>0</v>
      </c>
      <c r="E850" s="10">
        <f>dataset_1!E438</f>
        <v>1</v>
      </c>
      <c r="F850" s="10">
        <f>dataset_1!F438</f>
        <v>5</v>
      </c>
      <c r="G850" s="10" t="b">
        <f>dataset_1!G438</f>
        <v>0</v>
      </c>
      <c r="H850" s="10">
        <f>dataset_1!H438</f>
        <v>4</v>
      </c>
      <c r="I850" s="10">
        <f>dataset_1!I438</f>
        <v>1</v>
      </c>
      <c r="J850" s="10">
        <f>dataset_1!J438</f>
        <v>0.24</v>
      </c>
      <c r="K850" s="10">
        <f>VLOOKUP(A850,dataset_2!$A$2:$G$611,2,0)</f>
        <v>0.2273</v>
      </c>
      <c r="L850" s="10">
        <f>VLOOKUP(A850,dataset_2!$A$2:$G$611,3,0)</f>
        <v>0.6</v>
      </c>
      <c r="M850" s="10">
        <f>VLOOKUP(A850,dataset_2!$A$2:$G$611,4,0)</f>
        <v>0.2239</v>
      </c>
      <c r="N850" s="10">
        <f>VLOOKUP(A850,dataset_2!$A$2:$G$611,5,0)</f>
        <v>0</v>
      </c>
      <c r="O850" s="10">
        <f>VLOOKUP(A850,dataset_2!$A$2:$G$611,6,0)</f>
        <v>6</v>
      </c>
      <c r="P850" s="10">
        <f>VLOOKUP(A850,dataset_2!$A$2:$G$611,7,0)</f>
        <v>6</v>
      </c>
      <c r="Q850" s="10"/>
      <c r="R850" s="10"/>
      <c r="S850" s="10"/>
      <c r="T850" s="10"/>
      <c r="U850" s="10">
        <f t="shared" si="4"/>
        <v>1</v>
      </c>
      <c r="V850" s="10"/>
      <c r="W850" s="10"/>
      <c r="X850" s="10"/>
      <c r="Y850" s="10"/>
      <c r="Z850" s="10"/>
    </row>
    <row r="851" ht="13.5" customHeight="1">
      <c r="A851" s="10">
        <f>dataset_1!A458</f>
        <v>457</v>
      </c>
      <c r="B851" s="11">
        <f>dataset_1!B458</f>
        <v>40564</v>
      </c>
      <c r="C851" s="10">
        <f>dataset_1!C458</f>
        <v>1</v>
      </c>
      <c r="D851" s="10">
        <f>dataset_1!D458</f>
        <v>0</v>
      </c>
      <c r="E851" s="10">
        <f>dataset_1!E458</f>
        <v>1</v>
      </c>
      <c r="F851" s="10">
        <f>dataset_1!F458</f>
        <v>1</v>
      </c>
      <c r="G851" s="10" t="b">
        <f>dataset_1!G458</f>
        <v>0</v>
      </c>
      <c r="H851" s="10">
        <f>dataset_1!H458</f>
        <v>5</v>
      </c>
      <c r="I851" s="10">
        <f>dataset_1!I458</f>
        <v>2</v>
      </c>
      <c r="J851" s="10">
        <f>dataset_1!J458</f>
        <v>0.24</v>
      </c>
      <c r="K851" s="10">
        <f>VLOOKUP(A851,dataset_2!$A$2:$G$611,2,0)</f>
        <v>0.2273</v>
      </c>
      <c r="L851" s="10">
        <f>VLOOKUP(A851,dataset_2!$A$2:$G$611,3,0)</f>
        <v>0.7</v>
      </c>
      <c r="M851" s="10">
        <f>VLOOKUP(A851,dataset_2!$A$2:$G$611,4,0)</f>
        <v>0.2537</v>
      </c>
      <c r="N851" s="10">
        <f>VLOOKUP(A851,dataset_2!$A$2:$G$611,5,0)</f>
        <v>0</v>
      </c>
      <c r="O851" s="10">
        <f>VLOOKUP(A851,dataset_2!$A$2:$G$611,6,0)</f>
        <v>6</v>
      </c>
      <c r="P851" s="10">
        <f>VLOOKUP(A851,dataset_2!$A$2:$G$611,7,0)</f>
        <v>6</v>
      </c>
      <c r="Q851" s="10"/>
      <c r="R851" s="10"/>
      <c r="S851" s="10"/>
      <c r="T851" s="10"/>
      <c r="U851" s="10">
        <f t="shared" si="4"/>
        <v>1</v>
      </c>
      <c r="V851" s="10"/>
      <c r="W851" s="10"/>
      <c r="X851" s="10"/>
      <c r="Y851" s="10"/>
      <c r="Z851" s="10"/>
    </row>
    <row r="852" ht="13.5" customHeight="1">
      <c r="A852" s="3">
        <v>905.0</v>
      </c>
      <c r="B852" s="12">
        <v>40584.0</v>
      </c>
      <c r="C852" s="3">
        <v>1.0</v>
      </c>
      <c r="D852" s="3">
        <v>0.0</v>
      </c>
      <c r="E852" s="3">
        <v>2.0</v>
      </c>
      <c r="F852" s="3">
        <v>5.0</v>
      </c>
      <c r="G852" s="3" t="b">
        <f>FALSE()</f>
        <v>0</v>
      </c>
      <c r="H852" s="3">
        <v>4.0</v>
      </c>
      <c r="I852" s="3">
        <v>2.0</v>
      </c>
      <c r="J852" s="3">
        <v>0.12</v>
      </c>
      <c r="K852" s="3">
        <v>0.1212</v>
      </c>
      <c r="L852" s="3">
        <v>0.5</v>
      </c>
      <c r="M852" s="3">
        <v>0.2239</v>
      </c>
      <c r="N852" s="3">
        <v>0.0</v>
      </c>
      <c r="O852" s="3">
        <v>6.0</v>
      </c>
      <c r="P852" s="3">
        <v>6.0</v>
      </c>
      <c r="Q852" s="10"/>
      <c r="R852" s="10"/>
      <c r="S852" s="10"/>
      <c r="T852" s="10"/>
      <c r="U852" s="10">
        <f t="shared" si="4"/>
        <v>1</v>
      </c>
      <c r="V852" s="10"/>
      <c r="W852" s="10"/>
      <c r="X852" s="10"/>
      <c r="Y852" s="10"/>
      <c r="Z852" s="10"/>
    </row>
    <row r="853" ht="13.5" customHeight="1">
      <c r="A853" s="10">
        <f>dataset_1!A49</f>
        <v>48</v>
      </c>
      <c r="B853" s="11">
        <f>dataset_1!B49</f>
        <v>40546</v>
      </c>
      <c r="C853" s="10">
        <f>dataset_1!C49</f>
        <v>1</v>
      </c>
      <c r="D853" s="10">
        <f>dataset_1!D49</f>
        <v>0</v>
      </c>
      <c r="E853" s="10">
        <f>dataset_1!E49</f>
        <v>1</v>
      </c>
      <c r="F853" s="10">
        <f>dataset_1!F49</f>
        <v>0</v>
      </c>
      <c r="G853" s="10" t="b">
        <f>dataset_1!G49</f>
        <v>0</v>
      </c>
      <c r="H853" s="10">
        <f>dataset_1!H49</f>
        <v>1</v>
      </c>
      <c r="I853" s="10">
        <f>dataset_1!I49</f>
        <v>1</v>
      </c>
      <c r="J853" s="10">
        <f>dataset_1!J49</f>
        <v>0.22</v>
      </c>
      <c r="K853" s="10">
        <f>VLOOKUP(A853,dataset_2!$A$2:$G$611,2,0)</f>
        <v>0.197</v>
      </c>
      <c r="L853" s="10">
        <f>VLOOKUP(A853,dataset_2!$A$2:$G$611,3,0)</f>
        <v>0.44</v>
      </c>
      <c r="M853" s="10">
        <f>VLOOKUP(A853,dataset_2!$A$2:$G$611,4,0)</f>
        <v>0.3582</v>
      </c>
      <c r="N853" s="10">
        <f>VLOOKUP(A853,dataset_2!$A$2:$G$611,5,0)</f>
        <v>0</v>
      </c>
      <c r="O853" s="10">
        <f>VLOOKUP(A853,dataset_2!$A$2:$G$611,6,0)</f>
        <v>5</v>
      </c>
      <c r="P853" s="10">
        <f>VLOOKUP(A853,dataset_2!$A$2:$G$611,7,0)</f>
        <v>5</v>
      </c>
      <c r="Q853" s="10"/>
      <c r="R853" s="10"/>
      <c r="S853" s="10"/>
      <c r="T853" s="10"/>
      <c r="U853" s="10">
        <f t="shared" si="4"/>
        <v>1</v>
      </c>
      <c r="V853" s="10"/>
      <c r="W853" s="10"/>
      <c r="X853" s="10"/>
      <c r="Y853" s="10"/>
      <c r="Z853" s="10"/>
    </row>
    <row r="854" ht="13.5" customHeight="1">
      <c r="A854" s="10">
        <f>dataset_1!A71</f>
        <v>70</v>
      </c>
      <c r="B854" s="11">
        <f>dataset_1!B71</f>
        <v>40547</v>
      </c>
      <c r="C854" s="10">
        <f>dataset_1!C71</f>
        <v>1</v>
      </c>
      <c r="D854" s="10">
        <f>dataset_1!D71</f>
        <v>0</v>
      </c>
      <c r="E854" s="10">
        <f>dataset_1!E71</f>
        <v>1</v>
      </c>
      <c r="F854" s="10">
        <f>dataset_1!F71</f>
        <v>0</v>
      </c>
      <c r="G854" s="10" t="b">
        <f>dataset_1!G71</f>
        <v>0</v>
      </c>
      <c r="H854" s="10">
        <f>dataset_1!H71</f>
        <v>2</v>
      </c>
      <c r="I854" s="10">
        <f>dataset_1!I71</f>
        <v>1</v>
      </c>
      <c r="J854" s="10">
        <f>dataset_1!J71</f>
        <v>0.16</v>
      </c>
      <c r="K854" s="10" t="str">
        <f>VLOOKUP(A854,dataset_2!$A$2:$G$611,2,0)</f>
        <v/>
      </c>
      <c r="L854" s="10">
        <f>VLOOKUP(A854,dataset_2!$A$2:$G$611,3,0)</f>
        <v>0.55</v>
      </c>
      <c r="M854" s="10">
        <f>VLOOKUP(A854,dataset_2!$A$2:$G$611,4,0)</f>
        <v>0.1045</v>
      </c>
      <c r="N854" s="10">
        <f>VLOOKUP(A854,dataset_2!$A$2:$G$611,5,0)</f>
        <v>0</v>
      </c>
      <c r="O854" s="10">
        <f>VLOOKUP(A854,dataset_2!$A$2:$G$611,6,0)</f>
        <v>5</v>
      </c>
      <c r="P854" s="10">
        <f>VLOOKUP(A854,dataset_2!$A$2:$G$611,7,0)</f>
        <v>5</v>
      </c>
      <c r="Q854" s="10"/>
      <c r="R854" s="10"/>
      <c r="S854" s="10"/>
      <c r="T854" s="10"/>
      <c r="U854" s="10">
        <f t="shared" si="4"/>
        <v>1</v>
      </c>
      <c r="V854" s="10"/>
      <c r="W854" s="10"/>
      <c r="X854" s="10"/>
      <c r="Y854" s="10"/>
      <c r="Z854" s="10"/>
    </row>
    <row r="855" ht="13.5" customHeight="1">
      <c r="A855" s="10">
        <f>dataset_1!A144</f>
        <v>143</v>
      </c>
      <c r="B855" s="11">
        <f>dataset_1!B144</f>
        <v>40550</v>
      </c>
      <c r="C855" s="10">
        <f>dataset_1!C144</f>
        <v>1</v>
      </c>
      <c r="D855" s="10">
        <f>dataset_1!D144</f>
        <v>0</v>
      </c>
      <c r="E855" s="10">
        <f>dataset_1!E144</f>
        <v>1</v>
      </c>
      <c r="F855" s="10">
        <f>dataset_1!F144</f>
        <v>5</v>
      </c>
      <c r="G855" s="10" t="b">
        <f>dataset_1!G144</f>
        <v>0</v>
      </c>
      <c r="H855" s="10">
        <f>dataset_1!H144</f>
        <v>5</v>
      </c>
      <c r="I855" s="10">
        <f>dataset_1!I144</f>
        <v>3</v>
      </c>
      <c r="J855" s="10">
        <f>dataset_1!J144</f>
        <v>0.22</v>
      </c>
      <c r="K855" s="10">
        <f>VLOOKUP(A855,dataset_2!$A$2:$G$611,2,0)</f>
        <v>0.2727</v>
      </c>
      <c r="L855" s="10">
        <f>VLOOKUP(A855,dataset_2!$A$2:$G$611,3,0)</f>
        <v>0.55</v>
      </c>
      <c r="M855" s="10">
        <f>VLOOKUP(A855,dataset_2!$A$2:$G$611,4,0)</f>
        <v>0</v>
      </c>
      <c r="N855" s="10">
        <f>VLOOKUP(A855,dataset_2!$A$2:$G$611,5,0)</f>
        <v>0</v>
      </c>
      <c r="O855" s="10">
        <f>VLOOKUP(A855,dataset_2!$A$2:$G$611,6,0)</f>
        <v>5</v>
      </c>
      <c r="P855" s="10">
        <f>VLOOKUP(A855,dataset_2!$A$2:$G$611,7,0)</f>
        <v>5</v>
      </c>
      <c r="Q855" s="10"/>
      <c r="R855" s="10"/>
      <c r="S855" s="10"/>
      <c r="T855" s="10"/>
      <c r="U855" s="10">
        <f t="shared" si="4"/>
        <v>1</v>
      </c>
      <c r="V855" s="10"/>
      <c r="W855" s="10"/>
      <c r="X855" s="10"/>
      <c r="Y855" s="10"/>
      <c r="Z855" s="10"/>
    </row>
    <row r="856" ht="13.5" customHeight="1">
      <c r="A856" s="10">
        <f>dataset_1!A168</f>
        <v>167</v>
      </c>
      <c r="B856" s="11">
        <f>dataset_1!B168</f>
        <v>40551</v>
      </c>
      <c r="C856" s="10">
        <f>dataset_1!C168</f>
        <v>1</v>
      </c>
      <c r="D856" s="10">
        <f>dataset_1!D168</f>
        <v>0</v>
      </c>
      <c r="E856" s="10">
        <f>dataset_1!E168</f>
        <v>1</v>
      </c>
      <c r="F856" s="10">
        <f>dataset_1!F168</f>
        <v>5</v>
      </c>
      <c r="G856" s="10" t="b">
        <f>dataset_1!G168</f>
        <v>0</v>
      </c>
      <c r="H856" s="10">
        <f>dataset_1!H168</f>
        <v>6</v>
      </c>
      <c r="I856" s="10">
        <f>dataset_1!I168</f>
        <v>2</v>
      </c>
      <c r="J856" s="10">
        <f>dataset_1!J168</f>
        <v>0.16</v>
      </c>
      <c r="K856" s="10">
        <f>VLOOKUP(A856,dataset_2!$A$2:$G$611,2,0)</f>
        <v>0.1667</v>
      </c>
      <c r="L856" s="10">
        <f>VLOOKUP(A856,dataset_2!$A$2:$G$611,3,0)</f>
        <v>0.74</v>
      </c>
      <c r="M856" s="10">
        <f>VLOOKUP(A856,dataset_2!$A$2:$G$611,4,0)</f>
        <v>0.1642</v>
      </c>
      <c r="N856" s="10">
        <f>VLOOKUP(A856,dataset_2!$A$2:$G$611,5,0)</f>
        <v>0</v>
      </c>
      <c r="O856" s="10">
        <f>VLOOKUP(A856,dataset_2!$A$2:$G$611,6,0)</f>
        <v>5</v>
      </c>
      <c r="P856" s="10">
        <f>VLOOKUP(A856,dataset_2!$A$2:$G$611,7,0)</f>
        <v>5</v>
      </c>
      <c r="Q856" s="10"/>
      <c r="R856" s="10"/>
      <c r="S856" s="10"/>
      <c r="T856" s="10"/>
      <c r="U856" s="10">
        <f t="shared" si="4"/>
        <v>1</v>
      </c>
      <c r="V856" s="10"/>
      <c r="W856" s="10"/>
      <c r="X856" s="10"/>
      <c r="Y856" s="10"/>
      <c r="Z856" s="10"/>
    </row>
    <row r="857" ht="13.5" customHeight="1">
      <c r="A857" s="10">
        <f>dataset_1!A211</f>
        <v>210</v>
      </c>
      <c r="B857" s="11">
        <f>dataset_1!B211</f>
        <v>40553</v>
      </c>
      <c r="C857" s="10">
        <f>dataset_1!C211</f>
        <v>1</v>
      </c>
      <c r="D857" s="10">
        <f>dataset_1!D211</f>
        <v>0</v>
      </c>
      <c r="E857" s="10">
        <f>dataset_1!E211</f>
        <v>1</v>
      </c>
      <c r="F857" s="10">
        <f>dataset_1!F211</f>
        <v>0</v>
      </c>
      <c r="G857" s="10" t="b">
        <f>dataset_1!G211</f>
        <v>0</v>
      </c>
      <c r="H857" s="10">
        <f>dataset_1!H211</f>
        <v>1</v>
      </c>
      <c r="I857" s="10">
        <f>dataset_1!I211</f>
        <v>1</v>
      </c>
      <c r="J857" s="10">
        <f>dataset_1!J211</f>
        <v>0.12</v>
      </c>
      <c r="K857" s="10">
        <f>VLOOKUP(A857,dataset_2!$A$2:$G$611,2,0)</f>
        <v>0.1212</v>
      </c>
      <c r="L857" s="10">
        <f>VLOOKUP(A857,dataset_2!$A$2:$G$611,3,0)</f>
        <v>0.5</v>
      </c>
      <c r="M857" s="10">
        <f>VLOOKUP(A857,dataset_2!$A$2:$G$611,4,0)</f>
        <v>0.2836</v>
      </c>
      <c r="N857" s="10">
        <f>VLOOKUP(A857,dataset_2!$A$2:$G$611,5,0)</f>
        <v>2</v>
      </c>
      <c r="O857" s="10">
        <f>VLOOKUP(A857,dataset_2!$A$2:$G$611,6,0)</f>
        <v>3</v>
      </c>
      <c r="P857" s="10">
        <f>VLOOKUP(A857,dataset_2!$A$2:$G$611,7,0)</f>
        <v>5</v>
      </c>
      <c r="Q857" s="10"/>
      <c r="R857" s="10"/>
      <c r="S857" s="10"/>
      <c r="T857" s="10"/>
      <c r="U857" s="10">
        <f t="shared" si="4"/>
        <v>1</v>
      </c>
      <c r="V857" s="10"/>
      <c r="W857" s="10"/>
      <c r="X857" s="10"/>
      <c r="Y857" s="10"/>
      <c r="Z857" s="10"/>
    </row>
    <row r="858" ht="13.5" customHeight="1">
      <c r="A858" s="10">
        <f>dataset_1!A260</f>
        <v>259</v>
      </c>
      <c r="B858" s="11">
        <f>dataset_1!B260</f>
        <v>40555</v>
      </c>
      <c r="C858" s="10">
        <f>dataset_1!C260</f>
        <v>1</v>
      </c>
      <c r="D858" s="10">
        <f>dataset_1!D260</f>
        <v>0</v>
      </c>
      <c r="E858" s="10">
        <f>dataset_1!E260</f>
        <v>1</v>
      </c>
      <c r="F858" s="10">
        <f>dataset_1!F260</f>
        <v>5</v>
      </c>
      <c r="G858" s="10" t="b">
        <f>dataset_1!G260</f>
        <v>0</v>
      </c>
      <c r="H858" s="10">
        <f>dataset_1!H260</f>
        <v>3</v>
      </c>
      <c r="I858" s="10">
        <f>dataset_1!I260</f>
        <v>1</v>
      </c>
      <c r="J858" s="10">
        <f>dataset_1!J260</f>
        <v>0.14</v>
      </c>
      <c r="K858" s="10">
        <f>VLOOKUP(A858,dataset_2!$A$2:$G$611,2,0)</f>
        <v>0.1515</v>
      </c>
      <c r="L858" s="10">
        <f>VLOOKUP(A858,dataset_2!$A$2:$G$611,3,0)</f>
        <v>0.86</v>
      </c>
      <c r="M858" s="10">
        <f>VLOOKUP(A858,dataset_2!$A$2:$G$611,4,0)</f>
        <v>0.1642</v>
      </c>
      <c r="N858" s="10">
        <f>VLOOKUP(A858,dataset_2!$A$2:$G$611,5,0)</f>
        <v>0</v>
      </c>
      <c r="O858" s="10">
        <f>VLOOKUP(A858,dataset_2!$A$2:$G$611,6,0)</f>
        <v>5</v>
      </c>
      <c r="P858" s="10">
        <f>VLOOKUP(A858,dataset_2!$A$2:$G$611,7,0)</f>
        <v>5</v>
      </c>
      <c r="Q858" s="10"/>
      <c r="R858" s="10"/>
      <c r="S858" s="10"/>
      <c r="T858" s="10"/>
      <c r="U858" s="10">
        <f t="shared" si="4"/>
        <v>1</v>
      </c>
      <c r="V858" s="10"/>
      <c r="W858" s="10"/>
      <c r="X858" s="10"/>
      <c r="Y858" s="10"/>
      <c r="Z858" s="10"/>
    </row>
    <row r="859" ht="13.5" customHeight="1">
      <c r="A859" s="10">
        <f>dataset_1!A304</f>
        <v>303</v>
      </c>
      <c r="B859" s="11">
        <f>dataset_1!B304</f>
        <v>40557</v>
      </c>
      <c r="C859" s="10">
        <f>dataset_1!C304</f>
        <v>1</v>
      </c>
      <c r="D859" s="10">
        <f>dataset_1!D304</f>
        <v>0</v>
      </c>
      <c r="E859" s="10">
        <f>dataset_1!E304</f>
        <v>1</v>
      </c>
      <c r="F859" s="10">
        <f>dataset_1!F304</f>
        <v>1</v>
      </c>
      <c r="G859" s="10" t="b">
        <f>dataset_1!G304</f>
        <v>0</v>
      </c>
      <c r="H859" s="10">
        <f>dataset_1!H304</f>
        <v>5</v>
      </c>
      <c r="I859" s="10">
        <f>dataset_1!I304</f>
        <v>1</v>
      </c>
      <c r="J859" s="10">
        <f>dataset_1!J304</f>
        <v>0.1</v>
      </c>
      <c r="K859" s="10">
        <f>VLOOKUP(A859,dataset_2!$A$2:$G$611,2,0)</f>
        <v>0.1212</v>
      </c>
      <c r="L859" s="10">
        <f>VLOOKUP(A859,dataset_2!$A$2:$G$611,3,0)</f>
        <v>0.54</v>
      </c>
      <c r="M859" s="10">
        <f>VLOOKUP(A859,dataset_2!$A$2:$G$611,4,0)</f>
        <v>0.1642</v>
      </c>
      <c r="N859" s="10">
        <f>VLOOKUP(A859,dataset_2!$A$2:$G$611,5,0)</f>
        <v>0</v>
      </c>
      <c r="O859" s="10">
        <f>VLOOKUP(A859,dataset_2!$A$2:$G$611,6,0)</f>
        <v>5</v>
      </c>
      <c r="P859" s="10">
        <f>VLOOKUP(A859,dataset_2!$A$2:$G$611,7,0)</f>
        <v>5</v>
      </c>
      <c r="Q859" s="10"/>
      <c r="R859" s="10"/>
      <c r="S859" s="10"/>
      <c r="T859" s="10"/>
      <c r="U859" s="10">
        <f t="shared" si="4"/>
        <v>1</v>
      </c>
      <c r="V859" s="10"/>
      <c r="W859" s="10"/>
      <c r="X859" s="10"/>
      <c r="Y859" s="10"/>
      <c r="Z859" s="10"/>
    </row>
    <row r="860" ht="13.5" customHeight="1">
      <c r="A860" s="10">
        <f>dataset_1!A330</f>
        <v>329</v>
      </c>
      <c r="B860" s="11">
        <f>dataset_1!B330</f>
        <v>40558</v>
      </c>
      <c r="C860" s="10">
        <f>dataset_1!C330</f>
        <v>1</v>
      </c>
      <c r="D860" s="10">
        <f>dataset_1!D330</f>
        <v>0</v>
      </c>
      <c r="E860" s="10">
        <f>dataset_1!E330</f>
        <v>1</v>
      </c>
      <c r="F860" s="10">
        <f>dataset_1!F330</f>
        <v>4</v>
      </c>
      <c r="G860" s="10" t="b">
        <f>dataset_1!G330</f>
        <v>0</v>
      </c>
      <c r="H860" s="10">
        <f>dataset_1!H330</f>
        <v>6</v>
      </c>
      <c r="I860" s="10">
        <f>dataset_1!I330</f>
        <v>2</v>
      </c>
      <c r="J860" s="10">
        <f>dataset_1!J330</f>
        <v>0.16</v>
      </c>
      <c r="K860" s="10">
        <f>VLOOKUP(A860,dataset_2!$A$2:$G$611,2,0)</f>
        <v>0.2273</v>
      </c>
      <c r="L860" s="10">
        <f>VLOOKUP(A860,dataset_2!$A$2:$G$611,3,0)</f>
        <v>0.59</v>
      </c>
      <c r="M860" s="10">
        <f>VLOOKUP(A860,dataset_2!$A$2:$G$611,4,0)</f>
        <v>0</v>
      </c>
      <c r="N860" s="10">
        <f>VLOOKUP(A860,dataset_2!$A$2:$G$611,5,0)</f>
        <v>0</v>
      </c>
      <c r="O860" s="10">
        <f>VLOOKUP(A860,dataset_2!$A$2:$G$611,6,0)</f>
        <v>5</v>
      </c>
      <c r="P860" s="10">
        <f>VLOOKUP(A860,dataset_2!$A$2:$G$611,7,0)</f>
        <v>5</v>
      </c>
      <c r="Q860" s="10"/>
      <c r="R860" s="10"/>
      <c r="S860" s="10"/>
      <c r="T860" s="10"/>
      <c r="U860" s="10">
        <f t="shared" si="4"/>
        <v>1</v>
      </c>
      <c r="V860" s="10"/>
      <c r="W860" s="10"/>
      <c r="X860" s="10"/>
      <c r="Y860" s="10"/>
      <c r="Z860" s="10"/>
    </row>
    <row r="861" ht="13.5" customHeight="1">
      <c r="A861" s="10">
        <f>dataset_1!A380</f>
        <v>379</v>
      </c>
      <c r="B861" s="11">
        <f>dataset_1!B380</f>
        <v>40560</v>
      </c>
      <c r="C861" s="10">
        <f>dataset_1!C380</f>
        <v>1</v>
      </c>
      <c r="D861" s="10">
        <f>dataset_1!D380</f>
        <v>0</v>
      </c>
      <c r="E861" s="10">
        <f>dataset_1!E380</f>
        <v>1</v>
      </c>
      <c r="F861" s="10">
        <f>dataset_1!F380</f>
        <v>6</v>
      </c>
      <c r="G861" s="10" t="b">
        <f>dataset_1!G380</f>
        <v>1</v>
      </c>
      <c r="H861" s="10">
        <f>dataset_1!H380</f>
        <v>1</v>
      </c>
      <c r="I861" s="10">
        <f>dataset_1!I380</f>
        <v>2</v>
      </c>
      <c r="J861" s="10">
        <f>dataset_1!J380</f>
        <v>0.18</v>
      </c>
      <c r="K861" s="10">
        <f>VLOOKUP(A861,dataset_2!$A$2:$G$611,2,0)</f>
        <v>0.1818</v>
      </c>
      <c r="L861" s="10">
        <f>VLOOKUP(A861,dataset_2!$A$2:$G$611,3,0)</f>
        <v>0.43</v>
      </c>
      <c r="M861" s="10">
        <f>VLOOKUP(A861,dataset_2!$A$2:$G$611,4,0)</f>
        <v>0.194</v>
      </c>
      <c r="N861" s="10">
        <f>VLOOKUP(A861,dataset_2!$A$2:$G$611,5,0)</f>
        <v>0</v>
      </c>
      <c r="O861" s="10">
        <f>VLOOKUP(A861,dataset_2!$A$2:$G$611,6,0)</f>
        <v>5</v>
      </c>
      <c r="P861" s="10">
        <f>VLOOKUP(A861,dataset_2!$A$2:$G$611,7,0)</f>
        <v>5</v>
      </c>
      <c r="Q861" s="10"/>
      <c r="R861" s="10"/>
      <c r="S861" s="10"/>
      <c r="T861" s="10"/>
      <c r="U861" s="10">
        <f t="shared" si="4"/>
        <v>1</v>
      </c>
      <c r="V861" s="10"/>
      <c r="W861" s="10"/>
      <c r="X861" s="10"/>
      <c r="Y861" s="10"/>
      <c r="Z861" s="10"/>
    </row>
    <row r="862" ht="13.5" customHeight="1">
      <c r="A862" s="10">
        <f>dataset_1!A434</f>
        <v>433</v>
      </c>
      <c r="B862" s="11">
        <f>dataset_1!B434</f>
        <v>40563</v>
      </c>
      <c r="C862" s="10">
        <f>dataset_1!C434</f>
        <v>1</v>
      </c>
      <c r="D862" s="10">
        <f>dataset_1!D434</f>
        <v>0</v>
      </c>
      <c r="E862" s="10">
        <f>dataset_1!E434</f>
        <v>1</v>
      </c>
      <c r="F862" s="10">
        <f>dataset_1!F434</f>
        <v>1</v>
      </c>
      <c r="G862" s="10" t="b">
        <f>dataset_1!G434</f>
        <v>0</v>
      </c>
      <c r="H862" s="10">
        <f>dataset_1!H434</f>
        <v>4</v>
      </c>
      <c r="I862" s="10">
        <f>dataset_1!I434</f>
        <v>1</v>
      </c>
      <c r="J862" s="10">
        <f>dataset_1!J434</f>
        <v>0.26</v>
      </c>
      <c r="K862" s="10">
        <f>VLOOKUP(A862,dataset_2!$A$2:$G$611,2,0)</f>
        <v>0.2727</v>
      </c>
      <c r="L862" s="10">
        <f>VLOOKUP(A862,dataset_2!$A$2:$G$611,3,0)</f>
        <v>0.56</v>
      </c>
      <c r="M862" s="10">
        <f>VLOOKUP(A862,dataset_2!$A$2:$G$611,4,0)</f>
        <v>0</v>
      </c>
      <c r="N862" s="10">
        <f>VLOOKUP(A862,dataset_2!$A$2:$G$611,5,0)</f>
        <v>2</v>
      </c>
      <c r="O862" s="10">
        <f>VLOOKUP(A862,dataset_2!$A$2:$G$611,6,0)</f>
        <v>3</v>
      </c>
      <c r="P862" s="10">
        <f>VLOOKUP(A862,dataset_2!$A$2:$G$611,7,0)</f>
        <v>5</v>
      </c>
      <c r="Q862" s="10"/>
      <c r="R862" s="10"/>
      <c r="S862" s="10"/>
      <c r="T862" s="10"/>
      <c r="U862" s="10">
        <f t="shared" si="4"/>
        <v>1</v>
      </c>
      <c r="V862" s="10"/>
      <c r="W862" s="10"/>
      <c r="X862" s="10"/>
      <c r="Y862" s="10"/>
      <c r="Z862" s="10"/>
    </row>
    <row r="863" ht="13.5" customHeight="1">
      <c r="A863" s="10">
        <f>dataset_1!A462</f>
        <v>461</v>
      </c>
      <c r="B863" s="11">
        <f>dataset_1!B462</f>
        <v>40564</v>
      </c>
      <c r="C863" s="10">
        <f>dataset_1!C462</f>
        <v>1</v>
      </c>
      <c r="D863" s="10">
        <f>dataset_1!D462</f>
        <v>0</v>
      </c>
      <c r="E863" s="10">
        <f>dataset_1!E462</f>
        <v>1</v>
      </c>
      <c r="F863" s="10">
        <f>dataset_1!F462</f>
        <v>5</v>
      </c>
      <c r="G863" s="10" t="b">
        <f>dataset_1!G462</f>
        <v>0</v>
      </c>
      <c r="H863" s="10">
        <f>dataset_1!H462</f>
        <v>5</v>
      </c>
      <c r="I863" s="10">
        <f>dataset_1!I462</f>
        <v>1</v>
      </c>
      <c r="J863" s="10">
        <f>dataset_1!J462</f>
        <v>0.24</v>
      </c>
      <c r="K863" s="10">
        <f>VLOOKUP(A863,dataset_2!$A$2:$G$611,2,0)</f>
        <v>0.197</v>
      </c>
      <c r="L863" s="10">
        <f>VLOOKUP(A863,dataset_2!$A$2:$G$611,3,0)</f>
        <v>0.6</v>
      </c>
      <c r="M863" s="10">
        <f>VLOOKUP(A863,dataset_2!$A$2:$G$611,4,0)</f>
        <v>0.4179</v>
      </c>
      <c r="N863" s="10">
        <f>VLOOKUP(A863,dataset_2!$A$2:$G$611,5,0)</f>
        <v>1</v>
      </c>
      <c r="O863" s="10">
        <f>VLOOKUP(A863,dataset_2!$A$2:$G$611,6,0)</f>
        <v>4</v>
      </c>
      <c r="P863" s="10">
        <f>VLOOKUP(A863,dataset_2!$A$2:$G$611,7,0)</f>
        <v>5</v>
      </c>
      <c r="Q863" s="10"/>
      <c r="R863" s="10"/>
      <c r="S863" s="10"/>
      <c r="T863" s="10"/>
      <c r="U863" s="10">
        <f t="shared" si="4"/>
        <v>1</v>
      </c>
      <c r="V863" s="10"/>
      <c r="W863" s="10"/>
      <c r="X863" s="10"/>
      <c r="Y863" s="10"/>
      <c r="Z863" s="10"/>
    </row>
    <row r="864" ht="13.5" customHeight="1">
      <c r="A864" s="10">
        <f>dataset_1!A507</f>
        <v>506</v>
      </c>
      <c r="B864" s="11">
        <f>dataset_1!B507</f>
        <v>40566</v>
      </c>
      <c r="C864" s="10">
        <f>dataset_1!C507</f>
        <v>1</v>
      </c>
      <c r="D864" s="10">
        <f>dataset_1!D507</f>
        <v>0</v>
      </c>
      <c r="E864" s="10">
        <f>dataset_1!E507</f>
        <v>1</v>
      </c>
      <c r="F864" s="10">
        <f>dataset_1!F507</f>
        <v>3</v>
      </c>
      <c r="G864" s="10" t="b">
        <f>dataset_1!G507</f>
        <v>0</v>
      </c>
      <c r="H864" s="10">
        <f>dataset_1!H507</f>
        <v>0</v>
      </c>
      <c r="I864" s="10">
        <f>dataset_1!I507</f>
        <v>1</v>
      </c>
      <c r="J864" s="10">
        <f>dataset_1!J507</f>
        <v>0.02</v>
      </c>
      <c r="K864" s="10">
        <f>VLOOKUP(A864,dataset_2!$A$2:$G$611,2,0)</f>
        <v>0.0606</v>
      </c>
      <c r="L864" s="10">
        <f>VLOOKUP(A864,dataset_2!$A$2:$G$611,3,0)</f>
        <v>0.62</v>
      </c>
      <c r="M864" s="10">
        <f>VLOOKUP(A864,dataset_2!$A$2:$G$611,4,0)</f>
        <v>0.1343</v>
      </c>
      <c r="N864" s="10">
        <f>VLOOKUP(A864,dataset_2!$A$2:$G$611,5,0)</f>
        <v>1</v>
      </c>
      <c r="O864" s="10">
        <f>VLOOKUP(A864,dataset_2!$A$2:$G$611,6,0)</f>
        <v>4</v>
      </c>
      <c r="P864" s="10">
        <f>VLOOKUP(A864,dataset_2!$A$2:$G$611,7,0)</f>
        <v>5</v>
      </c>
      <c r="Q864" s="10"/>
      <c r="R864" s="10"/>
      <c r="S864" s="10"/>
      <c r="T864" s="10"/>
      <c r="U864" s="10">
        <f t="shared" si="4"/>
        <v>1</v>
      </c>
      <c r="V864" s="10"/>
      <c r="W864" s="10"/>
      <c r="X864" s="10"/>
      <c r="Y864" s="10"/>
      <c r="Z864" s="10"/>
    </row>
    <row r="865" ht="13.5" customHeight="1">
      <c r="A865" s="10">
        <f>dataset_1!A531</f>
        <v>530</v>
      </c>
      <c r="B865" s="11">
        <f>dataset_1!B531</f>
        <v>40567</v>
      </c>
      <c r="C865" s="10">
        <f>dataset_1!C531</f>
        <v>1</v>
      </c>
      <c r="D865" s="10">
        <f>dataset_1!D531</f>
        <v>0</v>
      </c>
      <c r="E865" s="10">
        <f>dataset_1!E531</f>
        <v>1</v>
      </c>
      <c r="F865" s="10">
        <f>dataset_1!F531</f>
        <v>5</v>
      </c>
      <c r="G865" s="10" t="b">
        <f>dataset_1!G531</f>
        <v>0</v>
      </c>
      <c r="H865" s="10">
        <f>dataset_1!H531</f>
        <v>1</v>
      </c>
      <c r="I865" s="10">
        <f>dataset_1!I531</f>
        <v>1</v>
      </c>
      <c r="J865" s="10">
        <f>dataset_1!J531</f>
        <v>0.02</v>
      </c>
      <c r="K865" s="10">
        <f>VLOOKUP(A865,dataset_2!$A$2:$G$611,2,0)</f>
        <v>0.0606</v>
      </c>
      <c r="L865" s="10">
        <f>VLOOKUP(A865,dataset_2!$A$2:$G$611,3,0)</f>
        <v>0.48</v>
      </c>
      <c r="M865" s="10">
        <f>VLOOKUP(A865,dataset_2!$A$2:$G$611,4,0)</f>
        <v>0.1343</v>
      </c>
      <c r="N865" s="10">
        <f>VLOOKUP(A865,dataset_2!$A$2:$G$611,5,0)</f>
        <v>0</v>
      </c>
      <c r="O865" s="10">
        <f>VLOOKUP(A865,dataset_2!$A$2:$G$611,6,0)</f>
        <v>5</v>
      </c>
      <c r="P865" s="10">
        <f>VLOOKUP(A865,dataset_2!$A$2:$G$611,7,0)</f>
        <v>5</v>
      </c>
      <c r="Q865" s="10"/>
      <c r="R865" s="10"/>
      <c r="S865" s="10"/>
      <c r="T865" s="10"/>
      <c r="U865" s="10">
        <f t="shared" si="4"/>
        <v>1</v>
      </c>
      <c r="V865" s="10"/>
      <c r="W865" s="10"/>
      <c r="X865" s="10"/>
      <c r="Y865" s="10"/>
      <c r="Z865" s="10"/>
    </row>
    <row r="866" ht="13.5" customHeight="1">
      <c r="A866" s="10">
        <f>dataset_1!A551</f>
        <v>550</v>
      </c>
      <c r="B866" s="11">
        <f>dataset_1!B551</f>
        <v>40568</v>
      </c>
      <c r="C866" s="10">
        <f>dataset_1!C551</f>
        <v>1</v>
      </c>
      <c r="D866" s="10">
        <f>dataset_1!D551</f>
        <v>0</v>
      </c>
      <c r="E866" s="10">
        <f>dataset_1!E551</f>
        <v>1</v>
      </c>
      <c r="F866" s="10">
        <f>dataset_1!F551</f>
        <v>1</v>
      </c>
      <c r="G866" s="10" t="b">
        <f>dataset_1!G551</f>
        <v>0</v>
      </c>
      <c r="H866" s="10">
        <f>dataset_1!H551</f>
        <v>2</v>
      </c>
      <c r="I866" s="10">
        <f>dataset_1!I551</f>
        <v>2</v>
      </c>
      <c r="J866" s="10">
        <f>dataset_1!J551</f>
        <v>0.16</v>
      </c>
      <c r="K866" s="10">
        <f>VLOOKUP(A866,dataset_2!$A$2:$G$611,2,0)</f>
        <v>0.1667</v>
      </c>
      <c r="L866" s="10">
        <f>VLOOKUP(A866,dataset_2!$A$2:$G$611,3,0)</f>
        <v>0.69</v>
      </c>
      <c r="M866" s="10">
        <f>VLOOKUP(A866,dataset_2!$A$2:$G$611,4,0)</f>
        <v>0.1642</v>
      </c>
      <c r="N866" s="10">
        <f>VLOOKUP(A866,dataset_2!$A$2:$G$611,5,0)</f>
        <v>0</v>
      </c>
      <c r="O866" s="10">
        <f>VLOOKUP(A866,dataset_2!$A$2:$G$611,6,0)</f>
        <v>5</v>
      </c>
      <c r="P866" s="10">
        <f>VLOOKUP(A866,dataset_2!$A$2:$G$611,7,0)</f>
        <v>5</v>
      </c>
      <c r="Q866" s="10"/>
      <c r="R866" s="10"/>
      <c r="S866" s="10"/>
      <c r="T866" s="10"/>
      <c r="U866" s="10">
        <f t="shared" si="4"/>
        <v>1</v>
      </c>
      <c r="V866" s="10"/>
      <c r="W866" s="10"/>
      <c r="X866" s="10"/>
      <c r="Y866" s="10"/>
      <c r="Z866" s="10"/>
    </row>
    <row r="867" ht="13.5" customHeight="1">
      <c r="A867" s="10">
        <f>dataset_1!A574</f>
        <v>573</v>
      </c>
      <c r="B867" s="11">
        <f>dataset_1!B574</f>
        <v>40569</v>
      </c>
      <c r="C867" s="10">
        <f>dataset_1!C574</f>
        <v>1</v>
      </c>
      <c r="D867" s="10">
        <f>dataset_1!D574</f>
        <v>0</v>
      </c>
      <c r="E867" s="10">
        <f>dataset_1!E574</f>
        <v>1</v>
      </c>
      <c r="F867" s="10">
        <f>dataset_1!F574</f>
        <v>1</v>
      </c>
      <c r="G867" s="10" t="b">
        <f>dataset_1!G574</f>
        <v>0</v>
      </c>
      <c r="H867" s="10">
        <f>dataset_1!H574</f>
        <v>3</v>
      </c>
      <c r="I867" s="10">
        <f>dataset_1!I574</f>
        <v>2</v>
      </c>
      <c r="J867" s="10">
        <f>dataset_1!J574</f>
        <v>0.24</v>
      </c>
      <c r="K867" s="10">
        <f>VLOOKUP(A867,dataset_2!$A$2:$G$611,2,0)</f>
        <v>0.2424</v>
      </c>
      <c r="L867" s="10">
        <f>VLOOKUP(A867,dataset_2!$A$2:$G$611,3,0)</f>
        <v>0.65</v>
      </c>
      <c r="M867" s="10">
        <f>VLOOKUP(A867,dataset_2!$A$2:$G$611,4,0)</f>
        <v>0.1343</v>
      </c>
      <c r="N867" s="10">
        <f>VLOOKUP(A867,dataset_2!$A$2:$G$611,5,0)</f>
        <v>0</v>
      </c>
      <c r="O867" s="10">
        <f>VLOOKUP(A867,dataset_2!$A$2:$G$611,6,0)</f>
        <v>5</v>
      </c>
      <c r="P867" s="10">
        <f>VLOOKUP(A867,dataset_2!$A$2:$G$611,7,0)</f>
        <v>5</v>
      </c>
      <c r="Q867" s="10"/>
      <c r="R867" s="10"/>
      <c r="S867" s="10"/>
      <c r="T867" s="10"/>
      <c r="U867" s="10">
        <f t="shared" si="4"/>
        <v>1</v>
      </c>
      <c r="V867" s="10"/>
      <c r="W867" s="10"/>
      <c r="X867" s="10"/>
      <c r="Y867" s="10"/>
      <c r="Z867" s="10"/>
    </row>
    <row r="868" ht="13.5" customHeight="1">
      <c r="A868" s="3">
        <v>625.0</v>
      </c>
      <c r="B868" s="12">
        <v>40572.0</v>
      </c>
      <c r="C868" s="3">
        <v>1.0</v>
      </c>
      <c r="D868" s="3">
        <v>0.0</v>
      </c>
      <c r="E868" s="3">
        <v>1.0</v>
      </c>
      <c r="F868" s="3">
        <v>7.0</v>
      </c>
      <c r="G868" s="3" t="b">
        <f t="shared" ref="G868:G871" si="90">FALSE()</f>
        <v>0</v>
      </c>
      <c r="H868" s="3">
        <v>6.0</v>
      </c>
      <c r="I868" s="3">
        <v>1.0</v>
      </c>
      <c r="J868" s="3">
        <v>0.16</v>
      </c>
      <c r="K868" s="3">
        <v>0.1818</v>
      </c>
      <c r="L868" s="3">
        <v>0.59</v>
      </c>
      <c r="M868" s="3">
        <v>0.1045</v>
      </c>
      <c r="N868" s="3">
        <v>1.0</v>
      </c>
      <c r="O868" s="3">
        <v>4.0</v>
      </c>
      <c r="P868" s="3">
        <v>5.0</v>
      </c>
      <c r="Q868" s="10"/>
      <c r="R868" s="10"/>
      <c r="S868" s="10"/>
      <c r="T868" s="10"/>
      <c r="U868" s="10">
        <f t="shared" si="4"/>
        <v>1</v>
      </c>
      <c r="V868" s="10"/>
      <c r="W868" s="10"/>
      <c r="X868" s="10"/>
      <c r="Y868" s="10"/>
      <c r="Z868" s="10"/>
    </row>
    <row r="869" ht="13.5" customHeight="1">
      <c r="A869" s="3">
        <v>737.0</v>
      </c>
      <c r="B869" s="12">
        <v>40577.0</v>
      </c>
      <c r="C869" s="3">
        <v>1.0</v>
      </c>
      <c r="D869" s="3">
        <v>0.0</v>
      </c>
      <c r="E869" s="3">
        <v>2.0</v>
      </c>
      <c r="F869" s="3">
        <v>1.0</v>
      </c>
      <c r="G869" s="3" t="b">
        <f t="shared" si="90"/>
        <v>0</v>
      </c>
      <c r="H869" s="3">
        <v>4.0</v>
      </c>
      <c r="I869" s="3">
        <v>1.0</v>
      </c>
      <c r="J869" s="3">
        <v>0.2</v>
      </c>
      <c r="K869" s="3">
        <v>0.1515</v>
      </c>
      <c r="L869" s="3">
        <v>0.44</v>
      </c>
      <c r="M869" s="3">
        <v>0.5224</v>
      </c>
      <c r="N869" s="3">
        <v>0.0</v>
      </c>
      <c r="O869" s="3">
        <v>5.0</v>
      </c>
      <c r="P869" s="3">
        <v>5.0</v>
      </c>
      <c r="Q869" s="10"/>
      <c r="R869" s="10"/>
      <c r="S869" s="10"/>
      <c r="T869" s="10"/>
      <c r="U869" s="10">
        <f t="shared" si="4"/>
        <v>1</v>
      </c>
      <c r="V869" s="10"/>
      <c r="W869" s="10"/>
      <c r="X869" s="10"/>
      <c r="Y869" s="10"/>
      <c r="Z869" s="10"/>
    </row>
    <row r="870" ht="13.5" customHeight="1">
      <c r="A870" s="3">
        <v>831.0</v>
      </c>
      <c r="B870" s="12">
        <v>40581.0</v>
      </c>
      <c r="C870" s="3">
        <v>1.0</v>
      </c>
      <c r="D870" s="3">
        <v>0.0</v>
      </c>
      <c r="E870" s="3">
        <v>2.0</v>
      </c>
      <c r="F870" s="3">
        <v>1.0</v>
      </c>
      <c r="G870" s="3" t="b">
        <f t="shared" si="90"/>
        <v>0</v>
      </c>
      <c r="H870" s="3">
        <v>1.0</v>
      </c>
      <c r="I870" s="3">
        <v>1.0</v>
      </c>
      <c r="J870" s="3">
        <v>0.22</v>
      </c>
      <c r="K870" s="3">
        <v>0.2727</v>
      </c>
      <c r="L870" s="3">
        <v>0.75</v>
      </c>
      <c r="M870" s="3">
        <v>0.0</v>
      </c>
      <c r="N870" s="3">
        <v>1.0</v>
      </c>
      <c r="O870" s="3">
        <v>4.0</v>
      </c>
      <c r="P870" s="3">
        <v>5.0</v>
      </c>
      <c r="Q870" s="10"/>
      <c r="R870" s="10"/>
      <c r="S870" s="10"/>
      <c r="T870" s="10"/>
      <c r="U870" s="10">
        <f t="shared" si="4"/>
        <v>1</v>
      </c>
      <c r="V870" s="10"/>
      <c r="W870" s="10"/>
      <c r="X870" s="10"/>
      <c r="Y870" s="10"/>
      <c r="Z870" s="10"/>
    </row>
    <row r="871" ht="13.5" customHeight="1">
      <c r="A871" s="3">
        <v>975.0</v>
      </c>
      <c r="B871" s="12">
        <v>40587.0</v>
      </c>
      <c r="C871" s="3">
        <v>1.0</v>
      </c>
      <c r="D871" s="3">
        <v>0.0</v>
      </c>
      <c r="E871" s="3">
        <v>2.0</v>
      </c>
      <c r="F871" s="3">
        <v>6.0</v>
      </c>
      <c r="G871" s="3" t="b">
        <f t="shared" si="90"/>
        <v>0</v>
      </c>
      <c r="H871" s="3">
        <v>0.0</v>
      </c>
      <c r="I871" s="3">
        <v>2.0</v>
      </c>
      <c r="J871" s="3">
        <v>0.2</v>
      </c>
      <c r="K871" s="3">
        <v>0.2121</v>
      </c>
      <c r="L871" s="3">
        <v>0.69</v>
      </c>
      <c r="M871" s="3">
        <v>0.1343</v>
      </c>
      <c r="N871" s="3">
        <v>2.0</v>
      </c>
      <c r="O871" s="3">
        <v>3.0</v>
      </c>
      <c r="P871" s="3">
        <v>5.0</v>
      </c>
      <c r="Q871" s="10"/>
      <c r="R871" s="10"/>
      <c r="S871" s="10"/>
      <c r="T871" s="10"/>
      <c r="U871" s="10">
        <f t="shared" si="4"/>
        <v>1</v>
      </c>
      <c r="V871" s="10"/>
      <c r="W871" s="10"/>
      <c r="X871" s="10"/>
      <c r="Y871" s="10"/>
      <c r="Z871" s="10"/>
    </row>
    <row r="872" ht="13.5" customHeight="1">
      <c r="A872" s="10">
        <f>dataset_1!A75</f>
        <v>74</v>
      </c>
      <c r="B872" s="11">
        <f>dataset_1!B75</f>
        <v>40547</v>
      </c>
      <c r="C872" s="10">
        <f>dataset_1!C75</f>
        <v>1</v>
      </c>
      <c r="D872" s="10">
        <f>dataset_1!D75</f>
        <v>0</v>
      </c>
      <c r="E872" s="10">
        <f>dataset_1!E75</f>
        <v>1</v>
      </c>
      <c r="F872" s="10">
        <f>dataset_1!F75</f>
        <v>5</v>
      </c>
      <c r="G872" s="10" t="b">
        <f>dataset_1!G75</f>
        <v>0</v>
      </c>
      <c r="H872" s="10">
        <f>dataset_1!H75</f>
        <v>2</v>
      </c>
      <c r="I872" s="10">
        <f>dataset_1!I75</f>
        <v>1</v>
      </c>
      <c r="J872" s="10">
        <f>dataset_1!J75</f>
        <v>0.12</v>
      </c>
      <c r="K872" s="10">
        <f>VLOOKUP(A872,dataset_2!$A$2:$G$611,2,0)</f>
        <v>0.1515</v>
      </c>
      <c r="L872" s="10">
        <f>VLOOKUP(A872,dataset_2!$A$2:$G$611,3,0)</f>
        <v>0.68</v>
      </c>
      <c r="M872" s="10">
        <f>VLOOKUP(A872,dataset_2!$A$2:$G$611,4,0)</f>
        <v>0.1045</v>
      </c>
      <c r="N872" s="10">
        <f>VLOOKUP(A872,dataset_2!$A$2:$G$611,5,0)</f>
        <v>0</v>
      </c>
      <c r="O872" s="10">
        <f>VLOOKUP(A872,dataset_2!$A$2:$G$611,6,0)</f>
        <v>4</v>
      </c>
      <c r="P872" s="10">
        <f>VLOOKUP(A872,dataset_2!$A$2:$G$611,7,0)</f>
        <v>4</v>
      </c>
      <c r="Q872" s="10"/>
      <c r="R872" s="10"/>
      <c r="S872" s="10"/>
      <c r="T872" s="10"/>
      <c r="U872" s="10">
        <f t="shared" si="4"/>
        <v>1</v>
      </c>
      <c r="V872" s="10"/>
      <c r="W872" s="10"/>
      <c r="X872" s="10"/>
      <c r="Y872" s="10"/>
      <c r="Z872" s="10"/>
    </row>
    <row r="873" ht="13.5" customHeight="1">
      <c r="A873" s="10">
        <f>dataset_1!A118</f>
        <v>117</v>
      </c>
      <c r="B873" s="11">
        <f>dataset_1!B118</f>
        <v>40549</v>
      </c>
      <c r="C873" s="10">
        <f>dataset_1!C118</f>
        <v>1</v>
      </c>
      <c r="D873" s="10">
        <f>dataset_1!D118</f>
        <v>0</v>
      </c>
      <c r="E873" s="10">
        <f>dataset_1!E118</f>
        <v>1</v>
      </c>
      <c r="F873" s="10">
        <f>dataset_1!F118</f>
        <v>1</v>
      </c>
      <c r="G873" s="10" t="b">
        <f>dataset_1!G118</f>
        <v>0</v>
      </c>
      <c r="H873" s="10">
        <f>dataset_1!H118</f>
        <v>4</v>
      </c>
      <c r="I873" s="10">
        <f>dataset_1!I118</f>
        <v>1</v>
      </c>
      <c r="J873" s="10">
        <f>dataset_1!J118</f>
        <v>0.16</v>
      </c>
      <c r="K873" s="10">
        <f>VLOOKUP(A873,dataset_2!$A$2:$G$611,2,0)</f>
        <v>0.2273</v>
      </c>
      <c r="L873" s="10">
        <f>VLOOKUP(A873,dataset_2!$A$2:$G$611,3,0)</f>
        <v>0.64</v>
      </c>
      <c r="M873" s="10">
        <f>VLOOKUP(A873,dataset_2!$A$2:$G$611,4,0)</f>
        <v>0</v>
      </c>
      <c r="N873" s="10">
        <f>VLOOKUP(A873,dataset_2!$A$2:$G$611,5,0)</f>
        <v>0</v>
      </c>
      <c r="O873" s="10">
        <f>VLOOKUP(A873,dataset_2!$A$2:$G$611,6,0)</f>
        <v>4</v>
      </c>
      <c r="P873" s="10">
        <f>VLOOKUP(A873,dataset_2!$A$2:$G$611,7,0)</f>
        <v>4</v>
      </c>
      <c r="Q873" s="10"/>
      <c r="R873" s="10"/>
      <c r="S873" s="10"/>
      <c r="T873" s="10"/>
      <c r="U873" s="10">
        <f t="shared" si="4"/>
        <v>1</v>
      </c>
      <c r="V873" s="10"/>
      <c r="W873" s="10"/>
      <c r="X873" s="10"/>
      <c r="Y873" s="10"/>
      <c r="Z873" s="10"/>
    </row>
    <row r="874" ht="13.5" customHeight="1">
      <c r="A874" s="10">
        <f>dataset_1!A121</f>
        <v>120</v>
      </c>
      <c r="B874" s="11">
        <f>dataset_1!B121</f>
        <v>40549</v>
      </c>
      <c r="C874" s="10">
        <f>dataset_1!C121</f>
        <v>1</v>
      </c>
      <c r="D874" s="10">
        <f>dataset_1!D121</f>
        <v>0</v>
      </c>
      <c r="E874" s="10">
        <f>dataset_1!E121</f>
        <v>1</v>
      </c>
      <c r="F874" s="10">
        <f>dataset_1!F121</f>
        <v>5</v>
      </c>
      <c r="G874" s="10" t="b">
        <f>dataset_1!G121</f>
        <v>0</v>
      </c>
      <c r="H874" s="10">
        <f>dataset_1!H121</f>
        <v>4</v>
      </c>
      <c r="I874" s="10">
        <f>dataset_1!I121</f>
        <v>2</v>
      </c>
      <c r="J874" s="10">
        <f>dataset_1!J121</f>
        <v>0.14</v>
      </c>
      <c r="K874" s="10">
        <f>VLOOKUP(A874,dataset_2!$A$2:$G$611,2,0)</f>
        <v>0.1818</v>
      </c>
      <c r="L874" s="10">
        <f>VLOOKUP(A874,dataset_2!$A$2:$G$611,3,0)</f>
        <v>0.69</v>
      </c>
      <c r="M874" s="10">
        <f>VLOOKUP(A874,dataset_2!$A$2:$G$611,4,0)</f>
        <v>0.0896</v>
      </c>
      <c r="N874" s="10">
        <f>VLOOKUP(A874,dataset_2!$A$2:$G$611,5,0)</f>
        <v>0</v>
      </c>
      <c r="O874" s="10">
        <f>VLOOKUP(A874,dataset_2!$A$2:$G$611,6,0)</f>
        <v>4</v>
      </c>
      <c r="P874" s="10">
        <f>VLOOKUP(A874,dataset_2!$A$2:$G$611,7,0)</f>
        <v>4</v>
      </c>
      <c r="Q874" s="10"/>
      <c r="R874" s="10"/>
      <c r="S874" s="10"/>
      <c r="T874" s="10"/>
      <c r="U874" s="10">
        <f t="shared" si="4"/>
        <v>1</v>
      </c>
      <c r="V874" s="10"/>
      <c r="W874" s="10"/>
      <c r="X874" s="10"/>
      <c r="Y874" s="10"/>
      <c r="Z874" s="10"/>
    </row>
    <row r="875" ht="13.5" customHeight="1">
      <c r="A875" s="10">
        <f>dataset_1!A190</f>
        <v>189</v>
      </c>
      <c r="B875" s="11">
        <f>dataset_1!B190</f>
        <v>40552</v>
      </c>
      <c r="C875" s="10">
        <f>dataset_1!C190</f>
        <v>1</v>
      </c>
      <c r="D875" s="10">
        <f>dataset_1!D190</f>
        <v>0</v>
      </c>
      <c r="E875" s="10">
        <f>dataset_1!E190</f>
        <v>1</v>
      </c>
      <c r="F875" s="10">
        <f>dataset_1!F190</f>
        <v>3</v>
      </c>
      <c r="G875" s="10" t="b">
        <f>dataset_1!G190</f>
        <v>0</v>
      </c>
      <c r="H875" s="10">
        <f>dataset_1!H190</f>
        <v>0</v>
      </c>
      <c r="I875" s="10">
        <f>dataset_1!I190</f>
        <v>1</v>
      </c>
      <c r="J875" s="10">
        <f>dataset_1!J190</f>
        <v>0.1</v>
      </c>
      <c r="K875" s="10">
        <f>VLOOKUP(A875,dataset_2!$A$2:$G$611,2,0)</f>
        <v>0.0758</v>
      </c>
      <c r="L875" s="10">
        <f>VLOOKUP(A875,dataset_2!$A$2:$G$611,3,0)</f>
        <v>0.46</v>
      </c>
      <c r="M875" s="10">
        <f>VLOOKUP(A875,dataset_2!$A$2:$G$611,4,0)</f>
        <v>0.4179</v>
      </c>
      <c r="N875" s="10">
        <f>VLOOKUP(A875,dataset_2!$A$2:$G$611,5,0)</f>
        <v>0</v>
      </c>
      <c r="O875" s="10">
        <f>VLOOKUP(A875,dataset_2!$A$2:$G$611,6,0)</f>
        <v>4</v>
      </c>
      <c r="P875" s="10">
        <f>VLOOKUP(A875,dataset_2!$A$2:$G$611,7,0)</f>
        <v>4</v>
      </c>
      <c r="Q875" s="10"/>
      <c r="R875" s="10"/>
      <c r="S875" s="10"/>
      <c r="T875" s="10"/>
      <c r="U875" s="10">
        <f t="shared" si="4"/>
        <v>1</v>
      </c>
      <c r="V875" s="10"/>
      <c r="W875" s="10"/>
      <c r="X875" s="10"/>
      <c r="Y875" s="10"/>
      <c r="Z875" s="10"/>
    </row>
    <row r="876" ht="13.5" customHeight="1">
      <c r="A876" s="10">
        <f>dataset_1!A283</f>
        <v>282</v>
      </c>
      <c r="B876" s="11">
        <f>dataset_1!B283</f>
        <v>40556</v>
      </c>
      <c r="C876" s="10">
        <f>dataset_1!C283</f>
        <v>1</v>
      </c>
      <c r="D876" s="10">
        <f>dataset_1!D283</f>
        <v>0</v>
      </c>
      <c r="E876" s="10">
        <f>dataset_1!E283</f>
        <v>1</v>
      </c>
      <c r="F876" s="10">
        <f>dataset_1!F283</f>
        <v>4</v>
      </c>
      <c r="G876" s="10" t="b">
        <f>dataset_1!G283</f>
        <v>0</v>
      </c>
      <c r="H876" s="10">
        <f>dataset_1!H283</f>
        <v>4</v>
      </c>
      <c r="I876" s="10">
        <f>dataset_1!I283</f>
        <v>1</v>
      </c>
      <c r="J876" s="10">
        <f>dataset_1!J283</f>
        <v>0.14</v>
      </c>
      <c r="K876" s="10">
        <f>VLOOKUP(A876,dataset_2!$A$2:$G$611,2,0)</f>
        <v>0.1212</v>
      </c>
      <c r="L876" s="10">
        <f>VLOOKUP(A876,dataset_2!$A$2:$G$611,3,0)</f>
        <v>0.5</v>
      </c>
      <c r="M876" s="10">
        <f>VLOOKUP(A876,dataset_2!$A$2:$G$611,4,0)</f>
        <v>0.2537</v>
      </c>
      <c r="N876" s="10">
        <f>VLOOKUP(A876,dataset_2!$A$2:$G$611,5,0)</f>
        <v>0</v>
      </c>
      <c r="O876" s="10">
        <f>VLOOKUP(A876,dataset_2!$A$2:$G$611,6,0)</f>
        <v>4</v>
      </c>
      <c r="P876" s="10">
        <f>VLOOKUP(A876,dataset_2!$A$2:$G$611,7,0)</f>
        <v>4</v>
      </c>
      <c r="Q876" s="10"/>
      <c r="R876" s="10"/>
      <c r="S876" s="10"/>
      <c r="T876" s="10"/>
      <c r="U876" s="10">
        <f t="shared" si="4"/>
        <v>1</v>
      </c>
      <c r="V876" s="10"/>
      <c r="W876" s="10"/>
      <c r="X876" s="10"/>
      <c r="Y876" s="10"/>
      <c r="Z876" s="10"/>
    </row>
    <row r="877" ht="13.5" customHeight="1">
      <c r="A877" s="10">
        <f>dataset_1!A397</f>
        <v>396</v>
      </c>
      <c r="B877" s="11">
        <f>dataset_1!B397</f>
        <v>40560</v>
      </c>
      <c r="C877" s="10">
        <f>dataset_1!C397</f>
        <v>1</v>
      </c>
      <c r="D877" s="10">
        <f>dataset_1!D397</f>
        <v>0</v>
      </c>
      <c r="E877" s="10">
        <f>dataset_1!E397</f>
        <v>1</v>
      </c>
      <c r="F877" s="10">
        <f>dataset_1!F397</f>
        <v>23</v>
      </c>
      <c r="G877" s="10" t="b">
        <f>dataset_1!G397</f>
        <v>1</v>
      </c>
      <c r="H877" s="10">
        <f>dataset_1!H397</f>
        <v>1</v>
      </c>
      <c r="I877" s="10">
        <f>dataset_1!I397</f>
        <v>3</v>
      </c>
      <c r="J877" s="10">
        <f>dataset_1!J397</f>
        <v>0.16</v>
      </c>
      <c r="K877" s="10">
        <f>VLOOKUP(A877,dataset_2!$A$2:$G$611,2,0)</f>
        <v>0.1364</v>
      </c>
      <c r="L877" s="10">
        <f>VLOOKUP(A877,dataset_2!$A$2:$G$611,3,0)</f>
        <v>0.86</v>
      </c>
      <c r="M877" s="10">
        <f>VLOOKUP(A877,dataset_2!$A$2:$G$611,4,0)</f>
        <v>0.2836</v>
      </c>
      <c r="N877" s="10">
        <f>VLOOKUP(A877,dataset_2!$A$2:$G$611,5,0)</f>
        <v>1</v>
      </c>
      <c r="O877" s="10">
        <f>VLOOKUP(A877,dataset_2!$A$2:$G$611,6,0)</f>
        <v>3</v>
      </c>
      <c r="P877" s="10">
        <f>VLOOKUP(A877,dataset_2!$A$2:$G$611,7,0)</f>
        <v>4</v>
      </c>
      <c r="Q877" s="10"/>
      <c r="R877" s="10"/>
      <c r="S877" s="10"/>
      <c r="T877" s="10"/>
      <c r="U877" s="10">
        <f t="shared" si="4"/>
        <v>1</v>
      </c>
      <c r="V877" s="10"/>
      <c r="W877" s="10"/>
      <c r="X877" s="10"/>
      <c r="Y877" s="10"/>
      <c r="Z877" s="10"/>
    </row>
    <row r="878" ht="13.5" customHeight="1">
      <c r="A878" s="10">
        <f>dataset_1!A601</f>
        <v>600</v>
      </c>
      <c r="B878" s="11">
        <f>dataset_1!B601</f>
        <v>40571</v>
      </c>
      <c r="C878" s="10">
        <f>dataset_1!C601</f>
        <v>1</v>
      </c>
      <c r="D878" s="10">
        <f>dataset_1!D601</f>
        <v>0</v>
      </c>
      <c r="E878" s="10">
        <f>dataset_1!E601</f>
        <v>1</v>
      </c>
      <c r="F878" s="10">
        <f>dataset_1!F601</f>
        <v>5</v>
      </c>
      <c r="G878" s="10" t="b">
        <f>dataset_1!G601</f>
        <v>0</v>
      </c>
      <c r="H878" s="10">
        <f>dataset_1!H601</f>
        <v>5</v>
      </c>
      <c r="I878" s="10">
        <f>dataset_1!I601</f>
        <v>2</v>
      </c>
      <c r="J878" s="10">
        <f>dataset_1!J601</f>
        <v>0.18</v>
      </c>
      <c r="K878" s="10">
        <f>VLOOKUP(A878,dataset_2!$A$2:$G$611,2,0)</f>
        <v>0.2121</v>
      </c>
      <c r="L878" s="10">
        <f>VLOOKUP(A878,dataset_2!$A$2:$G$611,3,0)</f>
        <v>0.8</v>
      </c>
      <c r="M878" s="10">
        <f>VLOOKUP(A878,dataset_2!$A$2:$G$611,4,0)</f>
        <v>0.1045</v>
      </c>
      <c r="N878" s="10">
        <f>VLOOKUP(A878,dataset_2!$A$2:$G$611,5,0)</f>
        <v>0</v>
      </c>
      <c r="O878" s="10">
        <f>VLOOKUP(A878,dataset_2!$A$2:$G$611,6,0)</f>
        <v>4</v>
      </c>
      <c r="P878" s="10">
        <f>VLOOKUP(A878,dataset_2!$A$2:$G$611,7,0)</f>
        <v>4</v>
      </c>
      <c r="Q878" s="10"/>
      <c r="R878" s="10"/>
      <c r="S878" s="10"/>
      <c r="T878" s="10"/>
      <c r="U878" s="10">
        <f t="shared" si="4"/>
        <v>1</v>
      </c>
      <c r="V878" s="10"/>
      <c r="W878" s="10"/>
      <c r="X878" s="10"/>
      <c r="Y878" s="10"/>
      <c r="Z878" s="10"/>
    </row>
    <row r="879" ht="13.5" customHeight="1">
      <c r="A879" s="3">
        <v>714.0</v>
      </c>
      <c r="B879" s="12">
        <v>40576.0</v>
      </c>
      <c r="C879" s="3">
        <v>1.0</v>
      </c>
      <c r="D879" s="3">
        <v>0.0</v>
      </c>
      <c r="E879" s="3">
        <v>2.0</v>
      </c>
      <c r="F879" s="3">
        <v>2.0</v>
      </c>
      <c r="G879" s="3" t="b">
        <f t="shared" ref="G879:G884" si="91">FALSE()</f>
        <v>0</v>
      </c>
      <c r="H879" s="3">
        <v>3.0</v>
      </c>
      <c r="I879" s="3">
        <v>3.0</v>
      </c>
      <c r="J879" s="3">
        <v>0.22</v>
      </c>
      <c r="K879" s="3">
        <v>0.2273</v>
      </c>
      <c r="L879" s="3">
        <v>0.93</v>
      </c>
      <c r="M879" s="3">
        <v>0.1343</v>
      </c>
      <c r="N879" s="3">
        <v>4.0</v>
      </c>
      <c r="O879" s="3">
        <v>0.0</v>
      </c>
      <c r="P879" s="3">
        <v>4.0</v>
      </c>
      <c r="Q879" s="10"/>
      <c r="R879" s="10"/>
      <c r="S879" s="10"/>
      <c r="T879" s="10"/>
      <c r="U879" s="10">
        <f t="shared" si="4"/>
        <v>1</v>
      </c>
      <c r="V879" s="10"/>
      <c r="W879" s="10"/>
      <c r="X879" s="10"/>
      <c r="Y879" s="10"/>
      <c r="Z879" s="10"/>
    </row>
    <row r="880" ht="13.5" customHeight="1">
      <c r="A880" s="3">
        <v>788.0</v>
      </c>
      <c r="B880" s="12">
        <v>40579.0</v>
      </c>
      <c r="C880" s="3">
        <v>1.0</v>
      </c>
      <c r="D880" s="3">
        <v>0.0</v>
      </c>
      <c r="E880" s="3">
        <v>2.0</v>
      </c>
      <c r="F880" s="3">
        <v>6.0</v>
      </c>
      <c r="G880" s="3" t="b">
        <f t="shared" si="91"/>
        <v>0</v>
      </c>
      <c r="H880" s="3">
        <v>6.0</v>
      </c>
      <c r="I880" s="3">
        <v>3.0</v>
      </c>
      <c r="J880" s="3">
        <v>0.2</v>
      </c>
      <c r="K880" s="3">
        <v>0.2576</v>
      </c>
      <c r="L880" s="3">
        <v>1.0</v>
      </c>
      <c r="M880" s="3">
        <v>0.0</v>
      </c>
      <c r="N880" s="3">
        <v>0.0</v>
      </c>
      <c r="O880" s="3">
        <v>4.0</v>
      </c>
      <c r="P880" s="3">
        <v>4.0</v>
      </c>
      <c r="Q880" s="10"/>
      <c r="R880" s="10"/>
      <c r="S880" s="10"/>
      <c r="T880" s="10"/>
      <c r="U880" s="10">
        <f t="shared" si="4"/>
        <v>1</v>
      </c>
      <c r="V880" s="10"/>
      <c r="W880" s="10"/>
      <c r="X880" s="10"/>
      <c r="Y880" s="10"/>
      <c r="Z880" s="10"/>
    </row>
    <row r="881" ht="13.5" customHeight="1">
      <c r="A881" s="3">
        <v>789.0</v>
      </c>
      <c r="B881" s="12">
        <v>40579.0</v>
      </c>
      <c r="C881" s="3">
        <v>1.0</v>
      </c>
      <c r="D881" s="3">
        <v>0.0</v>
      </c>
      <c r="E881" s="3">
        <v>2.0</v>
      </c>
      <c r="F881" s="3">
        <v>7.0</v>
      </c>
      <c r="G881" s="3" t="b">
        <f t="shared" si="91"/>
        <v>0</v>
      </c>
      <c r="H881" s="3">
        <v>6.0</v>
      </c>
      <c r="I881" s="3">
        <v>3.0</v>
      </c>
      <c r="J881" s="3">
        <v>0.22</v>
      </c>
      <c r="K881" s="3">
        <v>0.2576</v>
      </c>
      <c r="L881" s="3">
        <v>0.93</v>
      </c>
      <c r="M881" s="3">
        <v>0.0896</v>
      </c>
      <c r="N881" s="3">
        <v>0.0</v>
      </c>
      <c r="O881" s="3">
        <v>4.0</v>
      </c>
      <c r="P881" s="3">
        <v>4.0</v>
      </c>
      <c r="Q881" s="10"/>
      <c r="R881" s="10"/>
      <c r="S881" s="10"/>
      <c r="T881" s="10"/>
      <c r="U881" s="10">
        <f t="shared" si="4"/>
        <v>1</v>
      </c>
      <c r="V881" s="10"/>
      <c r="W881" s="10"/>
      <c r="X881" s="10"/>
      <c r="Y881" s="10"/>
      <c r="Z881" s="10"/>
    </row>
    <row r="882" ht="13.5" customHeight="1">
      <c r="A882" s="3">
        <v>855.0</v>
      </c>
      <c r="B882" s="12">
        <v>40582.0</v>
      </c>
      <c r="C882" s="3">
        <v>1.0</v>
      </c>
      <c r="D882" s="3">
        <v>0.0</v>
      </c>
      <c r="E882" s="3">
        <v>2.0</v>
      </c>
      <c r="F882" s="3">
        <v>1.0</v>
      </c>
      <c r="G882" s="3" t="b">
        <f t="shared" si="91"/>
        <v>0</v>
      </c>
      <c r="H882" s="3">
        <v>2.0</v>
      </c>
      <c r="I882" s="3">
        <v>2.0</v>
      </c>
      <c r="J882" s="3">
        <v>0.28</v>
      </c>
      <c r="K882" s="3">
        <v>0.3182</v>
      </c>
      <c r="L882" s="3">
        <v>0.87</v>
      </c>
      <c r="M882" s="3">
        <v>0.0</v>
      </c>
      <c r="N882" s="3">
        <v>0.0</v>
      </c>
      <c r="O882" s="3">
        <v>4.0</v>
      </c>
      <c r="P882" s="3">
        <v>4.0</v>
      </c>
      <c r="Q882" s="10"/>
      <c r="R882" s="10"/>
      <c r="S882" s="10"/>
      <c r="T882" s="10"/>
      <c r="U882" s="10">
        <f t="shared" si="4"/>
        <v>1</v>
      </c>
      <c r="V882" s="10"/>
      <c r="W882" s="10"/>
      <c r="X882" s="10"/>
      <c r="Y882" s="10"/>
      <c r="Z882" s="10"/>
    </row>
    <row r="883" ht="13.5" customHeight="1">
      <c r="A883" s="3">
        <v>927.0</v>
      </c>
      <c r="B883" s="12">
        <v>40585.0</v>
      </c>
      <c r="C883" s="3">
        <v>1.0</v>
      </c>
      <c r="D883" s="3">
        <v>0.0</v>
      </c>
      <c r="E883" s="3">
        <v>2.0</v>
      </c>
      <c r="F883" s="3">
        <v>5.0</v>
      </c>
      <c r="G883" s="3" t="b">
        <f t="shared" si="91"/>
        <v>0</v>
      </c>
      <c r="H883" s="3">
        <v>5.0</v>
      </c>
      <c r="I883" s="3">
        <v>1.0</v>
      </c>
      <c r="J883" s="3">
        <v>0.08</v>
      </c>
      <c r="K883" s="3">
        <v>0.1212</v>
      </c>
      <c r="L883" s="3">
        <v>0.63</v>
      </c>
      <c r="M883" s="3">
        <v>0.0896</v>
      </c>
      <c r="N883" s="3">
        <v>0.0</v>
      </c>
      <c r="O883" s="3">
        <v>4.0</v>
      </c>
      <c r="P883" s="3">
        <v>4.0</v>
      </c>
      <c r="Q883" s="10"/>
      <c r="R883" s="10"/>
      <c r="S883" s="10"/>
      <c r="T883" s="10"/>
      <c r="U883" s="10">
        <f t="shared" si="4"/>
        <v>1</v>
      </c>
      <c r="V883" s="10"/>
      <c r="W883" s="10"/>
      <c r="X883" s="10"/>
      <c r="Y883" s="10"/>
      <c r="Z883" s="10"/>
    </row>
    <row r="884" ht="13.5" customHeight="1">
      <c r="A884" s="3">
        <v>950.0</v>
      </c>
      <c r="B884" s="12">
        <v>40586.0</v>
      </c>
      <c r="C884" s="3">
        <v>1.0</v>
      </c>
      <c r="D884" s="3">
        <v>0.0</v>
      </c>
      <c r="E884" s="3">
        <v>2.0</v>
      </c>
      <c r="F884" s="3">
        <v>4.0</v>
      </c>
      <c r="G884" s="3" t="b">
        <f t="shared" si="91"/>
        <v>0</v>
      </c>
      <c r="H884" s="3">
        <v>6.0</v>
      </c>
      <c r="I884" s="3">
        <v>1.0</v>
      </c>
      <c r="J884" s="3">
        <v>0.12</v>
      </c>
      <c r="K884" s="3">
        <v>0.1667</v>
      </c>
      <c r="L884" s="3">
        <v>0.74</v>
      </c>
      <c r="M884" s="3">
        <v>0.0896</v>
      </c>
      <c r="N884" s="3">
        <v>0.0</v>
      </c>
      <c r="O884" s="3">
        <v>4.0</v>
      </c>
      <c r="P884" s="3">
        <v>4.0</v>
      </c>
      <c r="Q884" s="10"/>
      <c r="R884" s="10"/>
      <c r="S884" s="10"/>
      <c r="T884" s="10"/>
      <c r="U884" s="10">
        <f t="shared" si="4"/>
        <v>1</v>
      </c>
      <c r="V884" s="10"/>
      <c r="W884" s="10"/>
      <c r="X884" s="10"/>
      <c r="Y884" s="10"/>
      <c r="Z884" s="10"/>
    </row>
    <row r="885" ht="13.5" customHeight="1">
      <c r="A885" s="10">
        <f>dataset_1!A9</f>
        <v>8</v>
      </c>
      <c r="B885" s="11">
        <f>dataset_1!B9</f>
        <v>40544</v>
      </c>
      <c r="C885" s="10">
        <f>dataset_1!C9</f>
        <v>1</v>
      </c>
      <c r="D885" s="10">
        <f>dataset_1!D9</f>
        <v>0</v>
      </c>
      <c r="E885" s="10">
        <f>dataset_1!E9</f>
        <v>1</v>
      </c>
      <c r="F885" s="10">
        <f>dataset_1!F9</f>
        <v>7</v>
      </c>
      <c r="G885" s="10" t="b">
        <f>dataset_1!G9</f>
        <v>0</v>
      </c>
      <c r="H885" s="10">
        <f>dataset_1!H9</f>
        <v>6</v>
      </c>
      <c r="I885" s="10">
        <f>dataset_1!I9</f>
        <v>1</v>
      </c>
      <c r="J885" s="10">
        <f>dataset_1!J9</f>
        <v>0.2</v>
      </c>
      <c r="K885" s="10">
        <f>VLOOKUP(A885,dataset_2!$A$2:$G$611,2,0)</f>
        <v>0.2576</v>
      </c>
      <c r="L885" s="10">
        <f>VLOOKUP(A885,dataset_2!$A$2:$G$611,3,0)</f>
        <v>0.86</v>
      </c>
      <c r="M885" s="10">
        <f>VLOOKUP(A885,dataset_2!$A$2:$G$611,4,0)</f>
        <v>0</v>
      </c>
      <c r="N885" s="10">
        <f>VLOOKUP(A885,dataset_2!$A$2:$G$611,5,0)</f>
        <v>1</v>
      </c>
      <c r="O885" s="10">
        <f>VLOOKUP(A885,dataset_2!$A$2:$G$611,6,0)</f>
        <v>2</v>
      </c>
      <c r="P885" s="10">
        <f>VLOOKUP(A885,dataset_2!$A$2:$G$611,7,0)</f>
        <v>3</v>
      </c>
      <c r="Q885" s="10"/>
      <c r="R885" s="10"/>
      <c r="S885" s="10"/>
      <c r="T885" s="10"/>
      <c r="U885" s="10">
        <f t="shared" si="4"/>
        <v>1</v>
      </c>
      <c r="V885" s="10"/>
      <c r="W885" s="10"/>
      <c r="X885" s="10"/>
      <c r="Y885" s="10"/>
      <c r="Z885" s="10"/>
    </row>
    <row r="886" ht="13.5" customHeight="1">
      <c r="A886" s="10">
        <f>dataset_1!A30</f>
        <v>29</v>
      </c>
      <c r="B886" s="11">
        <f>dataset_1!B30</f>
        <v>40545</v>
      </c>
      <c r="C886" s="10">
        <f>dataset_1!C30</f>
        <v>1</v>
      </c>
      <c r="D886" s="10">
        <f>dataset_1!D30</f>
        <v>0</v>
      </c>
      <c r="E886" s="10">
        <f>dataset_1!E30</f>
        <v>1</v>
      </c>
      <c r="F886" s="10">
        <f>dataset_1!F30</f>
        <v>4</v>
      </c>
      <c r="G886" s="10" t="b">
        <f>dataset_1!G30</f>
        <v>0</v>
      </c>
      <c r="H886" s="10">
        <f>dataset_1!H30</f>
        <v>0</v>
      </c>
      <c r="I886" s="10">
        <f>dataset_1!I30</f>
        <v>2</v>
      </c>
      <c r="J886" s="10">
        <f>dataset_1!J30</f>
        <v>0.46</v>
      </c>
      <c r="K886" s="10" t="str">
        <f>VLOOKUP(A886,dataset_2!$A$2:$G$611,2,0)</f>
        <v/>
      </c>
      <c r="L886" s="10">
        <f>VLOOKUP(A886,dataset_2!$A$2:$G$611,3,0)</f>
        <v>0.94</v>
      </c>
      <c r="M886" s="10">
        <f>VLOOKUP(A886,dataset_2!$A$2:$G$611,4,0)</f>
        <v>0.194</v>
      </c>
      <c r="N886" s="10">
        <f>VLOOKUP(A886,dataset_2!$A$2:$G$611,5,0)</f>
        <v>2</v>
      </c>
      <c r="O886" s="10">
        <f>VLOOKUP(A886,dataset_2!$A$2:$G$611,6,0)</f>
        <v>1</v>
      </c>
      <c r="P886" s="10">
        <f>VLOOKUP(A886,dataset_2!$A$2:$G$611,7,0)</f>
        <v>3</v>
      </c>
      <c r="Q886" s="10"/>
      <c r="R886" s="10"/>
      <c r="S886" s="10"/>
      <c r="T886" s="10"/>
      <c r="U886" s="10">
        <f t="shared" si="4"/>
        <v>1</v>
      </c>
      <c r="V886" s="10"/>
      <c r="W886" s="10"/>
      <c r="X886" s="10"/>
      <c r="Y886" s="10"/>
      <c r="Z886" s="10"/>
    </row>
    <row r="887" ht="13.5" customHeight="1">
      <c r="A887" s="10">
        <f>dataset_1!A52</f>
        <v>51</v>
      </c>
      <c r="B887" s="11">
        <f>dataset_1!B52</f>
        <v>40546</v>
      </c>
      <c r="C887" s="10">
        <f>dataset_1!C52</f>
        <v>1</v>
      </c>
      <c r="D887" s="10">
        <f>dataset_1!D52</f>
        <v>0</v>
      </c>
      <c r="E887" s="10">
        <f>dataset_1!E52</f>
        <v>1</v>
      </c>
      <c r="F887" s="10">
        <f>dataset_1!F52</f>
        <v>5</v>
      </c>
      <c r="G887" s="10" t="b">
        <f>dataset_1!G52</f>
        <v>0</v>
      </c>
      <c r="H887" s="10">
        <f>dataset_1!H52</f>
        <v>1</v>
      </c>
      <c r="I887" s="10">
        <f>dataset_1!I52</f>
        <v>1</v>
      </c>
      <c r="J887" s="10">
        <f>dataset_1!J52</f>
        <v>0.16</v>
      </c>
      <c r="K887" s="10">
        <f>VLOOKUP(A887,dataset_2!$A$2:$G$611,2,0)</f>
        <v>0.1364</v>
      </c>
      <c r="L887" s="10">
        <f>VLOOKUP(A887,dataset_2!$A$2:$G$611,3,0)</f>
        <v>0.47</v>
      </c>
      <c r="M887" s="10">
        <f>VLOOKUP(A887,dataset_2!$A$2:$G$611,4,0)</f>
        <v>0.2836</v>
      </c>
      <c r="N887" s="10">
        <f>VLOOKUP(A887,dataset_2!$A$2:$G$611,5,0)</f>
        <v>0</v>
      </c>
      <c r="O887" s="10">
        <f>VLOOKUP(A887,dataset_2!$A$2:$G$611,6,0)</f>
        <v>3</v>
      </c>
      <c r="P887" s="10">
        <f>VLOOKUP(A887,dataset_2!$A$2:$G$611,7,0)</f>
        <v>3</v>
      </c>
      <c r="Q887" s="10"/>
      <c r="R887" s="10"/>
      <c r="S887" s="10"/>
      <c r="T887" s="10"/>
      <c r="U887" s="10">
        <f t="shared" si="4"/>
        <v>1</v>
      </c>
      <c r="V887" s="10"/>
      <c r="W887" s="10"/>
      <c r="X887" s="10"/>
      <c r="Y887" s="10"/>
      <c r="Z887" s="10"/>
    </row>
    <row r="888" ht="13.5" customHeight="1">
      <c r="A888" s="10">
        <f>dataset_1!A98</f>
        <v>97</v>
      </c>
      <c r="B888" s="11">
        <f>dataset_1!B98</f>
        <v>40548</v>
      </c>
      <c r="C888" s="10">
        <f>dataset_1!C98</f>
        <v>1</v>
      </c>
      <c r="D888" s="10">
        <f>dataset_1!D98</f>
        <v>0</v>
      </c>
      <c r="E888" s="10">
        <f>dataset_1!E98</f>
        <v>1</v>
      </c>
      <c r="F888" s="10">
        <f>dataset_1!F98</f>
        <v>5</v>
      </c>
      <c r="G888" s="10" t="b">
        <f>dataset_1!G98</f>
        <v>0</v>
      </c>
      <c r="H888" s="10">
        <f>dataset_1!H98</f>
        <v>3</v>
      </c>
      <c r="I888" s="10">
        <f>dataset_1!I98</f>
        <v>1</v>
      </c>
      <c r="J888" s="10">
        <f>dataset_1!J98</f>
        <v>0.22</v>
      </c>
      <c r="K888" s="10">
        <f>VLOOKUP(A888,dataset_2!$A$2:$G$611,2,0)</f>
        <v>0.2273</v>
      </c>
      <c r="L888" s="10">
        <f>VLOOKUP(A888,dataset_2!$A$2:$G$611,3,0)</f>
        <v>0.47</v>
      </c>
      <c r="M888" s="10">
        <f>VLOOKUP(A888,dataset_2!$A$2:$G$611,4,0)</f>
        <v>0.1642</v>
      </c>
      <c r="N888" s="10">
        <f>VLOOKUP(A888,dataset_2!$A$2:$G$611,5,0)</f>
        <v>0</v>
      </c>
      <c r="O888" s="10">
        <f>VLOOKUP(A888,dataset_2!$A$2:$G$611,6,0)</f>
        <v>3</v>
      </c>
      <c r="P888" s="10">
        <f>VLOOKUP(A888,dataset_2!$A$2:$G$611,7,0)</f>
        <v>3</v>
      </c>
      <c r="Q888" s="10"/>
      <c r="R888" s="10"/>
      <c r="S888" s="10"/>
      <c r="T888" s="10"/>
      <c r="U888" s="10">
        <f t="shared" si="4"/>
        <v>1</v>
      </c>
      <c r="V888" s="10"/>
      <c r="W888" s="10"/>
      <c r="X888" s="10"/>
      <c r="Y888" s="10"/>
      <c r="Z888" s="10"/>
    </row>
    <row r="889" ht="13.5" customHeight="1">
      <c r="A889" s="10">
        <f>dataset_1!A213</f>
        <v>212</v>
      </c>
      <c r="B889" s="11">
        <f>dataset_1!B213</f>
        <v>40553</v>
      </c>
      <c r="C889" s="10">
        <f>dataset_1!C213</f>
        <v>1</v>
      </c>
      <c r="D889" s="10">
        <f>dataset_1!D213</f>
        <v>0</v>
      </c>
      <c r="E889" s="10">
        <f>dataset_1!E213</f>
        <v>1</v>
      </c>
      <c r="F889" s="10">
        <f>dataset_1!F213</f>
        <v>2</v>
      </c>
      <c r="G889" s="10" t="b">
        <f>dataset_1!G213</f>
        <v>0</v>
      </c>
      <c r="H889" s="10">
        <f>dataset_1!H213</f>
        <v>1</v>
      </c>
      <c r="I889" s="10">
        <f>dataset_1!I213</f>
        <v>1</v>
      </c>
      <c r="J889" s="10">
        <f>dataset_1!J213</f>
        <v>0.12</v>
      </c>
      <c r="K889" s="10">
        <f>VLOOKUP(A889,dataset_2!$A$2:$G$611,2,0)</f>
        <v>0.1212</v>
      </c>
      <c r="L889" s="10">
        <f>VLOOKUP(A889,dataset_2!$A$2:$G$611,3,0)</f>
        <v>0.5</v>
      </c>
      <c r="M889" s="10">
        <f>VLOOKUP(A889,dataset_2!$A$2:$G$611,4,0)</f>
        <v>0.2239</v>
      </c>
      <c r="N889" s="10">
        <f>VLOOKUP(A889,dataset_2!$A$2:$G$611,5,0)</f>
        <v>0</v>
      </c>
      <c r="O889" s="10">
        <f>VLOOKUP(A889,dataset_2!$A$2:$G$611,6,0)</f>
        <v>3</v>
      </c>
      <c r="P889" s="10">
        <f>VLOOKUP(A889,dataset_2!$A$2:$G$611,7,0)</f>
        <v>3</v>
      </c>
      <c r="Q889" s="10"/>
      <c r="R889" s="10"/>
      <c r="S889" s="10"/>
      <c r="T889" s="10"/>
      <c r="U889" s="10">
        <f t="shared" si="4"/>
        <v>1</v>
      </c>
      <c r="V889" s="10"/>
      <c r="W889" s="10"/>
      <c r="X889" s="10"/>
      <c r="Y889" s="10"/>
      <c r="Z889" s="10"/>
    </row>
    <row r="890" ht="13.5" customHeight="1">
      <c r="A890" s="10">
        <f>dataset_1!A215</f>
        <v>214</v>
      </c>
      <c r="B890" s="11">
        <f>dataset_1!B215</f>
        <v>40553</v>
      </c>
      <c r="C890" s="10">
        <f>dataset_1!C215</f>
        <v>1</v>
      </c>
      <c r="D890" s="10">
        <f>dataset_1!D215</f>
        <v>0</v>
      </c>
      <c r="E890" s="10">
        <f>dataset_1!E215</f>
        <v>1</v>
      </c>
      <c r="F890" s="10">
        <f>dataset_1!F215</f>
        <v>4</v>
      </c>
      <c r="G890" s="10" t="b">
        <f>dataset_1!G215</f>
        <v>0</v>
      </c>
      <c r="H890" s="10">
        <f>dataset_1!H215</f>
        <v>1</v>
      </c>
      <c r="I890" s="10">
        <f>dataset_1!I215</f>
        <v>1</v>
      </c>
      <c r="J890" s="10">
        <f>dataset_1!J215</f>
        <v>0.1</v>
      </c>
      <c r="K890" s="10">
        <f>VLOOKUP(A890,dataset_2!$A$2:$G$611,2,0)</f>
        <v>0.1212</v>
      </c>
      <c r="L890" s="10">
        <f>VLOOKUP(A890,dataset_2!$A$2:$G$611,3,0)</f>
        <v>0.54</v>
      </c>
      <c r="M890" s="10">
        <f>VLOOKUP(A890,dataset_2!$A$2:$G$611,4,0)</f>
        <v>0.1343</v>
      </c>
      <c r="N890" s="10">
        <f>VLOOKUP(A890,dataset_2!$A$2:$G$611,5,0)</f>
        <v>1</v>
      </c>
      <c r="O890" s="10">
        <f>VLOOKUP(A890,dataset_2!$A$2:$G$611,6,0)</f>
        <v>2</v>
      </c>
      <c r="P890" s="10">
        <f>VLOOKUP(A890,dataset_2!$A$2:$G$611,7,0)</f>
        <v>3</v>
      </c>
      <c r="Q890" s="10"/>
      <c r="R890" s="10"/>
      <c r="S890" s="10"/>
      <c r="T890" s="10"/>
      <c r="U890" s="10">
        <f t="shared" si="4"/>
        <v>1</v>
      </c>
      <c r="V890" s="10"/>
      <c r="W890" s="10"/>
      <c r="X890" s="10"/>
      <c r="Y890" s="10"/>
      <c r="Z890" s="10"/>
    </row>
    <row r="891" ht="13.5" customHeight="1">
      <c r="A891" s="10">
        <f>dataset_1!A216</f>
        <v>215</v>
      </c>
      <c r="B891" s="11">
        <f>dataset_1!B216</f>
        <v>40553</v>
      </c>
      <c r="C891" s="10">
        <f>dataset_1!C216</f>
        <v>1</v>
      </c>
      <c r="D891" s="10">
        <f>dataset_1!D216</f>
        <v>0</v>
      </c>
      <c r="E891" s="10">
        <f>dataset_1!E216</f>
        <v>1</v>
      </c>
      <c r="F891" s="10">
        <f>dataset_1!F216</f>
        <v>5</v>
      </c>
      <c r="G891" s="10" t="b">
        <f>dataset_1!G216</f>
        <v>0</v>
      </c>
      <c r="H891" s="10">
        <f>dataset_1!H216</f>
        <v>1</v>
      </c>
      <c r="I891" s="10">
        <f>dataset_1!I216</f>
        <v>1</v>
      </c>
      <c r="J891" s="10">
        <f>dataset_1!J216</f>
        <v>0.1</v>
      </c>
      <c r="K891" s="10">
        <f>VLOOKUP(A891,dataset_2!$A$2:$G$611,2,0)</f>
        <v>0.1061</v>
      </c>
      <c r="L891" s="10">
        <f>VLOOKUP(A891,dataset_2!$A$2:$G$611,3,0)</f>
        <v>0.54</v>
      </c>
      <c r="M891" s="10">
        <f>VLOOKUP(A891,dataset_2!$A$2:$G$611,4,0)</f>
        <v>0.2537</v>
      </c>
      <c r="N891" s="10">
        <f>VLOOKUP(A891,dataset_2!$A$2:$G$611,5,0)</f>
        <v>0</v>
      </c>
      <c r="O891" s="10">
        <f>VLOOKUP(A891,dataset_2!$A$2:$G$611,6,0)</f>
        <v>3</v>
      </c>
      <c r="P891" s="10">
        <f>VLOOKUP(A891,dataset_2!$A$2:$G$611,7,0)</f>
        <v>3</v>
      </c>
      <c r="Q891" s="10"/>
      <c r="R891" s="10"/>
      <c r="S891" s="10"/>
      <c r="T891" s="10"/>
      <c r="U891" s="10">
        <f t="shared" si="4"/>
        <v>1</v>
      </c>
      <c r="V891" s="10"/>
      <c r="W891" s="10"/>
      <c r="X891" s="10"/>
      <c r="Y891" s="10"/>
      <c r="Z891" s="10"/>
    </row>
    <row r="892" ht="13.5" customHeight="1">
      <c r="A892" s="10">
        <f>dataset_1!A236</f>
        <v>235</v>
      </c>
      <c r="B892" s="11">
        <f>dataset_1!B236</f>
        <v>40554</v>
      </c>
      <c r="C892" s="10">
        <f>dataset_1!C236</f>
        <v>1</v>
      </c>
      <c r="D892" s="10">
        <f>dataset_1!D236</f>
        <v>0</v>
      </c>
      <c r="E892" s="10">
        <f>dataset_1!E236</f>
        <v>1</v>
      </c>
      <c r="F892" s="10">
        <f>dataset_1!F236</f>
        <v>1</v>
      </c>
      <c r="G892" s="10" t="b">
        <f>dataset_1!G236</f>
        <v>0</v>
      </c>
      <c r="H892" s="10">
        <f>dataset_1!H236</f>
        <v>2</v>
      </c>
      <c r="I892" s="10">
        <f>dataset_1!I236</f>
        <v>1</v>
      </c>
      <c r="J892" s="10">
        <f>dataset_1!J236</f>
        <v>0.14</v>
      </c>
      <c r="K892" s="10">
        <f>VLOOKUP(A892,dataset_2!$A$2:$G$611,2,0)</f>
        <v>0.1515</v>
      </c>
      <c r="L892" s="10">
        <f>VLOOKUP(A892,dataset_2!$A$2:$G$611,3,0)</f>
        <v>0.59</v>
      </c>
      <c r="M892" s="10">
        <f>VLOOKUP(A892,dataset_2!$A$2:$G$611,4,0)</f>
        <v>0.1642</v>
      </c>
      <c r="N892" s="10">
        <f>VLOOKUP(A892,dataset_2!$A$2:$G$611,5,0)</f>
        <v>0</v>
      </c>
      <c r="O892" s="10">
        <f>VLOOKUP(A892,dataset_2!$A$2:$G$611,6,0)</f>
        <v>3</v>
      </c>
      <c r="P892" s="10">
        <f>VLOOKUP(A892,dataset_2!$A$2:$G$611,7,0)</f>
        <v>3</v>
      </c>
      <c r="Q892" s="10"/>
      <c r="R892" s="10"/>
      <c r="S892" s="10"/>
      <c r="T892" s="10"/>
      <c r="U892" s="10">
        <f t="shared" si="4"/>
        <v>1</v>
      </c>
      <c r="V892" s="10"/>
      <c r="W892" s="10"/>
      <c r="X892" s="10"/>
      <c r="Y892" s="10"/>
      <c r="Z892" s="10"/>
    </row>
    <row r="893" ht="13.5" customHeight="1">
      <c r="A893" s="10">
        <f>dataset_1!A237</f>
        <v>236</v>
      </c>
      <c r="B893" s="11">
        <f>dataset_1!B237</f>
        <v>40554</v>
      </c>
      <c r="C893" s="10">
        <f>dataset_1!C237</f>
        <v>1</v>
      </c>
      <c r="D893" s="10">
        <f>dataset_1!D237</f>
        <v>0</v>
      </c>
      <c r="E893" s="10">
        <f>dataset_1!E237</f>
        <v>1</v>
      </c>
      <c r="F893" s="10">
        <f>dataset_1!F237</f>
        <v>2</v>
      </c>
      <c r="G893" s="10" t="b">
        <f>dataset_1!G237</f>
        <v>0</v>
      </c>
      <c r="H893" s="10">
        <f>dataset_1!H237</f>
        <v>2</v>
      </c>
      <c r="I893" s="10">
        <f>dataset_1!I237</f>
        <v>2</v>
      </c>
      <c r="J893" s="10">
        <f>dataset_1!J237</f>
        <v>0.16</v>
      </c>
      <c r="K893" s="10">
        <f>VLOOKUP(A893,dataset_2!$A$2:$G$611,2,0)</f>
        <v>0.1515</v>
      </c>
      <c r="L893" s="10">
        <f>VLOOKUP(A893,dataset_2!$A$2:$G$611,3,0)</f>
        <v>0.55</v>
      </c>
      <c r="M893" s="10">
        <f>VLOOKUP(A893,dataset_2!$A$2:$G$611,4,0)</f>
        <v>0.194</v>
      </c>
      <c r="N893" s="10">
        <f>VLOOKUP(A893,dataset_2!$A$2:$G$611,5,0)</f>
        <v>0</v>
      </c>
      <c r="O893" s="10">
        <f>VLOOKUP(A893,dataset_2!$A$2:$G$611,6,0)</f>
        <v>3</v>
      </c>
      <c r="P893" s="10">
        <f>VLOOKUP(A893,dataset_2!$A$2:$G$611,7,0)</f>
        <v>3</v>
      </c>
      <c r="Q893" s="10"/>
      <c r="R893" s="10"/>
      <c r="S893" s="10"/>
      <c r="T893" s="10"/>
      <c r="U893" s="10">
        <f t="shared" si="4"/>
        <v>1</v>
      </c>
      <c r="V893" s="10"/>
      <c r="W893" s="10"/>
      <c r="X893" s="10"/>
      <c r="Y893" s="10"/>
      <c r="Z893" s="10"/>
    </row>
    <row r="894" ht="13.5" customHeight="1">
      <c r="A894" s="10">
        <f>dataset_1!A282</f>
        <v>281</v>
      </c>
      <c r="B894" s="11">
        <f>dataset_1!B282</f>
        <v>40556</v>
      </c>
      <c r="C894" s="10">
        <f>dataset_1!C282</f>
        <v>1</v>
      </c>
      <c r="D894" s="10">
        <f>dataset_1!D282</f>
        <v>0</v>
      </c>
      <c r="E894" s="10">
        <f>dataset_1!E282</f>
        <v>1</v>
      </c>
      <c r="F894" s="10">
        <f>dataset_1!F282</f>
        <v>3</v>
      </c>
      <c r="G894" s="10" t="b">
        <f>dataset_1!G282</f>
        <v>0</v>
      </c>
      <c r="H894" s="10">
        <f>dataset_1!H282</f>
        <v>4</v>
      </c>
      <c r="I894" s="10">
        <f>dataset_1!I282</f>
        <v>1</v>
      </c>
      <c r="J894" s="10">
        <f>dataset_1!J282</f>
        <v>0.14</v>
      </c>
      <c r="K894" s="10">
        <f>VLOOKUP(A894,dataset_2!$A$2:$G$611,2,0)</f>
        <v>0.1212</v>
      </c>
      <c r="L894" s="10">
        <f>VLOOKUP(A894,dataset_2!$A$2:$G$611,3,0)</f>
        <v>0.5</v>
      </c>
      <c r="M894" s="10">
        <f>VLOOKUP(A894,dataset_2!$A$2:$G$611,4,0)</f>
        <v>0.3284</v>
      </c>
      <c r="N894" s="10">
        <f>VLOOKUP(A894,dataset_2!$A$2:$G$611,5,0)</f>
        <v>0</v>
      </c>
      <c r="O894" s="10">
        <f>VLOOKUP(A894,dataset_2!$A$2:$G$611,6,0)</f>
        <v>3</v>
      </c>
      <c r="P894" s="10">
        <f>VLOOKUP(A894,dataset_2!$A$2:$G$611,7,0)</f>
        <v>3</v>
      </c>
      <c r="Q894" s="10"/>
      <c r="R894" s="10"/>
      <c r="S894" s="10"/>
      <c r="T894" s="10"/>
      <c r="U894" s="10">
        <f t="shared" si="4"/>
        <v>1</v>
      </c>
      <c r="V894" s="10"/>
      <c r="W894" s="10"/>
      <c r="X894" s="10"/>
      <c r="Y894" s="10"/>
      <c r="Z894" s="10"/>
    </row>
    <row r="895" ht="13.5" customHeight="1">
      <c r="A895" s="10">
        <f>dataset_1!A284</f>
        <v>283</v>
      </c>
      <c r="B895" s="11">
        <f>dataset_1!B284</f>
        <v>40556</v>
      </c>
      <c r="C895" s="10">
        <f>dataset_1!C284</f>
        <v>1</v>
      </c>
      <c r="D895" s="10">
        <f>dataset_1!D284</f>
        <v>0</v>
      </c>
      <c r="E895" s="10">
        <f>dataset_1!E284</f>
        <v>1</v>
      </c>
      <c r="F895" s="10">
        <f>dataset_1!F284</f>
        <v>5</v>
      </c>
      <c r="G895" s="10" t="b">
        <f>dataset_1!G284</f>
        <v>0</v>
      </c>
      <c r="H895" s="10">
        <f>dataset_1!H284</f>
        <v>4</v>
      </c>
      <c r="I895" s="10">
        <f>dataset_1!I284</f>
        <v>1</v>
      </c>
      <c r="J895" s="10">
        <f>dataset_1!J284</f>
        <v>0.14</v>
      </c>
      <c r="K895" s="10">
        <f>VLOOKUP(A895,dataset_2!$A$2:$G$611,2,0)</f>
        <v>0.1212</v>
      </c>
      <c r="L895" s="10">
        <f>VLOOKUP(A895,dataset_2!$A$2:$G$611,3,0)</f>
        <v>0.5</v>
      </c>
      <c r="M895" s="10">
        <f>VLOOKUP(A895,dataset_2!$A$2:$G$611,4,0)</f>
        <v>0.2985</v>
      </c>
      <c r="N895" s="10">
        <f>VLOOKUP(A895,dataset_2!$A$2:$G$611,5,0)</f>
        <v>0</v>
      </c>
      <c r="O895" s="10">
        <f>VLOOKUP(A895,dataset_2!$A$2:$G$611,6,0)</f>
        <v>3</v>
      </c>
      <c r="P895" s="10">
        <f>VLOOKUP(A895,dataset_2!$A$2:$G$611,7,0)</f>
        <v>3</v>
      </c>
      <c r="Q895" s="10"/>
      <c r="R895" s="10"/>
      <c r="S895" s="10"/>
      <c r="T895" s="10"/>
      <c r="U895" s="10">
        <f t="shared" si="4"/>
        <v>1</v>
      </c>
      <c r="V895" s="10"/>
      <c r="W895" s="10"/>
      <c r="X895" s="10"/>
      <c r="Y895" s="10"/>
      <c r="Z895" s="10"/>
    </row>
    <row r="896" ht="13.5" customHeight="1">
      <c r="A896" s="10">
        <f>dataset_1!A332</f>
        <v>331</v>
      </c>
      <c r="B896" s="11">
        <f>dataset_1!B332</f>
        <v>40558</v>
      </c>
      <c r="C896" s="10">
        <f>dataset_1!C332</f>
        <v>1</v>
      </c>
      <c r="D896" s="10">
        <f>dataset_1!D332</f>
        <v>0</v>
      </c>
      <c r="E896" s="10">
        <f>dataset_1!E332</f>
        <v>1</v>
      </c>
      <c r="F896" s="10">
        <f>dataset_1!F332</f>
        <v>6</v>
      </c>
      <c r="G896" s="10" t="b">
        <f>dataset_1!G332</f>
        <v>0</v>
      </c>
      <c r="H896" s="10">
        <f>dataset_1!H332</f>
        <v>6</v>
      </c>
      <c r="I896" s="10">
        <f>dataset_1!I332</f>
        <v>1</v>
      </c>
      <c r="J896" s="10">
        <f>dataset_1!J332</f>
        <v>0.14</v>
      </c>
      <c r="K896" s="10">
        <f>VLOOKUP(A896,dataset_2!$A$2:$G$611,2,0)</f>
        <v>0.1667</v>
      </c>
      <c r="L896" s="10">
        <f>VLOOKUP(A896,dataset_2!$A$2:$G$611,3,0)</f>
        <v>0.63</v>
      </c>
      <c r="M896" s="10">
        <f>VLOOKUP(A896,dataset_2!$A$2:$G$611,4,0)</f>
        <v>0.1045</v>
      </c>
      <c r="N896" s="10">
        <f>VLOOKUP(A896,dataset_2!$A$2:$G$611,5,0)</f>
        <v>1</v>
      </c>
      <c r="O896" s="10">
        <f>VLOOKUP(A896,dataset_2!$A$2:$G$611,6,0)</f>
        <v>2</v>
      </c>
      <c r="P896" s="10">
        <f>VLOOKUP(A896,dataset_2!$A$2:$G$611,7,0)</f>
        <v>3</v>
      </c>
      <c r="Q896" s="10"/>
      <c r="R896" s="10"/>
      <c r="S896" s="10"/>
      <c r="T896" s="10"/>
      <c r="U896" s="10">
        <f t="shared" si="4"/>
        <v>1</v>
      </c>
      <c r="V896" s="10"/>
      <c r="W896" s="10"/>
      <c r="X896" s="10"/>
      <c r="Y896" s="10"/>
      <c r="Z896" s="10"/>
    </row>
    <row r="897" ht="13.5" customHeight="1">
      <c r="A897" s="10">
        <f>dataset_1!A357</f>
        <v>356</v>
      </c>
      <c r="B897" s="11">
        <f>dataset_1!B357</f>
        <v>40559</v>
      </c>
      <c r="C897" s="10">
        <f>dataset_1!C357</f>
        <v>1</v>
      </c>
      <c r="D897" s="10">
        <f>dataset_1!D357</f>
        <v>0</v>
      </c>
      <c r="E897" s="10">
        <f>dataset_1!E357</f>
        <v>1</v>
      </c>
      <c r="F897" s="10">
        <f>dataset_1!F357</f>
        <v>7</v>
      </c>
      <c r="G897" s="10" t="b">
        <f>dataset_1!G357</f>
        <v>0</v>
      </c>
      <c r="H897" s="10">
        <f>dataset_1!H357</f>
        <v>0</v>
      </c>
      <c r="I897" s="10">
        <f>dataset_1!I357</f>
        <v>2</v>
      </c>
      <c r="J897" s="10">
        <f>dataset_1!J357</f>
        <v>0.24</v>
      </c>
      <c r="K897" s="10">
        <f>VLOOKUP(A897,dataset_2!$A$2:$G$611,2,0)</f>
        <v>0.2121</v>
      </c>
      <c r="L897" s="10">
        <f>VLOOKUP(A897,dataset_2!$A$2:$G$611,3,0)</f>
        <v>0.56</v>
      </c>
      <c r="M897" s="10">
        <f>VLOOKUP(A897,dataset_2!$A$2:$G$611,4,0)</f>
        <v>0.2985</v>
      </c>
      <c r="N897" s="10">
        <f>VLOOKUP(A897,dataset_2!$A$2:$G$611,5,0)</f>
        <v>0</v>
      </c>
      <c r="O897" s="10">
        <f>VLOOKUP(A897,dataset_2!$A$2:$G$611,6,0)</f>
        <v>3</v>
      </c>
      <c r="P897" s="10">
        <f>VLOOKUP(A897,dataset_2!$A$2:$G$611,7,0)</f>
        <v>3</v>
      </c>
      <c r="Q897" s="10"/>
      <c r="R897" s="10"/>
      <c r="S897" s="10"/>
      <c r="T897" s="10"/>
      <c r="U897" s="10">
        <f t="shared" si="4"/>
        <v>1</v>
      </c>
      <c r="V897" s="10"/>
      <c r="W897" s="10"/>
      <c r="X897" s="10"/>
      <c r="Y897" s="10"/>
      <c r="Z897" s="10"/>
    </row>
    <row r="898" ht="13.5" customHeight="1">
      <c r="A898" s="10">
        <f>dataset_1!A378</f>
        <v>377</v>
      </c>
      <c r="B898" s="11">
        <f>dataset_1!B378</f>
        <v>40560</v>
      </c>
      <c r="C898" s="10">
        <f>dataset_1!C378</f>
        <v>1</v>
      </c>
      <c r="D898" s="10">
        <f>dataset_1!D378</f>
        <v>0</v>
      </c>
      <c r="E898" s="10">
        <f>dataset_1!E378</f>
        <v>1</v>
      </c>
      <c r="F898" s="10">
        <f>dataset_1!F378</f>
        <v>4</v>
      </c>
      <c r="G898" s="10" t="b">
        <f>dataset_1!G378</f>
        <v>1</v>
      </c>
      <c r="H898" s="10">
        <f>dataset_1!H378</f>
        <v>1</v>
      </c>
      <c r="I898" s="10">
        <f>dataset_1!I378</f>
        <v>2</v>
      </c>
      <c r="J898" s="10">
        <f>dataset_1!J378</f>
        <v>0.18</v>
      </c>
      <c r="K898" s="10">
        <f>VLOOKUP(A898,dataset_2!$A$2:$G$611,2,0)</f>
        <v>0.197</v>
      </c>
      <c r="L898" s="10">
        <f>VLOOKUP(A898,dataset_2!$A$2:$G$611,3,0)</f>
        <v>0.43</v>
      </c>
      <c r="M898" s="10">
        <f>VLOOKUP(A898,dataset_2!$A$2:$G$611,4,0)</f>
        <v>0.1343</v>
      </c>
      <c r="N898" s="10">
        <f>VLOOKUP(A898,dataset_2!$A$2:$G$611,5,0)</f>
        <v>1</v>
      </c>
      <c r="O898" s="10">
        <f>VLOOKUP(A898,dataset_2!$A$2:$G$611,6,0)</f>
        <v>2</v>
      </c>
      <c r="P898" s="10">
        <f>VLOOKUP(A898,dataset_2!$A$2:$G$611,7,0)</f>
        <v>3</v>
      </c>
      <c r="Q898" s="10"/>
      <c r="R898" s="10"/>
      <c r="S898" s="10"/>
      <c r="T898" s="10"/>
      <c r="U898" s="10">
        <f t="shared" si="4"/>
        <v>1</v>
      </c>
      <c r="V898" s="10"/>
      <c r="W898" s="10"/>
      <c r="X898" s="10"/>
      <c r="Y898" s="10"/>
      <c r="Z898" s="10"/>
    </row>
    <row r="899" ht="13.5" customHeight="1">
      <c r="A899" s="10">
        <f>dataset_1!A398</f>
        <v>397</v>
      </c>
      <c r="B899" s="11">
        <f>dataset_1!B398</f>
        <v>40561</v>
      </c>
      <c r="C899" s="10">
        <f>dataset_1!C398</f>
        <v>1</v>
      </c>
      <c r="D899" s="10">
        <f>dataset_1!D398</f>
        <v>0</v>
      </c>
      <c r="E899" s="10">
        <f>dataset_1!E398</f>
        <v>1</v>
      </c>
      <c r="F899" s="10">
        <f>dataset_1!F398</f>
        <v>12</v>
      </c>
      <c r="G899" s="10" t="b">
        <f>dataset_1!G398</f>
        <v>0</v>
      </c>
      <c r="H899" s="10">
        <f>dataset_1!H398</f>
        <v>2</v>
      </c>
      <c r="I899" s="10">
        <f>dataset_1!I398</f>
        <v>2</v>
      </c>
      <c r="J899" s="10">
        <f>dataset_1!J398</f>
        <v>0.2</v>
      </c>
      <c r="K899" s="10">
        <f>VLOOKUP(A899,dataset_2!$A$2:$G$611,2,0)</f>
        <v>0.1818</v>
      </c>
      <c r="L899" s="10">
        <f>VLOOKUP(A899,dataset_2!$A$2:$G$611,3,0)</f>
        <v>0.86</v>
      </c>
      <c r="M899" s="10">
        <f>VLOOKUP(A899,dataset_2!$A$2:$G$611,4,0)</f>
        <v>0.3284</v>
      </c>
      <c r="N899" s="10">
        <f>VLOOKUP(A899,dataset_2!$A$2:$G$611,5,0)</f>
        <v>0</v>
      </c>
      <c r="O899" s="10">
        <f>VLOOKUP(A899,dataset_2!$A$2:$G$611,6,0)</f>
        <v>3</v>
      </c>
      <c r="P899" s="10">
        <f>VLOOKUP(A899,dataset_2!$A$2:$G$611,7,0)</f>
        <v>3</v>
      </c>
      <c r="Q899" s="10"/>
      <c r="R899" s="10"/>
      <c r="S899" s="10"/>
      <c r="T899" s="10"/>
      <c r="U899" s="10">
        <f t="shared" si="4"/>
        <v>1</v>
      </c>
      <c r="V899" s="10"/>
      <c r="W899" s="10"/>
      <c r="X899" s="10"/>
      <c r="Y899" s="10"/>
      <c r="Z899" s="10"/>
    </row>
    <row r="900" ht="13.5" customHeight="1">
      <c r="A900" s="10">
        <f>dataset_1!A410</f>
        <v>409</v>
      </c>
      <c r="B900" s="11">
        <f>dataset_1!B410</f>
        <v>40562</v>
      </c>
      <c r="C900" s="10">
        <f>dataset_1!C410</f>
        <v>1</v>
      </c>
      <c r="D900" s="10">
        <f>dataset_1!D410</f>
        <v>0</v>
      </c>
      <c r="E900" s="10">
        <f>dataset_1!E410</f>
        <v>1</v>
      </c>
      <c r="F900" s="10">
        <f>dataset_1!F410</f>
        <v>0</v>
      </c>
      <c r="G900" s="10" t="b">
        <f>dataset_1!G410</f>
        <v>0</v>
      </c>
      <c r="H900" s="10">
        <f>dataset_1!H410</f>
        <v>3</v>
      </c>
      <c r="I900" s="10">
        <f>dataset_1!I410</f>
        <v>2</v>
      </c>
      <c r="J900" s="10">
        <f>dataset_1!J410</f>
        <v>0.22</v>
      </c>
      <c r="K900" s="10">
        <f>VLOOKUP(A900,dataset_2!$A$2:$G$611,2,0)</f>
        <v>0.2727</v>
      </c>
      <c r="L900" s="10">
        <f>VLOOKUP(A900,dataset_2!$A$2:$G$611,3,0)</f>
        <v>0.93</v>
      </c>
      <c r="M900" s="10">
        <f>VLOOKUP(A900,dataset_2!$A$2:$G$611,4,0)</f>
        <v>0</v>
      </c>
      <c r="N900" s="10">
        <f>VLOOKUP(A900,dataset_2!$A$2:$G$611,5,0)</f>
        <v>0</v>
      </c>
      <c r="O900" s="10">
        <f>VLOOKUP(A900,dataset_2!$A$2:$G$611,6,0)</f>
        <v>3</v>
      </c>
      <c r="P900" s="10">
        <f>VLOOKUP(A900,dataset_2!$A$2:$G$611,7,0)</f>
        <v>3</v>
      </c>
      <c r="Q900" s="10"/>
      <c r="R900" s="10"/>
      <c r="S900" s="10"/>
      <c r="T900" s="10"/>
      <c r="U900" s="10">
        <f t="shared" si="4"/>
        <v>1</v>
      </c>
      <c r="V900" s="10"/>
      <c r="W900" s="10"/>
      <c r="X900" s="10"/>
      <c r="Y900" s="10"/>
      <c r="Z900" s="10"/>
    </row>
    <row r="901" ht="13.5" customHeight="1">
      <c r="A901" s="10">
        <f>dataset_1!A412</f>
        <v>411</v>
      </c>
      <c r="B901" s="11">
        <f>dataset_1!B412</f>
        <v>40562</v>
      </c>
      <c r="C901" s="10">
        <f>dataset_1!C412</f>
        <v>1</v>
      </c>
      <c r="D901" s="10">
        <f>dataset_1!D412</f>
        <v>0</v>
      </c>
      <c r="E901" s="10">
        <f>dataset_1!E412</f>
        <v>1</v>
      </c>
      <c r="F901" s="10">
        <f>dataset_1!F412</f>
        <v>2</v>
      </c>
      <c r="G901" s="10" t="b">
        <f>dataset_1!G412</f>
        <v>0</v>
      </c>
      <c r="H901" s="10">
        <f>dataset_1!H412</f>
        <v>3</v>
      </c>
      <c r="I901" s="10">
        <f>dataset_1!I412</f>
        <v>3</v>
      </c>
      <c r="J901" s="10">
        <f>dataset_1!J412</f>
        <v>0.22</v>
      </c>
      <c r="K901" s="10">
        <f>VLOOKUP(A901,dataset_2!$A$2:$G$611,2,0)</f>
        <v>0.2273</v>
      </c>
      <c r="L901" s="10">
        <f>VLOOKUP(A901,dataset_2!$A$2:$G$611,3,0)</f>
        <v>0.93</v>
      </c>
      <c r="M901" s="10">
        <f>VLOOKUP(A901,dataset_2!$A$2:$G$611,4,0)</f>
        <v>0.1343</v>
      </c>
      <c r="N901" s="10">
        <f>VLOOKUP(A901,dataset_2!$A$2:$G$611,5,0)</f>
        <v>0</v>
      </c>
      <c r="O901" s="10">
        <f>VLOOKUP(A901,dataset_2!$A$2:$G$611,6,0)</f>
        <v>3</v>
      </c>
      <c r="P901" s="10">
        <f>VLOOKUP(A901,dataset_2!$A$2:$G$611,7,0)</f>
        <v>3</v>
      </c>
      <c r="Q901" s="10"/>
      <c r="R901" s="10"/>
      <c r="S901" s="10"/>
      <c r="T901" s="10"/>
      <c r="U901" s="10">
        <f t="shared" si="4"/>
        <v>1</v>
      </c>
      <c r="V901" s="10"/>
      <c r="W901" s="10"/>
      <c r="X901" s="10"/>
      <c r="Y901" s="10"/>
      <c r="Z901" s="10"/>
    </row>
    <row r="902" ht="13.5" customHeight="1">
      <c r="A902" s="10">
        <f>dataset_1!A485</f>
        <v>484</v>
      </c>
      <c r="B902" s="11">
        <f>dataset_1!B485</f>
        <v>40565</v>
      </c>
      <c r="C902" s="10">
        <f>dataset_1!C485</f>
        <v>1</v>
      </c>
      <c r="D902" s="10">
        <f>dataset_1!D485</f>
        <v>0</v>
      </c>
      <c r="E902" s="10">
        <f>dataset_1!E485</f>
        <v>1</v>
      </c>
      <c r="F902" s="10">
        <f>dataset_1!F485</f>
        <v>4</v>
      </c>
      <c r="G902" s="10" t="b">
        <f>dataset_1!G485</f>
        <v>0</v>
      </c>
      <c r="H902" s="10">
        <f>dataset_1!H485</f>
        <v>6</v>
      </c>
      <c r="I902" s="10">
        <f>dataset_1!I485</f>
        <v>2</v>
      </c>
      <c r="J902" s="10">
        <f>dataset_1!J485</f>
        <v>0.02</v>
      </c>
      <c r="K902" s="10">
        <f>VLOOKUP(A902,dataset_2!$A$2:$G$611,2,0)</f>
        <v>0.0152</v>
      </c>
      <c r="L902" s="10">
        <f>VLOOKUP(A902,dataset_2!$A$2:$G$611,3,0)</f>
        <v>0.48</v>
      </c>
      <c r="M902" s="10">
        <f>VLOOKUP(A902,dataset_2!$A$2:$G$611,4,0)</f>
        <v>0.2985</v>
      </c>
      <c r="N902" s="10">
        <f>VLOOKUP(A902,dataset_2!$A$2:$G$611,5,0)</f>
        <v>0</v>
      </c>
      <c r="O902" s="10">
        <f>VLOOKUP(A902,dataset_2!$A$2:$G$611,6,0)</f>
        <v>3</v>
      </c>
      <c r="P902" s="10">
        <f>VLOOKUP(A902,dataset_2!$A$2:$G$611,7,0)</f>
        <v>3</v>
      </c>
      <c r="Q902" s="10"/>
      <c r="R902" s="10"/>
      <c r="S902" s="10"/>
      <c r="T902" s="10"/>
      <c r="U902" s="10">
        <f t="shared" si="4"/>
        <v>1</v>
      </c>
      <c r="V902" s="10"/>
      <c r="W902" s="10"/>
      <c r="X902" s="10"/>
      <c r="Y902" s="10"/>
      <c r="Z902" s="10"/>
    </row>
    <row r="903" ht="13.5" customHeight="1">
      <c r="A903" s="10">
        <f>dataset_1!A508</f>
        <v>507</v>
      </c>
      <c r="B903" s="11">
        <f>dataset_1!B508</f>
        <v>40566</v>
      </c>
      <c r="C903" s="10">
        <f>dataset_1!C508</f>
        <v>1</v>
      </c>
      <c r="D903" s="10">
        <f>dataset_1!D508</f>
        <v>0</v>
      </c>
      <c r="E903" s="10">
        <f>dataset_1!E508</f>
        <v>1</v>
      </c>
      <c r="F903" s="10">
        <f>dataset_1!F508</f>
        <v>5</v>
      </c>
      <c r="G903" s="10" t="b">
        <f>dataset_1!G508</f>
        <v>0</v>
      </c>
      <c r="H903" s="10">
        <f>dataset_1!H508</f>
        <v>0</v>
      </c>
      <c r="I903" s="10">
        <f>dataset_1!I508</f>
        <v>2</v>
      </c>
      <c r="J903" s="10">
        <f>dataset_1!J508</f>
        <v>0.04</v>
      </c>
      <c r="K903" s="10">
        <f>VLOOKUP(A903,dataset_2!$A$2:$G$611,2,0)</f>
        <v>0.0758</v>
      </c>
      <c r="L903" s="10">
        <f>VLOOKUP(A903,dataset_2!$A$2:$G$611,3,0)</f>
        <v>0.57</v>
      </c>
      <c r="M903" s="10">
        <f>VLOOKUP(A903,dataset_2!$A$2:$G$611,4,0)</f>
        <v>0.1045</v>
      </c>
      <c r="N903" s="10">
        <f>VLOOKUP(A903,dataset_2!$A$2:$G$611,5,0)</f>
        <v>0</v>
      </c>
      <c r="O903" s="10">
        <f>VLOOKUP(A903,dataset_2!$A$2:$G$611,6,0)</f>
        <v>3</v>
      </c>
      <c r="P903" s="10">
        <f>VLOOKUP(A903,dataset_2!$A$2:$G$611,7,0)</f>
        <v>3</v>
      </c>
      <c r="Q903" s="10"/>
      <c r="R903" s="10"/>
      <c r="S903" s="10"/>
      <c r="T903" s="10"/>
      <c r="U903" s="10">
        <f t="shared" si="4"/>
        <v>1</v>
      </c>
      <c r="V903" s="10"/>
      <c r="W903" s="10"/>
      <c r="X903" s="10"/>
      <c r="Y903" s="10"/>
      <c r="Z903" s="10"/>
    </row>
    <row r="904" ht="13.5" customHeight="1">
      <c r="A904" s="10">
        <f>dataset_1!A598</f>
        <v>597</v>
      </c>
      <c r="B904" s="11">
        <f>dataset_1!B598</f>
        <v>40571</v>
      </c>
      <c r="C904" s="10">
        <f>dataset_1!C598</f>
        <v>1</v>
      </c>
      <c r="D904" s="10">
        <f>dataset_1!D598</f>
        <v>0</v>
      </c>
      <c r="E904" s="10">
        <f>dataset_1!E598</f>
        <v>1</v>
      </c>
      <c r="F904" s="10">
        <f>dataset_1!F598</f>
        <v>1</v>
      </c>
      <c r="G904" s="10" t="b">
        <f>dataset_1!G598</f>
        <v>0</v>
      </c>
      <c r="H904" s="10">
        <f>dataset_1!H598</f>
        <v>5</v>
      </c>
      <c r="I904" s="10">
        <f>dataset_1!I598</f>
        <v>2</v>
      </c>
      <c r="J904" s="10">
        <f>dataset_1!J598</f>
        <v>0.2</v>
      </c>
      <c r="K904" s="10">
        <f>VLOOKUP(A904,dataset_2!$A$2:$G$611,2,0)</f>
        <v>0.2121</v>
      </c>
      <c r="L904" s="10">
        <f>VLOOKUP(A904,dataset_2!$A$2:$G$611,3,0)</f>
        <v>0.75</v>
      </c>
      <c r="M904" s="10">
        <f>VLOOKUP(A904,dataset_2!$A$2:$G$611,4,0)</f>
        <v>0.1343</v>
      </c>
      <c r="N904" s="10">
        <f>VLOOKUP(A904,dataset_2!$A$2:$G$611,5,0)</f>
        <v>1</v>
      </c>
      <c r="O904" s="10">
        <f>VLOOKUP(A904,dataset_2!$A$2:$G$611,6,0)</f>
        <v>2</v>
      </c>
      <c r="P904" s="10">
        <f>VLOOKUP(A904,dataset_2!$A$2:$G$611,7,0)</f>
        <v>3</v>
      </c>
      <c r="Q904" s="10"/>
      <c r="R904" s="10"/>
      <c r="S904" s="10"/>
      <c r="T904" s="10"/>
      <c r="U904" s="10">
        <f t="shared" si="4"/>
        <v>1</v>
      </c>
      <c r="V904" s="10"/>
      <c r="W904" s="10"/>
      <c r="X904" s="10"/>
      <c r="Y904" s="10"/>
      <c r="Z904" s="10"/>
    </row>
    <row r="905" ht="13.5" customHeight="1">
      <c r="A905" s="3">
        <v>623.0</v>
      </c>
      <c r="B905" s="12">
        <v>40572.0</v>
      </c>
      <c r="C905" s="3">
        <v>1.0</v>
      </c>
      <c r="D905" s="3">
        <v>0.0</v>
      </c>
      <c r="E905" s="3">
        <v>1.0</v>
      </c>
      <c r="F905" s="3">
        <v>4.0</v>
      </c>
      <c r="G905" s="3" t="b">
        <f t="shared" ref="G905:G918" si="92">FALSE()</f>
        <v>0</v>
      </c>
      <c r="H905" s="3">
        <v>6.0</v>
      </c>
      <c r="I905" s="3">
        <v>1.0</v>
      </c>
      <c r="J905" s="3">
        <v>0.16</v>
      </c>
      <c r="K905" s="3">
        <v>0.1818</v>
      </c>
      <c r="L905" s="3">
        <v>0.69</v>
      </c>
      <c r="M905" s="3">
        <v>0.1045</v>
      </c>
      <c r="N905" s="3">
        <v>1.0</v>
      </c>
      <c r="O905" s="3">
        <v>2.0</v>
      </c>
      <c r="P905" s="3">
        <v>3.0</v>
      </c>
      <c r="Q905" s="10"/>
      <c r="R905" s="10"/>
      <c r="S905" s="10"/>
      <c r="T905" s="10"/>
      <c r="U905" s="10">
        <f t="shared" si="4"/>
        <v>1</v>
      </c>
      <c r="V905" s="10"/>
      <c r="W905" s="10"/>
      <c r="X905" s="10"/>
      <c r="Y905" s="10"/>
      <c r="Z905" s="10"/>
    </row>
    <row r="906" ht="13.5" customHeight="1">
      <c r="A906" s="3">
        <v>647.0</v>
      </c>
      <c r="B906" s="12">
        <v>40573.0</v>
      </c>
      <c r="C906" s="3">
        <v>1.0</v>
      </c>
      <c r="D906" s="3">
        <v>0.0</v>
      </c>
      <c r="E906" s="3">
        <v>1.0</v>
      </c>
      <c r="F906" s="3">
        <v>5.0</v>
      </c>
      <c r="G906" s="3" t="b">
        <f t="shared" si="92"/>
        <v>0</v>
      </c>
      <c r="H906" s="3">
        <v>0.0</v>
      </c>
      <c r="I906" s="3">
        <v>1.0</v>
      </c>
      <c r="J906" s="3">
        <v>0.14</v>
      </c>
      <c r="K906" s="3">
        <v>0.2121</v>
      </c>
      <c r="L906" s="3">
        <v>0.86</v>
      </c>
      <c r="M906" s="3">
        <v>0.0</v>
      </c>
      <c r="N906" s="3">
        <v>0.0</v>
      </c>
      <c r="O906" s="3">
        <v>3.0</v>
      </c>
      <c r="P906" s="3">
        <v>3.0</v>
      </c>
      <c r="Q906" s="10"/>
      <c r="R906" s="10"/>
      <c r="S906" s="10"/>
      <c r="T906" s="10"/>
      <c r="U906" s="10">
        <f t="shared" si="4"/>
        <v>1</v>
      </c>
      <c r="V906" s="10"/>
      <c r="W906" s="10"/>
      <c r="X906" s="10"/>
      <c r="Y906" s="10"/>
      <c r="Z906" s="10"/>
    </row>
    <row r="907" ht="13.5" customHeight="1">
      <c r="A907" s="3">
        <v>648.0</v>
      </c>
      <c r="B907" s="12">
        <v>40573.0</v>
      </c>
      <c r="C907" s="3">
        <v>1.0</v>
      </c>
      <c r="D907" s="3">
        <v>0.0</v>
      </c>
      <c r="E907" s="3">
        <v>1.0</v>
      </c>
      <c r="F907" s="3">
        <v>7.0</v>
      </c>
      <c r="G907" s="3" t="b">
        <f t="shared" si="92"/>
        <v>0</v>
      </c>
      <c r="H907" s="3">
        <v>0.0</v>
      </c>
      <c r="I907" s="3">
        <v>1.0</v>
      </c>
      <c r="J907" s="3">
        <v>0.14</v>
      </c>
      <c r="K907" s="3">
        <v>0.2121</v>
      </c>
      <c r="L907" s="3">
        <v>0.86</v>
      </c>
      <c r="M907" s="3">
        <v>0.0</v>
      </c>
      <c r="N907" s="3">
        <v>0.0</v>
      </c>
      <c r="O907" s="3">
        <v>3.0</v>
      </c>
      <c r="P907" s="3">
        <v>3.0</v>
      </c>
      <c r="Q907" s="10"/>
      <c r="R907" s="10"/>
      <c r="S907" s="10"/>
      <c r="T907" s="10"/>
      <c r="U907" s="10">
        <f t="shared" si="4"/>
        <v>1</v>
      </c>
      <c r="V907" s="10"/>
      <c r="W907" s="10"/>
      <c r="X907" s="10"/>
      <c r="Y907" s="10"/>
      <c r="Z907" s="10"/>
    </row>
    <row r="908" ht="13.5" customHeight="1">
      <c r="A908" s="3">
        <v>690.0</v>
      </c>
      <c r="B908" s="12">
        <v>40575.0</v>
      </c>
      <c r="C908" s="3">
        <v>1.0</v>
      </c>
      <c r="D908" s="3">
        <v>0.0</v>
      </c>
      <c r="E908" s="3">
        <v>2.0</v>
      </c>
      <c r="F908" s="3">
        <v>1.0</v>
      </c>
      <c r="G908" s="3" t="b">
        <f t="shared" si="92"/>
        <v>0</v>
      </c>
      <c r="H908" s="3">
        <v>2.0</v>
      </c>
      <c r="I908" s="3">
        <v>2.0</v>
      </c>
      <c r="J908" s="3">
        <v>0.16</v>
      </c>
      <c r="K908" s="3">
        <v>0.1818</v>
      </c>
      <c r="L908" s="3">
        <v>0.69</v>
      </c>
      <c r="M908" s="3">
        <v>0.1045</v>
      </c>
      <c r="N908" s="3">
        <v>0.0</v>
      </c>
      <c r="O908" s="3">
        <v>3.0</v>
      </c>
      <c r="P908" s="3">
        <v>3.0</v>
      </c>
      <c r="Q908" s="10"/>
      <c r="R908" s="10"/>
      <c r="S908" s="10"/>
      <c r="T908" s="10"/>
      <c r="U908" s="10">
        <f t="shared" si="4"/>
        <v>1</v>
      </c>
      <c r="V908" s="10"/>
      <c r="W908" s="10"/>
      <c r="X908" s="10"/>
      <c r="Y908" s="10"/>
      <c r="Z908" s="10"/>
    </row>
    <row r="909" ht="13.5" customHeight="1">
      <c r="A909" s="3">
        <v>693.0</v>
      </c>
      <c r="B909" s="12">
        <v>40575.0</v>
      </c>
      <c r="C909" s="3">
        <v>1.0</v>
      </c>
      <c r="D909" s="3">
        <v>0.0</v>
      </c>
      <c r="E909" s="3">
        <v>2.0</v>
      </c>
      <c r="F909" s="3">
        <v>5.0</v>
      </c>
      <c r="G909" s="3" t="b">
        <f t="shared" si="92"/>
        <v>0</v>
      </c>
      <c r="H909" s="3">
        <v>2.0</v>
      </c>
      <c r="I909" s="3">
        <v>3.0</v>
      </c>
      <c r="J909" s="3">
        <v>0.14</v>
      </c>
      <c r="K909" s="3">
        <v>0.2121</v>
      </c>
      <c r="L909" s="3">
        <v>0.93</v>
      </c>
      <c r="M909" s="3">
        <v>0.0</v>
      </c>
      <c r="N909" s="3">
        <v>0.0</v>
      </c>
      <c r="O909" s="3">
        <v>3.0</v>
      </c>
      <c r="P909" s="3">
        <v>3.0</v>
      </c>
      <c r="Q909" s="10"/>
      <c r="R909" s="10"/>
      <c r="S909" s="10"/>
      <c r="T909" s="10"/>
      <c r="U909" s="10">
        <f t="shared" si="4"/>
        <v>1</v>
      </c>
      <c r="V909" s="10"/>
      <c r="W909" s="10"/>
      <c r="X909" s="10"/>
      <c r="Y909" s="10"/>
      <c r="Z909" s="10"/>
    </row>
    <row r="910" ht="13.5" customHeight="1">
      <c r="A910" s="3">
        <v>713.0</v>
      </c>
      <c r="B910" s="12">
        <v>40576.0</v>
      </c>
      <c r="C910" s="3">
        <v>1.0</v>
      </c>
      <c r="D910" s="3">
        <v>0.0</v>
      </c>
      <c r="E910" s="3">
        <v>2.0</v>
      </c>
      <c r="F910" s="3">
        <v>1.0</v>
      </c>
      <c r="G910" s="3" t="b">
        <f t="shared" si="92"/>
        <v>0</v>
      </c>
      <c r="H910" s="3">
        <v>3.0</v>
      </c>
      <c r="I910" s="3">
        <v>3.0</v>
      </c>
      <c r="J910" s="3">
        <v>0.22</v>
      </c>
      <c r="K910" s="3">
        <v>0.2273</v>
      </c>
      <c r="L910" s="3">
        <v>0.93</v>
      </c>
      <c r="M910" s="3">
        <v>0.194</v>
      </c>
      <c r="N910" s="3">
        <v>0.0</v>
      </c>
      <c r="O910" s="3">
        <v>3.0</v>
      </c>
      <c r="P910" s="3">
        <v>3.0</v>
      </c>
      <c r="Q910" s="10"/>
      <c r="R910" s="10"/>
      <c r="S910" s="10"/>
      <c r="T910" s="10"/>
      <c r="U910" s="10">
        <f t="shared" si="4"/>
        <v>1</v>
      </c>
      <c r="V910" s="10"/>
      <c r="W910" s="10"/>
      <c r="X910" s="10"/>
      <c r="Y910" s="10"/>
      <c r="Z910" s="10"/>
    </row>
    <row r="911" ht="13.5" customHeight="1">
      <c r="A911" s="3">
        <v>717.0</v>
      </c>
      <c r="B911" s="12">
        <v>40576.0</v>
      </c>
      <c r="C911" s="3">
        <v>1.0</v>
      </c>
      <c r="D911" s="3">
        <v>0.0</v>
      </c>
      <c r="E911" s="3">
        <v>2.0</v>
      </c>
      <c r="F911" s="3">
        <v>5.0</v>
      </c>
      <c r="G911" s="3" t="b">
        <f t="shared" si="92"/>
        <v>0</v>
      </c>
      <c r="H911" s="3">
        <v>3.0</v>
      </c>
      <c r="I911" s="3">
        <v>3.0</v>
      </c>
      <c r="J911" s="3">
        <v>0.22</v>
      </c>
      <c r="K911" s="3">
        <v>0.2424</v>
      </c>
      <c r="L911" s="3">
        <v>0.93</v>
      </c>
      <c r="M911" s="3">
        <v>0.1045</v>
      </c>
      <c r="N911" s="3">
        <v>0.0</v>
      </c>
      <c r="O911" s="3">
        <v>3.0</v>
      </c>
      <c r="P911" s="3">
        <v>3.0</v>
      </c>
      <c r="Q911" s="10"/>
      <c r="R911" s="10"/>
      <c r="S911" s="10"/>
      <c r="T911" s="10"/>
      <c r="U911" s="10">
        <f t="shared" si="4"/>
        <v>1</v>
      </c>
      <c r="V911" s="10"/>
      <c r="W911" s="10"/>
      <c r="X911" s="10"/>
      <c r="Y911" s="10"/>
      <c r="Z911" s="10"/>
    </row>
    <row r="912" ht="13.5" customHeight="1">
      <c r="A912" s="3">
        <v>832.0</v>
      </c>
      <c r="B912" s="12">
        <v>40581.0</v>
      </c>
      <c r="C912" s="3">
        <v>1.0</v>
      </c>
      <c r="D912" s="3">
        <v>0.0</v>
      </c>
      <c r="E912" s="3">
        <v>2.0</v>
      </c>
      <c r="F912" s="3">
        <v>2.0</v>
      </c>
      <c r="G912" s="3" t="b">
        <f t="shared" si="92"/>
        <v>0</v>
      </c>
      <c r="H912" s="3">
        <v>1.0</v>
      </c>
      <c r="I912" s="3">
        <v>1.0</v>
      </c>
      <c r="J912" s="3">
        <v>0.2</v>
      </c>
      <c r="K912" s="3">
        <v>0.2576</v>
      </c>
      <c r="L912" s="3">
        <v>0.8</v>
      </c>
      <c r="M912" s="3">
        <v>0.0</v>
      </c>
      <c r="N912" s="3">
        <v>0.0</v>
      </c>
      <c r="O912" s="3">
        <v>3.0</v>
      </c>
      <c r="P912" s="3">
        <v>3.0</v>
      </c>
      <c r="Q912" s="10"/>
      <c r="R912" s="10"/>
      <c r="S912" s="10"/>
      <c r="T912" s="10"/>
      <c r="U912" s="10">
        <f t="shared" si="4"/>
        <v>1</v>
      </c>
      <c r="V912" s="10"/>
      <c r="W912" s="10"/>
      <c r="X912" s="10"/>
      <c r="Y912" s="10"/>
      <c r="Z912" s="10"/>
    </row>
    <row r="913" ht="13.5" customHeight="1">
      <c r="A913" s="3">
        <v>858.0</v>
      </c>
      <c r="B913" s="12">
        <v>40582.0</v>
      </c>
      <c r="C913" s="3">
        <v>1.0</v>
      </c>
      <c r="D913" s="3">
        <v>0.0</v>
      </c>
      <c r="E913" s="3">
        <v>2.0</v>
      </c>
      <c r="F913" s="3">
        <v>4.0</v>
      </c>
      <c r="G913" s="3" t="b">
        <f t="shared" si="92"/>
        <v>0</v>
      </c>
      <c r="H913" s="3">
        <v>2.0</v>
      </c>
      <c r="I913" s="3">
        <v>1.0</v>
      </c>
      <c r="J913" s="3">
        <v>0.26</v>
      </c>
      <c r="K913" s="3">
        <v>0.2576</v>
      </c>
      <c r="L913" s="3">
        <v>0.93</v>
      </c>
      <c r="M913" s="3">
        <v>0.1642</v>
      </c>
      <c r="N913" s="3">
        <v>0.0</v>
      </c>
      <c r="O913" s="3">
        <v>3.0</v>
      </c>
      <c r="P913" s="3">
        <v>3.0</v>
      </c>
      <c r="Q913" s="10"/>
      <c r="R913" s="10"/>
      <c r="S913" s="10"/>
      <c r="T913" s="10"/>
      <c r="U913" s="10">
        <f t="shared" si="4"/>
        <v>1</v>
      </c>
      <c r="V913" s="10"/>
      <c r="W913" s="10"/>
      <c r="X913" s="10"/>
      <c r="Y913" s="10"/>
      <c r="Z913" s="10"/>
    </row>
    <row r="914" ht="13.5" customHeight="1">
      <c r="A914" s="3">
        <v>880.0</v>
      </c>
      <c r="B914" s="12">
        <v>40583.0</v>
      </c>
      <c r="C914" s="3">
        <v>1.0</v>
      </c>
      <c r="D914" s="3">
        <v>0.0</v>
      </c>
      <c r="E914" s="3">
        <v>2.0</v>
      </c>
      <c r="F914" s="3">
        <v>2.0</v>
      </c>
      <c r="G914" s="3" t="b">
        <f t="shared" si="92"/>
        <v>0</v>
      </c>
      <c r="H914" s="3">
        <v>3.0</v>
      </c>
      <c r="I914" s="3">
        <v>1.0</v>
      </c>
      <c r="J914" s="3">
        <v>0.08</v>
      </c>
      <c r="K914" s="3">
        <v>0.0758</v>
      </c>
      <c r="L914" s="3">
        <v>0.38</v>
      </c>
      <c r="M914" s="3">
        <v>0.2836</v>
      </c>
      <c r="N914" s="3">
        <v>1.0</v>
      </c>
      <c r="O914" s="3">
        <v>2.0</v>
      </c>
      <c r="P914" s="3">
        <v>3.0</v>
      </c>
      <c r="Q914" s="10"/>
      <c r="R914" s="10"/>
      <c r="S914" s="10"/>
      <c r="T914" s="10"/>
      <c r="U914" s="10">
        <f t="shared" si="4"/>
        <v>1</v>
      </c>
      <c r="V914" s="10"/>
      <c r="W914" s="10"/>
      <c r="X914" s="10"/>
      <c r="Y914" s="10"/>
      <c r="Z914" s="10"/>
    </row>
    <row r="915" ht="13.5" customHeight="1">
      <c r="A915" s="3">
        <v>903.0</v>
      </c>
      <c r="B915" s="12">
        <v>40584.0</v>
      </c>
      <c r="C915" s="3">
        <v>1.0</v>
      </c>
      <c r="D915" s="3">
        <v>0.0</v>
      </c>
      <c r="E915" s="3">
        <v>2.0</v>
      </c>
      <c r="F915" s="3">
        <v>2.0</v>
      </c>
      <c r="G915" s="3" t="b">
        <f t="shared" si="92"/>
        <v>0</v>
      </c>
      <c r="H915" s="3">
        <v>4.0</v>
      </c>
      <c r="I915" s="3">
        <v>3.0</v>
      </c>
      <c r="J915" s="3">
        <v>0.14</v>
      </c>
      <c r="K915" s="3">
        <v>0.1515</v>
      </c>
      <c r="L915" s="3">
        <v>0.8</v>
      </c>
      <c r="M915" s="3">
        <v>0.1343</v>
      </c>
      <c r="N915" s="3">
        <v>0.0</v>
      </c>
      <c r="O915" s="3">
        <v>3.0</v>
      </c>
      <c r="P915" s="3">
        <v>3.0</v>
      </c>
      <c r="Q915" s="10"/>
      <c r="R915" s="10"/>
      <c r="S915" s="10"/>
      <c r="T915" s="10"/>
      <c r="U915" s="10">
        <f t="shared" si="4"/>
        <v>1</v>
      </c>
      <c r="V915" s="10"/>
      <c r="W915" s="10"/>
      <c r="X915" s="10"/>
      <c r="Y915" s="10"/>
      <c r="Z915" s="10"/>
    </row>
    <row r="916" ht="13.5" customHeight="1">
      <c r="A916" s="3">
        <v>926.0</v>
      </c>
      <c r="B916" s="12">
        <v>40585.0</v>
      </c>
      <c r="C916" s="3">
        <v>1.0</v>
      </c>
      <c r="D916" s="3">
        <v>0.0</v>
      </c>
      <c r="E916" s="3">
        <v>2.0</v>
      </c>
      <c r="F916" s="3">
        <v>2.0</v>
      </c>
      <c r="G916" s="3" t="b">
        <f t="shared" si="92"/>
        <v>0</v>
      </c>
      <c r="H916" s="3">
        <v>5.0</v>
      </c>
      <c r="I916" s="3">
        <v>1.0</v>
      </c>
      <c r="J916" s="3">
        <v>0.1</v>
      </c>
      <c r="K916" s="3">
        <v>0.1364</v>
      </c>
      <c r="L916" s="3">
        <v>0.54</v>
      </c>
      <c r="M916" s="3">
        <v>0.0896</v>
      </c>
      <c r="N916" s="3">
        <v>0.0</v>
      </c>
      <c r="O916" s="3">
        <v>3.0</v>
      </c>
      <c r="P916" s="3">
        <v>3.0</v>
      </c>
      <c r="Q916" s="10"/>
      <c r="R916" s="10"/>
      <c r="S916" s="10"/>
      <c r="T916" s="10"/>
      <c r="U916" s="10">
        <f t="shared" si="4"/>
        <v>1</v>
      </c>
      <c r="V916" s="10"/>
      <c r="W916" s="10"/>
      <c r="X916" s="10"/>
      <c r="Y916" s="10"/>
      <c r="Z916" s="10"/>
    </row>
    <row r="917" ht="13.5" customHeight="1">
      <c r="A917" s="3">
        <v>976.0</v>
      </c>
      <c r="B917" s="12">
        <v>40587.0</v>
      </c>
      <c r="C917" s="3">
        <v>1.0</v>
      </c>
      <c r="D917" s="3">
        <v>0.0</v>
      </c>
      <c r="E917" s="3">
        <v>2.0</v>
      </c>
      <c r="F917" s="3">
        <v>7.0</v>
      </c>
      <c r="G917" s="3" t="b">
        <f t="shared" si="92"/>
        <v>0</v>
      </c>
      <c r="H917" s="3">
        <v>0.0</v>
      </c>
      <c r="I917" s="3">
        <v>2.0</v>
      </c>
      <c r="J917" s="3">
        <v>0.22</v>
      </c>
      <c r="K917" s="3">
        <v>0.2727</v>
      </c>
      <c r="L917" s="3">
        <v>0.55</v>
      </c>
      <c r="M917" s="3">
        <v>0.0</v>
      </c>
      <c r="N917" s="3">
        <v>0.0</v>
      </c>
      <c r="O917" s="3">
        <v>3.0</v>
      </c>
      <c r="P917" s="3">
        <v>3.0</v>
      </c>
      <c r="Q917" s="10"/>
      <c r="R917" s="10"/>
      <c r="S917" s="10"/>
      <c r="T917" s="10"/>
      <c r="U917" s="10">
        <f t="shared" si="4"/>
        <v>1</v>
      </c>
      <c r="V917" s="10"/>
      <c r="W917" s="10"/>
      <c r="X917" s="10"/>
      <c r="Y917" s="10"/>
      <c r="Z917" s="10"/>
    </row>
    <row r="918" ht="13.5" customHeight="1">
      <c r="A918" s="3">
        <v>998.0</v>
      </c>
      <c r="B918" s="12">
        <v>40588.0</v>
      </c>
      <c r="C918" s="3">
        <v>1.0</v>
      </c>
      <c r="D918" s="3">
        <v>0.0</v>
      </c>
      <c r="E918" s="3">
        <v>2.0</v>
      </c>
      <c r="F918" s="3">
        <v>5.0</v>
      </c>
      <c r="G918" s="3" t="b">
        <f t="shared" si="92"/>
        <v>0</v>
      </c>
      <c r="H918" s="3">
        <v>1.0</v>
      </c>
      <c r="I918" s="3">
        <v>1.0</v>
      </c>
      <c r="J918" s="3">
        <v>0.32</v>
      </c>
      <c r="K918" s="3">
        <v>0.303</v>
      </c>
      <c r="L918" s="3">
        <v>0.53</v>
      </c>
      <c r="M918" s="3">
        <v>0.2836</v>
      </c>
      <c r="N918" s="3">
        <v>0.0</v>
      </c>
      <c r="O918" s="3">
        <v>3.0</v>
      </c>
      <c r="P918" s="3">
        <v>3.0</v>
      </c>
      <c r="Q918" s="10"/>
      <c r="R918" s="10"/>
      <c r="S918" s="10"/>
      <c r="T918" s="10"/>
      <c r="U918" s="10">
        <f t="shared" si="4"/>
        <v>1</v>
      </c>
      <c r="V918" s="10"/>
      <c r="W918" s="10"/>
      <c r="X918" s="10"/>
      <c r="Y918" s="10"/>
      <c r="Z918" s="10"/>
    </row>
    <row r="919" ht="13.5" customHeight="1">
      <c r="A919" s="10">
        <f>dataset_1!A8</f>
        <v>7</v>
      </c>
      <c r="B919" s="11">
        <f>dataset_1!B8</f>
        <v>40544</v>
      </c>
      <c r="C919" s="10">
        <f>dataset_1!C8</f>
        <v>1</v>
      </c>
      <c r="D919" s="10">
        <f>dataset_1!D8</f>
        <v>0</v>
      </c>
      <c r="E919" s="10">
        <f>dataset_1!E8</f>
        <v>1</v>
      </c>
      <c r="F919" s="10">
        <f>dataset_1!F8</f>
        <v>6</v>
      </c>
      <c r="G919" s="10" t="b">
        <f>dataset_1!G8</f>
        <v>0</v>
      </c>
      <c r="H919" s="10">
        <f>dataset_1!H8</f>
        <v>6</v>
      </c>
      <c r="I919" s="10">
        <f>dataset_1!I8</f>
        <v>1</v>
      </c>
      <c r="J919" s="10">
        <f>dataset_1!J8</f>
        <v>0.22</v>
      </c>
      <c r="K919" s="10">
        <f>VLOOKUP(A919,dataset_2!$A$2:$G$611,2,0)</f>
        <v>0.2727</v>
      </c>
      <c r="L919" s="10">
        <f>VLOOKUP(A919,dataset_2!$A$2:$G$611,3,0)</f>
        <v>0.8</v>
      </c>
      <c r="M919" s="10">
        <f>VLOOKUP(A919,dataset_2!$A$2:$G$611,4,0)</f>
        <v>0</v>
      </c>
      <c r="N919" s="10">
        <f>VLOOKUP(A919,dataset_2!$A$2:$G$611,5,0)</f>
        <v>2</v>
      </c>
      <c r="O919" s="10">
        <f>VLOOKUP(A919,dataset_2!$A$2:$G$611,6,0)</f>
        <v>0</v>
      </c>
      <c r="P919" s="10">
        <f>VLOOKUP(A919,dataset_2!$A$2:$G$611,7,0)</f>
        <v>2</v>
      </c>
      <c r="Q919" s="10"/>
      <c r="R919" s="10"/>
      <c r="S919" s="10"/>
      <c r="T919" s="10"/>
      <c r="U919" s="10">
        <f t="shared" si="4"/>
        <v>1</v>
      </c>
      <c r="V919" s="10"/>
      <c r="W919" s="10"/>
      <c r="X919" s="10"/>
      <c r="Y919" s="10"/>
      <c r="Z919" s="10"/>
    </row>
    <row r="920" ht="13.5" customHeight="1">
      <c r="A920" s="10">
        <f>dataset_1!A31</f>
        <v>30</v>
      </c>
      <c r="B920" s="11">
        <f>dataset_1!B31</f>
        <v>40545</v>
      </c>
      <c r="C920" s="10">
        <f>dataset_1!C31</f>
        <v>1</v>
      </c>
      <c r="D920" s="10">
        <f>dataset_1!D31</f>
        <v>0</v>
      </c>
      <c r="E920" s="10">
        <f>dataset_1!E31</f>
        <v>1</v>
      </c>
      <c r="F920" s="10">
        <f>dataset_1!F31</f>
        <v>6</v>
      </c>
      <c r="G920" s="10" t="b">
        <f>dataset_1!G31</f>
        <v>0</v>
      </c>
      <c r="H920" s="10">
        <f>dataset_1!H31</f>
        <v>0</v>
      </c>
      <c r="I920" s="10">
        <f>dataset_1!I31</f>
        <v>3</v>
      </c>
      <c r="J920" s="10">
        <f>dataset_1!J31</f>
        <v>0.42</v>
      </c>
      <c r="K920" s="10">
        <f>VLOOKUP(A920,dataset_2!$A$2:$G$611,2,0)</f>
        <v>0.4242</v>
      </c>
      <c r="L920" s="10">
        <f>VLOOKUP(A920,dataset_2!$A$2:$G$611,3,0)</f>
        <v>0.77</v>
      </c>
      <c r="M920" s="10">
        <f>VLOOKUP(A920,dataset_2!$A$2:$G$611,4,0)</f>
        <v>0.2985</v>
      </c>
      <c r="N920" s="10">
        <f>VLOOKUP(A920,dataset_2!$A$2:$G$611,5,0)</f>
        <v>0</v>
      </c>
      <c r="O920" s="10">
        <f>VLOOKUP(A920,dataset_2!$A$2:$G$611,6,0)</f>
        <v>2</v>
      </c>
      <c r="P920" s="10">
        <f>VLOOKUP(A920,dataset_2!$A$2:$G$611,7,0)</f>
        <v>2</v>
      </c>
      <c r="Q920" s="10"/>
      <c r="R920" s="10"/>
      <c r="S920" s="10"/>
      <c r="T920" s="10"/>
      <c r="U920" s="10">
        <f t="shared" si="4"/>
        <v>1</v>
      </c>
      <c r="V920" s="10"/>
      <c r="W920" s="10"/>
      <c r="X920" s="10"/>
      <c r="Y920" s="10"/>
      <c r="Z920" s="10"/>
    </row>
    <row r="921" ht="13.5" customHeight="1">
      <c r="A921" s="10">
        <f>dataset_1!A50</f>
        <v>49</v>
      </c>
      <c r="B921" s="11">
        <f>dataset_1!B50</f>
        <v>40546</v>
      </c>
      <c r="C921" s="10">
        <f>dataset_1!C50</f>
        <v>1</v>
      </c>
      <c r="D921" s="10">
        <f>dataset_1!D50</f>
        <v>0</v>
      </c>
      <c r="E921" s="10">
        <f>dataset_1!E50</f>
        <v>1</v>
      </c>
      <c r="F921" s="10">
        <f>dataset_1!F50</f>
        <v>1</v>
      </c>
      <c r="G921" s="10" t="b">
        <f>dataset_1!G50</f>
        <v>0</v>
      </c>
      <c r="H921" s="10">
        <f>dataset_1!H50</f>
        <v>1</v>
      </c>
      <c r="I921" s="10">
        <f>dataset_1!I50</f>
        <v>1</v>
      </c>
      <c r="J921" s="10">
        <f>dataset_1!J50</f>
        <v>0.2</v>
      </c>
      <c r="K921" s="10" t="str">
        <f>VLOOKUP(A921,dataset_2!$A$2:$G$611,2,0)</f>
        <v/>
      </c>
      <c r="L921" s="10">
        <f>VLOOKUP(A921,dataset_2!$A$2:$G$611,3,0)</f>
        <v>0.44</v>
      </c>
      <c r="M921" s="10">
        <f>VLOOKUP(A921,dataset_2!$A$2:$G$611,4,0)</f>
        <v>0.4179</v>
      </c>
      <c r="N921" s="10">
        <f>VLOOKUP(A921,dataset_2!$A$2:$G$611,5,0)</f>
        <v>0</v>
      </c>
      <c r="O921" s="10">
        <f>VLOOKUP(A921,dataset_2!$A$2:$G$611,6,0)</f>
        <v>2</v>
      </c>
      <c r="P921" s="10">
        <f>VLOOKUP(A921,dataset_2!$A$2:$G$611,7,0)</f>
        <v>2</v>
      </c>
      <c r="Q921" s="10"/>
      <c r="R921" s="10"/>
      <c r="S921" s="10"/>
      <c r="T921" s="10"/>
      <c r="U921" s="10">
        <f t="shared" si="4"/>
        <v>1</v>
      </c>
      <c r="V921" s="10"/>
      <c r="W921" s="10"/>
      <c r="X921" s="10"/>
      <c r="Y921" s="10"/>
      <c r="Z921" s="10"/>
    </row>
    <row r="922" ht="13.5" customHeight="1">
      <c r="A922" s="10">
        <f>dataset_1!A72</f>
        <v>71</v>
      </c>
      <c r="B922" s="11">
        <f>dataset_1!B72</f>
        <v>40547</v>
      </c>
      <c r="C922" s="10">
        <f>dataset_1!C72</f>
        <v>1</v>
      </c>
      <c r="D922" s="10">
        <f>dataset_1!D72</f>
        <v>0</v>
      </c>
      <c r="E922" s="10">
        <f>dataset_1!E72</f>
        <v>1</v>
      </c>
      <c r="F922" s="10">
        <f>dataset_1!F72</f>
        <v>1</v>
      </c>
      <c r="G922" s="10" t="b">
        <f>dataset_1!G72</f>
        <v>0</v>
      </c>
      <c r="H922" s="10">
        <f>dataset_1!H72</f>
        <v>2</v>
      </c>
      <c r="I922" s="10">
        <f>dataset_1!I72</f>
        <v>1</v>
      </c>
      <c r="J922" s="10">
        <f>dataset_1!J72</f>
        <v>0.16</v>
      </c>
      <c r="K922" s="10">
        <f>VLOOKUP(A922,dataset_2!$A$2:$G$611,2,0)</f>
        <v>0.1818</v>
      </c>
      <c r="L922" s="10">
        <f>VLOOKUP(A922,dataset_2!$A$2:$G$611,3,0)</f>
        <v>0.59</v>
      </c>
      <c r="M922" s="10">
        <f>VLOOKUP(A922,dataset_2!$A$2:$G$611,4,0)</f>
        <v>0.1045</v>
      </c>
      <c r="N922" s="10">
        <f>VLOOKUP(A922,dataset_2!$A$2:$G$611,5,0)</f>
        <v>0</v>
      </c>
      <c r="O922" s="10">
        <f>VLOOKUP(A922,dataset_2!$A$2:$G$611,6,0)</f>
        <v>2</v>
      </c>
      <c r="P922" s="10">
        <f>VLOOKUP(A922,dataset_2!$A$2:$G$611,7,0)</f>
        <v>2</v>
      </c>
      <c r="Q922" s="10"/>
      <c r="R922" s="10"/>
      <c r="S922" s="10"/>
      <c r="T922" s="10"/>
      <c r="U922" s="10">
        <f t="shared" si="4"/>
        <v>1</v>
      </c>
      <c r="V922" s="10"/>
      <c r="W922" s="10"/>
      <c r="X922" s="10"/>
      <c r="Y922" s="10"/>
      <c r="Z922" s="10"/>
    </row>
    <row r="923" ht="13.5" customHeight="1">
      <c r="A923" s="10">
        <f>dataset_1!A74</f>
        <v>73</v>
      </c>
      <c r="B923" s="11">
        <f>dataset_1!B74</f>
        <v>40547</v>
      </c>
      <c r="C923" s="10">
        <f>dataset_1!C74</f>
        <v>1</v>
      </c>
      <c r="D923" s="10">
        <f>dataset_1!D74</f>
        <v>0</v>
      </c>
      <c r="E923" s="10">
        <f>dataset_1!E74</f>
        <v>1</v>
      </c>
      <c r="F923" s="10">
        <f>dataset_1!F74</f>
        <v>4</v>
      </c>
      <c r="G923" s="10" t="b">
        <f>dataset_1!G74</f>
        <v>0</v>
      </c>
      <c r="H923" s="10">
        <f>dataset_1!H74</f>
        <v>2</v>
      </c>
      <c r="I923" s="10">
        <f>dataset_1!I74</f>
        <v>1</v>
      </c>
      <c r="J923" s="10">
        <f>dataset_1!J74</f>
        <v>0.14</v>
      </c>
      <c r="K923" s="10">
        <f>VLOOKUP(A923,dataset_2!$A$2:$G$611,2,0)</f>
        <v>0.1818</v>
      </c>
      <c r="L923" s="10">
        <f>VLOOKUP(A923,dataset_2!$A$2:$G$611,3,0)</f>
        <v>0.63</v>
      </c>
      <c r="M923" s="10">
        <f>VLOOKUP(A923,dataset_2!$A$2:$G$611,4,0)</f>
        <v>0.0896</v>
      </c>
      <c r="N923" s="10">
        <f>VLOOKUP(A923,dataset_2!$A$2:$G$611,5,0)</f>
        <v>0</v>
      </c>
      <c r="O923" s="10">
        <f>VLOOKUP(A923,dataset_2!$A$2:$G$611,6,0)</f>
        <v>2</v>
      </c>
      <c r="P923" s="10">
        <f>VLOOKUP(A923,dataset_2!$A$2:$G$611,7,0)</f>
        <v>2</v>
      </c>
      <c r="Q923" s="10"/>
      <c r="R923" s="10"/>
      <c r="S923" s="10"/>
      <c r="T923" s="10"/>
      <c r="U923" s="10">
        <f t="shared" si="4"/>
        <v>1</v>
      </c>
      <c r="V923" s="10"/>
      <c r="W923" s="10"/>
      <c r="X923" s="10"/>
      <c r="Y923" s="10"/>
      <c r="Z923" s="10"/>
    </row>
    <row r="924" ht="13.5" customHeight="1">
      <c r="A924" s="10">
        <f>dataset_1!A96</f>
        <v>95</v>
      </c>
      <c r="B924" s="11">
        <f>dataset_1!B96</f>
        <v>40548</v>
      </c>
      <c r="C924" s="10">
        <f>dataset_1!C96</f>
        <v>1</v>
      </c>
      <c r="D924" s="10">
        <f>dataset_1!D96</f>
        <v>0</v>
      </c>
      <c r="E924" s="10">
        <f>dataset_1!E96</f>
        <v>1</v>
      </c>
      <c r="F924" s="10">
        <f>dataset_1!F96</f>
        <v>2</v>
      </c>
      <c r="G924" s="10" t="b">
        <f>dataset_1!G96</f>
        <v>0</v>
      </c>
      <c r="H924" s="10">
        <f>dataset_1!H96</f>
        <v>3</v>
      </c>
      <c r="I924" s="10">
        <f>dataset_1!I96</f>
        <v>1</v>
      </c>
      <c r="J924" s="10">
        <f>dataset_1!J96</f>
        <v>0.16</v>
      </c>
      <c r="K924" s="10">
        <f>VLOOKUP(A924,dataset_2!$A$2:$G$611,2,0)</f>
        <v>0.197</v>
      </c>
      <c r="L924" s="10">
        <f>VLOOKUP(A924,dataset_2!$A$2:$G$611,3,0)</f>
        <v>0.74</v>
      </c>
      <c r="M924" s="10">
        <f>VLOOKUP(A924,dataset_2!$A$2:$G$611,4,0)</f>
        <v>0.0896</v>
      </c>
      <c r="N924" s="10">
        <f>VLOOKUP(A924,dataset_2!$A$2:$G$611,5,0)</f>
        <v>0</v>
      </c>
      <c r="O924" s="10">
        <f>VLOOKUP(A924,dataset_2!$A$2:$G$611,6,0)</f>
        <v>2</v>
      </c>
      <c r="P924" s="10">
        <f>VLOOKUP(A924,dataset_2!$A$2:$G$611,7,0)</f>
        <v>2</v>
      </c>
      <c r="Q924" s="10"/>
      <c r="R924" s="10"/>
      <c r="S924" s="10"/>
      <c r="T924" s="10"/>
      <c r="U924" s="10">
        <f t="shared" si="4"/>
        <v>1</v>
      </c>
      <c r="V924" s="10"/>
      <c r="W924" s="10"/>
      <c r="X924" s="10"/>
      <c r="Y924" s="10"/>
      <c r="Z924" s="10"/>
    </row>
    <row r="925" ht="13.5" customHeight="1">
      <c r="A925" s="10">
        <f>dataset_1!A97</f>
        <v>96</v>
      </c>
      <c r="B925" s="11">
        <f>dataset_1!B97</f>
        <v>40548</v>
      </c>
      <c r="C925" s="10">
        <f>dataset_1!C97</f>
        <v>1</v>
      </c>
      <c r="D925" s="10">
        <f>dataset_1!D97</f>
        <v>0</v>
      </c>
      <c r="E925" s="10">
        <f>dataset_1!E97</f>
        <v>1</v>
      </c>
      <c r="F925" s="10">
        <f>dataset_1!F97</f>
        <v>4</v>
      </c>
      <c r="G925" s="10" t="b">
        <f>dataset_1!G97</f>
        <v>0</v>
      </c>
      <c r="H925" s="10">
        <f>dataset_1!H97</f>
        <v>3</v>
      </c>
      <c r="I925" s="10">
        <f>dataset_1!I97</f>
        <v>1</v>
      </c>
      <c r="J925" s="10">
        <f>dataset_1!J97</f>
        <v>0.24</v>
      </c>
      <c r="K925" s="10">
        <f>VLOOKUP(A925,dataset_2!$A$2:$G$611,2,0)</f>
        <v>0.2273</v>
      </c>
      <c r="L925" s="10">
        <f>VLOOKUP(A925,dataset_2!$A$2:$G$611,3,0)</f>
        <v>0.48</v>
      </c>
      <c r="M925" s="10">
        <f>VLOOKUP(A925,dataset_2!$A$2:$G$611,4,0)</f>
        <v>0.2239</v>
      </c>
      <c r="N925" s="10">
        <f>VLOOKUP(A925,dataset_2!$A$2:$G$611,5,0)</f>
        <v>0</v>
      </c>
      <c r="O925" s="10">
        <f>VLOOKUP(A925,dataset_2!$A$2:$G$611,6,0)</f>
        <v>2</v>
      </c>
      <c r="P925" s="10">
        <f>VLOOKUP(A925,dataset_2!$A$2:$G$611,7,0)</f>
        <v>2</v>
      </c>
      <c r="Q925" s="10"/>
      <c r="R925" s="10"/>
      <c r="S925" s="10"/>
      <c r="T925" s="10"/>
      <c r="U925" s="10">
        <f t="shared" si="4"/>
        <v>1</v>
      </c>
      <c r="V925" s="10"/>
      <c r="W925" s="10"/>
      <c r="X925" s="10"/>
      <c r="Y925" s="10"/>
      <c r="Z925" s="10"/>
    </row>
    <row r="926" ht="13.5" customHeight="1">
      <c r="A926" s="10">
        <f>dataset_1!A119</f>
        <v>118</v>
      </c>
      <c r="B926" s="11">
        <f>dataset_1!B119</f>
        <v>40549</v>
      </c>
      <c r="C926" s="10">
        <f>dataset_1!C119</f>
        <v>1</v>
      </c>
      <c r="D926" s="10">
        <f>dataset_1!D119</f>
        <v>0</v>
      </c>
      <c r="E926" s="10">
        <f>dataset_1!E119</f>
        <v>1</v>
      </c>
      <c r="F926" s="10">
        <f>dataset_1!F119</f>
        <v>2</v>
      </c>
      <c r="G926" s="10" t="b">
        <f>dataset_1!G119</f>
        <v>0</v>
      </c>
      <c r="H926" s="10">
        <f>dataset_1!H119</f>
        <v>4</v>
      </c>
      <c r="I926" s="10">
        <f>dataset_1!I119</f>
        <v>1</v>
      </c>
      <c r="J926" s="10">
        <f>dataset_1!J119</f>
        <v>0.16</v>
      </c>
      <c r="K926" s="10">
        <f>VLOOKUP(A926,dataset_2!$A$2:$G$611,2,0)</f>
        <v>0.2273</v>
      </c>
      <c r="L926" s="10">
        <f>VLOOKUP(A926,dataset_2!$A$2:$G$611,3,0)</f>
        <v>0.64</v>
      </c>
      <c r="M926" s="10">
        <f>VLOOKUP(A926,dataset_2!$A$2:$G$611,4,0)</f>
        <v>0</v>
      </c>
      <c r="N926" s="10">
        <f>VLOOKUP(A926,dataset_2!$A$2:$G$611,5,0)</f>
        <v>0</v>
      </c>
      <c r="O926" s="10">
        <f>VLOOKUP(A926,dataset_2!$A$2:$G$611,6,0)</f>
        <v>2</v>
      </c>
      <c r="P926" s="10">
        <f>VLOOKUP(A926,dataset_2!$A$2:$G$611,7,0)</f>
        <v>2</v>
      </c>
      <c r="Q926" s="10"/>
      <c r="R926" s="10"/>
      <c r="S926" s="10"/>
      <c r="T926" s="10"/>
      <c r="U926" s="10">
        <f t="shared" si="4"/>
        <v>1</v>
      </c>
      <c r="V926" s="10"/>
      <c r="W926" s="10"/>
      <c r="X926" s="10"/>
      <c r="Y926" s="10"/>
      <c r="Z926" s="10"/>
    </row>
    <row r="927" ht="13.5" customHeight="1">
      <c r="A927" s="10">
        <f>dataset_1!A169</f>
        <v>168</v>
      </c>
      <c r="B927" s="11">
        <f>dataset_1!B169</f>
        <v>40551</v>
      </c>
      <c r="C927" s="10">
        <f>dataset_1!C169</f>
        <v>1</v>
      </c>
      <c r="D927" s="10">
        <f>dataset_1!D169</f>
        <v>0</v>
      </c>
      <c r="E927" s="10">
        <f>dataset_1!E169</f>
        <v>1</v>
      </c>
      <c r="F927" s="10">
        <f>dataset_1!F169</f>
        <v>6</v>
      </c>
      <c r="G927" s="10" t="b">
        <f>dataset_1!G169</f>
        <v>0</v>
      </c>
      <c r="H927" s="10">
        <f>dataset_1!H169</f>
        <v>6</v>
      </c>
      <c r="I927" s="10">
        <f>dataset_1!I169</f>
        <v>2</v>
      </c>
      <c r="J927" s="10">
        <f>dataset_1!J169</f>
        <v>0.16</v>
      </c>
      <c r="K927" s="10">
        <f>VLOOKUP(A927,dataset_2!$A$2:$G$611,2,0)</f>
        <v>0.1667</v>
      </c>
      <c r="L927" s="10">
        <f>VLOOKUP(A927,dataset_2!$A$2:$G$611,3,0)</f>
        <v>0.74</v>
      </c>
      <c r="M927" s="10">
        <f>VLOOKUP(A927,dataset_2!$A$2:$G$611,4,0)</f>
        <v>0.1642</v>
      </c>
      <c r="N927" s="10">
        <f>VLOOKUP(A927,dataset_2!$A$2:$G$611,5,0)</f>
        <v>0</v>
      </c>
      <c r="O927" s="10">
        <f>VLOOKUP(A927,dataset_2!$A$2:$G$611,6,0)</f>
        <v>2</v>
      </c>
      <c r="P927" s="10">
        <f>VLOOKUP(A927,dataset_2!$A$2:$G$611,7,0)</f>
        <v>2</v>
      </c>
      <c r="Q927" s="10"/>
      <c r="R927" s="10"/>
      <c r="S927" s="10"/>
      <c r="T927" s="10"/>
      <c r="U927" s="10">
        <f t="shared" si="4"/>
        <v>1</v>
      </c>
      <c r="V927" s="10"/>
      <c r="W927" s="10"/>
      <c r="X927" s="10"/>
      <c r="Y927" s="10"/>
      <c r="Z927" s="10"/>
    </row>
    <row r="928" ht="13.5" customHeight="1">
      <c r="A928" s="10">
        <f>dataset_1!A280</f>
        <v>279</v>
      </c>
      <c r="B928" s="11">
        <f>dataset_1!B280</f>
        <v>40556</v>
      </c>
      <c r="C928" s="10">
        <f>dataset_1!C280</f>
        <v>1</v>
      </c>
      <c r="D928" s="10">
        <f>dataset_1!D280</f>
        <v>0</v>
      </c>
      <c r="E928" s="10">
        <f>dataset_1!E280</f>
        <v>1</v>
      </c>
      <c r="F928" s="10">
        <f>dataset_1!F280</f>
        <v>1</v>
      </c>
      <c r="G928" s="10" t="b">
        <f>dataset_1!G280</f>
        <v>0</v>
      </c>
      <c r="H928" s="10">
        <f>dataset_1!H280</f>
        <v>4</v>
      </c>
      <c r="I928" s="10">
        <f>dataset_1!I280</f>
        <v>1</v>
      </c>
      <c r="J928" s="10">
        <f>dataset_1!J280</f>
        <v>0.14</v>
      </c>
      <c r="K928" s="10">
        <f>VLOOKUP(A928,dataset_2!$A$2:$G$611,2,0)</f>
        <v>0.1212</v>
      </c>
      <c r="L928" s="10">
        <f>VLOOKUP(A928,dataset_2!$A$2:$G$611,3,0)</f>
        <v>0.5</v>
      </c>
      <c r="M928" s="10">
        <f>VLOOKUP(A928,dataset_2!$A$2:$G$611,4,0)</f>
        <v>0.2836</v>
      </c>
      <c r="N928" s="10">
        <f>VLOOKUP(A928,dataset_2!$A$2:$G$611,5,0)</f>
        <v>0</v>
      </c>
      <c r="O928" s="10">
        <f>VLOOKUP(A928,dataset_2!$A$2:$G$611,6,0)</f>
        <v>2</v>
      </c>
      <c r="P928" s="10">
        <f>VLOOKUP(A928,dataset_2!$A$2:$G$611,7,0)</f>
        <v>2</v>
      </c>
      <c r="Q928" s="10"/>
      <c r="R928" s="10"/>
      <c r="S928" s="10"/>
      <c r="T928" s="10"/>
      <c r="U928" s="10">
        <f t="shared" si="4"/>
        <v>1</v>
      </c>
      <c r="V928" s="10"/>
      <c r="W928" s="10"/>
      <c r="X928" s="10"/>
      <c r="Y928" s="10"/>
      <c r="Z928" s="10"/>
    </row>
    <row r="929" ht="13.5" customHeight="1">
      <c r="A929" s="10">
        <f>dataset_1!A281</f>
        <v>280</v>
      </c>
      <c r="B929" s="11">
        <f>dataset_1!B281</f>
        <v>40556</v>
      </c>
      <c r="C929" s="10">
        <f>dataset_1!C281</f>
        <v>1</v>
      </c>
      <c r="D929" s="10">
        <f>dataset_1!D281</f>
        <v>0</v>
      </c>
      <c r="E929" s="10">
        <f>dataset_1!E281</f>
        <v>1</v>
      </c>
      <c r="F929" s="10">
        <f>dataset_1!F281</f>
        <v>2</v>
      </c>
      <c r="G929" s="10" t="b">
        <f>dataset_1!G281</f>
        <v>0</v>
      </c>
      <c r="H929" s="10">
        <f>dataset_1!H281</f>
        <v>4</v>
      </c>
      <c r="I929" s="10">
        <f>dataset_1!I281</f>
        <v>1</v>
      </c>
      <c r="J929" s="10">
        <f>dataset_1!J281</f>
        <v>0.14</v>
      </c>
      <c r="K929" s="10">
        <f>VLOOKUP(A929,dataset_2!$A$2:$G$611,2,0)</f>
        <v>0.1212</v>
      </c>
      <c r="L929" s="10">
        <f>VLOOKUP(A929,dataset_2!$A$2:$G$611,3,0)</f>
        <v>0.5</v>
      </c>
      <c r="M929" s="10">
        <f>VLOOKUP(A929,dataset_2!$A$2:$G$611,4,0)</f>
        <v>0.3582</v>
      </c>
      <c r="N929" s="10">
        <f>VLOOKUP(A929,dataset_2!$A$2:$G$611,5,0)</f>
        <v>0</v>
      </c>
      <c r="O929" s="10">
        <f>VLOOKUP(A929,dataset_2!$A$2:$G$611,6,0)</f>
        <v>2</v>
      </c>
      <c r="P929" s="10">
        <f>VLOOKUP(A929,dataset_2!$A$2:$G$611,7,0)</f>
        <v>2</v>
      </c>
      <c r="Q929" s="10"/>
      <c r="R929" s="10"/>
      <c r="S929" s="10"/>
      <c r="T929" s="10"/>
      <c r="U929" s="10">
        <f t="shared" si="4"/>
        <v>1</v>
      </c>
      <c r="V929" s="10"/>
      <c r="W929" s="10"/>
      <c r="X929" s="10"/>
      <c r="Y929" s="10"/>
      <c r="Z929" s="10"/>
    </row>
    <row r="930" ht="13.5" customHeight="1">
      <c r="A930" s="10">
        <f>dataset_1!A355</f>
        <v>354</v>
      </c>
      <c r="B930" s="11">
        <f>dataset_1!B355</f>
        <v>40559</v>
      </c>
      <c r="C930" s="10">
        <f>dataset_1!C355</f>
        <v>1</v>
      </c>
      <c r="D930" s="10">
        <f>dataset_1!D355</f>
        <v>0</v>
      </c>
      <c r="E930" s="10">
        <f>dataset_1!E355</f>
        <v>1</v>
      </c>
      <c r="F930" s="10">
        <f>dataset_1!F355</f>
        <v>5</v>
      </c>
      <c r="G930" s="10" t="b">
        <f>dataset_1!G355</f>
        <v>0</v>
      </c>
      <c r="H930" s="10">
        <f>dataset_1!H355</f>
        <v>0</v>
      </c>
      <c r="I930" s="10">
        <f>dataset_1!I355</f>
        <v>2</v>
      </c>
      <c r="J930" s="10">
        <f>dataset_1!J355</f>
        <v>0.26</v>
      </c>
      <c r="K930" s="10">
        <f>VLOOKUP(A930,dataset_2!$A$2:$G$611,2,0)</f>
        <v>0.2576</v>
      </c>
      <c r="L930" s="10">
        <f>VLOOKUP(A930,dataset_2!$A$2:$G$611,3,0)</f>
        <v>0.56</v>
      </c>
      <c r="M930" s="10">
        <f>VLOOKUP(A930,dataset_2!$A$2:$G$611,4,0)</f>
        <v>0.1642</v>
      </c>
      <c r="N930" s="10">
        <f>VLOOKUP(A930,dataset_2!$A$2:$G$611,5,0)</f>
        <v>1</v>
      </c>
      <c r="O930" s="10">
        <f>VLOOKUP(A930,dataset_2!$A$2:$G$611,6,0)</f>
        <v>1</v>
      </c>
      <c r="P930" s="10">
        <f>VLOOKUP(A930,dataset_2!$A$2:$G$611,7,0)</f>
        <v>2</v>
      </c>
      <c r="Q930" s="10"/>
      <c r="R930" s="10"/>
      <c r="S930" s="10"/>
      <c r="T930" s="10"/>
      <c r="U930" s="10">
        <f t="shared" si="4"/>
        <v>1</v>
      </c>
      <c r="V930" s="10"/>
      <c r="W930" s="10"/>
      <c r="X930" s="10"/>
      <c r="Y930" s="10"/>
      <c r="Z930" s="10"/>
    </row>
    <row r="931" ht="13.5" customHeight="1">
      <c r="A931" s="10">
        <f>dataset_1!A377</f>
        <v>376</v>
      </c>
      <c r="B931" s="11">
        <f>dataset_1!B377</f>
        <v>40560</v>
      </c>
      <c r="C931" s="10">
        <f>dataset_1!C377</f>
        <v>1</v>
      </c>
      <c r="D931" s="10">
        <f>dataset_1!D377</f>
        <v>0</v>
      </c>
      <c r="E931" s="10">
        <f>dataset_1!E377</f>
        <v>1</v>
      </c>
      <c r="F931" s="10">
        <f>dataset_1!F377</f>
        <v>3</v>
      </c>
      <c r="G931" s="10" t="b">
        <f>dataset_1!G377</f>
        <v>1</v>
      </c>
      <c r="H931" s="10">
        <f>dataset_1!H377</f>
        <v>1</v>
      </c>
      <c r="I931" s="10">
        <f>dataset_1!I377</f>
        <v>2</v>
      </c>
      <c r="J931" s="10">
        <f>dataset_1!J377</f>
        <v>0.18</v>
      </c>
      <c r="K931" s="10">
        <f>VLOOKUP(A931,dataset_2!$A$2:$G$611,2,0)</f>
        <v>0.1818</v>
      </c>
      <c r="L931" s="10">
        <f>VLOOKUP(A931,dataset_2!$A$2:$G$611,3,0)</f>
        <v>0.43</v>
      </c>
      <c r="M931" s="10">
        <f>VLOOKUP(A931,dataset_2!$A$2:$G$611,4,0)</f>
        <v>0.194</v>
      </c>
      <c r="N931" s="10">
        <f>VLOOKUP(A931,dataset_2!$A$2:$G$611,5,0)</f>
        <v>0</v>
      </c>
      <c r="O931" s="10">
        <f>VLOOKUP(A931,dataset_2!$A$2:$G$611,6,0)</f>
        <v>2</v>
      </c>
      <c r="P931" s="10">
        <f>VLOOKUP(A931,dataset_2!$A$2:$G$611,7,0)</f>
        <v>2</v>
      </c>
      <c r="Q931" s="10"/>
      <c r="R931" s="10"/>
      <c r="S931" s="10"/>
      <c r="T931" s="10"/>
      <c r="U931" s="10">
        <f t="shared" si="4"/>
        <v>1</v>
      </c>
      <c r="V931" s="10"/>
      <c r="W931" s="10"/>
      <c r="X931" s="10"/>
      <c r="Y931" s="10"/>
      <c r="Z931" s="10"/>
    </row>
    <row r="932" ht="13.5" customHeight="1">
      <c r="A932" s="10">
        <f>dataset_1!A413</f>
        <v>412</v>
      </c>
      <c r="B932" s="11">
        <f>dataset_1!B413</f>
        <v>40562</v>
      </c>
      <c r="C932" s="10">
        <f>dataset_1!C413</f>
        <v>1</v>
      </c>
      <c r="D932" s="10">
        <f>dataset_1!D413</f>
        <v>0</v>
      </c>
      <c r="E932" s="10">
        <f>dataset_1!E413</f>
        <v>1</v>
      </c>
      <c r="F932" s="10">
        <f>dataset_1!F413</f>
        <v>4</v>
      </c>
      <c r="G932" s="10" t="b">
        <f>dataset_1!G413</f>
        <v>0</v>
      </c>
      <c r="H932" s="10">
        <f>dataset_1!H413</f>
        <v>3</v>
      </c>
      <c r="I932" s="10">
        <f>dataset_1!I413</f>
        <v>3</v>
      </c>
      <c r="J932" s="10">
        <f>dataset_1!J413</f>
        <v>0.22</v>
      </c>
      <c r="K932" s="10">
        <f>VLOOKUP(A932,dataset_2!$A$2:$G$611,2,0)</f>
        <v>0.2273</v>
      </c>
      <c r="L932" s="10">
        <f>VLOOKUP(A932,dataset_2!$A$2:$G$611,3,0)</f>
        <v>0.93</v>
      </c>
      <c r="M932" s="10">
        <f>VLOOKUP(A932,dataset_2!$A$2:$G$611,4,0)</f>
        <v>0.1343</v>
      </c>
      <c r="N932" s="10">
        <f>VLOOKUP(A932,dataset_2!$A$2:$G$611,5,0)</f>
        <v>1</v>
      </c>
      <c r="O932" s="10">
        <f>VLOOKUP(A932,dataset_2!$A$2:$G$611,6,0)</f>
        <v>1</v>
      </c>
      <c r="P932" s="10">
        <f>VLOOKUP(A932,dataset_2!$A$2:$G$611,7,0)</f>
        <v>2</v>
      </c>
      <c r="Q932" s="10"/>
      <c r="R932" s="10"/>
      <c r="S932" s="10"/>
      <c r="T932" s="10"/>
      <c r="U932" s="10">
        <f t="shared" si="4"/>
        <v>1</v>
      </c>
      <c r="V932" s="10"/>
      <c r="W932" s="10"/>
      <c r="X932" s="10"/>
      <c r="Y932" s="10"/>
      <c r="Z932" s="10"/>
    </row>
    <row r="933" ht="13.5" customHeight="1">
      <c r="A933" s="10">
        <f>dataset_1!A435</f>
        <v>434</v>
      </c>
      <c r="B933" s="11">
        <f>dataset_1!B435</f>
        <v>40563</v>
      </c>
      <c r="C933" s="10">
        <f>dataset_1!C435</f>
        <v>1</v>
      </c>
      <c r="D933" s="10">
        <f>dataset_1!D435</f>
        <v>0</v>
      </c>
      <c r="E933" s="10">
        <f>dataset_1!E435</f>
        <v>1</v>
      </c>
      <c r="F933" s="10">
        <f>dataset_1!F435</f>
        <v>2</v>
      </c>
      <c r="G933" s="10" t="b">
        <f>dataset_1!G435</f>
        <v>0</v>
      </c>
      <c r="H933" s="10">
        <f>dataset_1!H435</f>
        <v>4</v>
      </c>
      <c r="I933" s="10">
        <f>dataset_1!I435</f>
        <v>1</v>
      </c>
      <c r="J933" s="10">
        <f>dataset_1!J435</f>
        <v>0.26</v>
      </c>
      <c r="K933" s="10">
        <f>VLOOKUP(A933,dataset_2!$A$2:$G$611,2,0)</f>
        <v>0.2727</v>
      </c>
      <c r="L933" s="10">
        <f>VLOOKUP(A933,dataset_2!$A$2:$G$611,3,0)</f>
        <v>0.56</v>
      </c>
      <c r="M933" s="10">
        <f>VLOOKUP(A933,dataset_2!$A$2:$G$611,4,0)</f>
        <v>0</v>
      </c>
      <c r="N933" s="10">
        <f>VLOOKUP(A933,dataset_2!$A$2:$G$611,5,0)</f>
        <v>0</v>
      </c>
      <c r="O933" s="10">
        <f>VLOOKUP(A933,dataset_2!$A$2:$G$611,6,0)</f>
        <v>2</v>
      </c>
      <c r="P933" s="10">
        <f>VLOOKUP(A933,dataset_2!$A$2:$G$611,7,0)</f>
        <v>2</v>
      </c>
      <c r="Q933" s="10"/>
      <c r="R933" s="10"/>
      <c r="S933" s="10"/>
      <c r="T933" s="10"/>
      <c r="U933" s="10">
        <f t="shared" si="4"/>
        <v>1</v>
      </c>
      <c r="V933" s="10"/>
      <c r="W933" s="10"/>
      <c r="X933" s="10"/>
      <c r="Y933" s="10"/>
      <c r="Z933" s="10"/>
    </row>
    <row r="934" ht="13.5" customHeight="1">
      <c r="A934" s="10">
        <f>dataset_1!A459</f>
        <v>458</v>
      </c>
      <c r="B934" s="11">
        <f>dataset_1!B459</f>
        <v>40564</v>
      </c>
      <c r="C934" s="10">
        <f>dataset_1!C459</f>
        <v>1</v>
      </c>
      <c r="D934" s="10">
        <f>dataset_1!D459</f>
        <v>0</v>
      </c>
      <c r="E934" s="10">
        <f>dataset_1!E459</f>
        <v>1</v>
      </c>
      <c r="F934" s="10">
        <f>dataset_1!F459</f>
        <v>2</v>
      </c>
      <c r="G934" s="10" t="b">
        <f>dataset_1!G459</f>
        <v>0</v>
      </c>
      <c r="H934" s="10">
        <f>dataset_1!H459</f>
        <v>5</v>
      </c>
      <c r="I934" s="10">
        <f>dataset_1!I459</f>
        <v>3</v>
      </c>
      <c r="J934" s="10">
        <f>dataset_1!J459</f>
        <v>0.24</v>
      </c>
      <c r="K934" s="10">
        <f>VLOOKUP(A934,dataset_2!$A$2:$G$611,2,0)</f>
        <v>0.2424</v>
      </c>
      <c r="L934" s="10">
        <f>VLOOKUP(A934,dataset_2!$A$2:$G$611,3,0)</f>
        <v>0.75</v>
      </c>
      <c r="M934" s="10">
        <f>VLOOKUP(A934,dataset_2!$A$2:$G$611,4,0)</f>
        <v>0.1642</v>
      </c>
      <c r="N934" s="10">
        <f>VLOOKUP(A934,dataset_2!$A$2:$G$611,5,0)</f>
        <v>0</v>
      </c>
      <c r="O934" s="10">
        <f>VLOOKUP(A934,dataset_2!$A$2:$G$611,6,0)</f>
        <v>2</v>
      </c>
      <c r="P934" s="10">
        <f>VLOOKUP(A934,dataset_2!$A$2:$G$611,7,0)</f>
        <v>2</v>
      </c>
      <c r="Q934" s="10"/>
      <c r="R934" s="10"/>
      <c r="S934" s="10"/>
      <c r="T934" s="10"/>
      <c r="U934" s="10">
        <f t="shared" si="4"/>
        <v>1</v>
      </c>
      <c r="V934" s="10"/>
      <c r="W934" s="10"/>
      <c r="X934" s="10"/>
      <c r="Y934" s="10"/>
      <c r="Z934" s="10"/>
    </row>
    <row r="935" ht="13.5" customHeight="1">
      <c r="A935" s="10">
        <f>dataset_1!A486</f>
        <v>485</v>
      </c>
      <c r="B935" s="11">
        <f>dataset_1!B486</f>
        <v>40565</v>
      </c>
      <c r="C935" s="10">
        <f>dataset_1!C486</f>
        <v>1</v>
      </c>
      <c r="D935" s="10">
        <f>dataset_1!D486</f>
        <v>0</v>
      </c>
      <c r="E935" s="10">
        <f>dataset_1!E486</f>
        <v>1</v>
      </c>
      <c r="F935" s="10">
        <f>dataset_1!F486</f>
        <v>6</v>
      </c>
      <c r="G935" s="10" t="b">
        <f>dataset_1!G486</f>
        <v>0</v>
      </c>
      <c r="H935" s="10">
        <f>dataset_1!H486</f>
        <v>6</v>
      </c>
      <c r="I935" s="10">
        <f>dataset_1!I486</f>
        <v>2</v>
      </c>
      <c r="J935" s="10">
        <f>dataset_1!J486</f>
        <v>0.02</v>
      </c>
      <c r="K935" s="10">
        <f>VLOOKUP(A935,dataset_2!$A$2:$G$611,2,0)</f>
        <v>0.0303</v>
      </c>
      <c r="L935" s="10">
        <f>VLOOKUP(A935,dataset_2!$A$2:$G$611,3,0)</f>
        <v>0.44</v>
      </c>
      <c r="M935" s="10">
        <f>VLOOKUP(A935,dataset_2!$A$2:$G$611,4,0)</f>
        <v>0.2239</v>
      </c>
      <c r="N935" s="10">
        <f>VLOOKUP(A935,dataset_2!$A$2:$G$611,5,0)</f>
        <v>0</v>
      </c>
      <c r="O935" s="10">
        <f>VLOOKUP(A935,dataset_2!$A$2:$G$611,6,0)</f>
        <v>2</v>
      </c>
      <c r="P935" s="10">
        <f>VLOOKUP(A935,dataset_2!$A$2:$G$611,7,0)</f>
        <v>2</v>
      </c>
      <c r="Q935" s="10"/>
      <c r="R935" s="10"/>
      <c r="S935" s="10"/>
      <c r="T935" s="10"/>
      <c r="U935" s="10">
        <f t="shared" si="4"/>
        <v>1</v>
      </c>
      <c r="V935" s="10"/>
      <c r="W935" s="10"/>
      <c r="X935" s="10"/>
      <c r="Y935" s="10"/>
      <c r="Z935" s="10"/>
    </row>
    <row r="936" ht="13.5" customHeight="1">
      <c r="A936" s="10">
        <f>dataset_1!A510</f>
        <v>509</v>
      </c>
      <c r="B936" s="11">
        <f>dataset_1!B510</f>
        <v>40566</v>
      </c>
      <c r="C936" s="10">
        <f>dataset_1!C510</f>
        <v>1</v>
      </c>
      <c r="D936" s="10">
        <f>dataset_1!D510</f>
        <v>0</v>
      </c>
      <c r="E936" s="10">
        <f>dataset_1!E510</f>
        <v>1</v>
      </c>
      <c r="F936" s="10">
        <f>dataset_1!F510</f>
        <v>7</v>
      </c>
      <c r="G936" s="10" t="b">
        <f>dataset_1!G510</f>
        <v>0</v>
      </c>
      <c r="H936" s="10">
        <f>dataset_1!H510</f>
        <v>0</v>
      </c>
      <c r="I936" s="10">
        <f>dataset_1!I510</f>
        <v>1</v>
      </c>
      <c r="J936" s="10">
        <f>dataset_1!J510</f>
        <v>0.08</v>
      </c>
      <c r="K936" s="10">
        <f>VLOOKUP(A936,dataset_2!$A$2:$G$611,2,0)</f>
        <v>0.1061</v>
      </c>
      <c r="L936" s="10">
        <f>VLOOKUP(A936,dataset_2!$A$2:$G$611,3,0)</f>
        <v>0.58</v>
      </c>
      <c r="M936" s="10">
        <f>VLOOKUP(A936,dataset_2!$A$2:$G$611,4,0)</f>
        <v>0.1642</v>
      </c>
      <c r="N936" s="10">
        <f>VLOOKUP(A936,dataset_2!$A$2:$G$611,5,0)</f>
        <v>1</v>
      </c>
      <c r="O936" s="10">
        <f>VLOOKUP(A936,dataset_2!$A$2:$G$611,6,0)</f>
        <v>1</v>
      </c>
      <c r="P936" s="10">
        <f>VLOOKUP(A936,dataset_2!$A$2:$G$611,7,0)</f>
        <v>2</v>
      </c>
      <c r="Q936" s="10"/>
      <c r="R936" s="10"/>
      <c r="S936" s="10"/>
      <c r="T936" s="10"/>
      <c r="U936" s="10">
        <f t="shared" si="4"/>
        <v>1</v>
      </c>
      <c r="V936" s="10"/>
      <c r="W936" s="10"/>
      <c r="X936" s="10"/>
      <c r="Y936" s="10"/>
      <c r="Z936" s="10"/>
    </row>
    <row r="937" ht="13.5" customHeight="1">
      <c r="A937" s="10">
        <f>dataset_1!A552</f>
        <v>551</v>
      </c>
      <c r="B937" s="11">
        <f>dataset_1!B552</f>
        <v>40568</v>
      </c>
      <c r="C937" s="10">
        <f>dataset_1!C552</f>
        <v>1</v>
      </c>
      <c r="D937" s="10">
        <f>dataset_1!D552</f>
        <v>0</v>
      </c>
      <c r="E937" s="10">
        <f>dataset_1!E552</f>
        <v>1</v>
      </c>
      <c r="F937" s="10">
        <f>dataset_1!F552</f>
        <v>2</v>
      </c>
      <c r="G937" s="10" t="b">
        <f>dataset_1!G552</f>
        <v>0</v>
      </c>
      <c r="H937" s="10">
        <f>dataset_1!H552</f>
        <v>2</v>
      </c>
      <c r="I937" s="10">
        <f>dataset_1!I552</f>
        <v>1</v>
      </c>
      <c r="J937" s="10">
        <f>dataset_1!J552</f>
        <v>0.16</v>
      </c>
      <c r="K937" s="10">
        <f>VLOOKUP(A937,dataset_2!$A$2:$G$611,2,0)</f>
        <v>0.1515</v>
      </c>
      <c r="L937" s="10">
        <f>VLOOKUP(A937,dataset_2!$A$2:$G$611,3,0)</f>
        <v>0.69</v>
      </c>
      <c r="M937" s="10">
        <f>VLOOKUP(A937,dataset_2!$A$2:$G$611,4,0)</f>
        <v>0.2239</v>
      </c>
      <c r="N937" s="10">
        <f>VLOOKUP(A937,dataset_2!$A$2:$G$611,5,0)</f>
        <v>0</v>
      </c>
      <c r="O937" s="10">
        <f>VLOOKUP(A937,dataset_2!$A$2:$G$611,6,0)</f>
        <v>2</v>
      </c>
      <c r="P937" s="10">
        <f>VLOOKUP(A937,dataset_2!$A$2:$G$611,7,0)</f>
        <v>2</v>
      </c>
      <c r="Q937" s="10"/>
      <c r="R937" s="10"/>
      <c r="S937" s="10"/>
      <c r="T937" s="10"/>
      <c r="U937" s="10">
        <f t="shared" si="4"/>
        <v>1</v>
      </c>
      <c r="V937" s="10"/>
      <c r="W937" s="10"/>
      <c r="X937" s="10"/>
      <c r="Y937" s="10"/>
      <c r="Z937" s="10"/>
    </row>
    <row r="938" ht="13.5" customHeight="1">
      <c r="A938" s="10">
        <f>dataset_1!A599</f>
        <v>598</v>
      </c>
      <c r="B938" s="11">
        <f>dataset_1!B599</f>
        <v>40571</v>
      </c>
      <c r="C938" s="10">
        <f>dataset_1!C599</f>
        <v>1</v>
      </c>
      <c r="D938" s="10">
        <f>dataset_1!D599</f>
        <v>0</v>
      </c>
      <c r="E938" s="10">
        <f>dataset_1!E599</f>
        <v>1</v>
      </c>
      <c r="F938" s="10">
        <f>dataset_1!F599</f>
        <v>2</v>
      </c>
      <c r="G938" s="10" t="b">
        <f>dataset_1!G599</f>
        <v>0</v>
      </c>
      <c r="H938" s="10">
        <f>dataset_1!H599</f>
        <v>5</v>
      </c>
      <c r="I938" s="10">
        <f>dataset_1!I599</f>
        <v>2</v>
      </c>
      <c r="J938" s="10">
        <f>dataset_1!J599</f>
        <v>0.2</v>
      </c>
      <c r="K938" s="10">
        <f>VLOOKUP(A938,dataset_2!$A$2:$G$611,2,0)</f>
        <v>0.2121</v>
      </c>
      <c r="L938" s="10">
        <f>VLOOKUP(A938,dataset_2!$A$2:$G$611,3,0)</f>
        <v>0.75</v>
      </c>
      <c r="M938" s="10">
        <f>VLOOKUP(A938,dataset_2!$A$2:$G$611,4,0)</f>
        <v>0.1642</v>
      </c>
      <c r="N938" s="10">
        <f>VLOOKUP(A938,dataset_2!$A$2:$G$611,5,0)</f>
        <v>0</v>
      </c>
      <c r="O938" s="10">
        <f>VLOOKUP(A938,dataset_2!$A$2:$G$611,6,0)</f>
        <v>2</v>
      </c>
      <c r="P938" s="10">
        <f>VLOOKUP(A938,dataset_2!$A$2:$G$611,7,0)</f>
        <v>2</v>
      </c>
      <c r="Q938" s="10"/>
      <c r="R938" s="10"/>
      <c r="S938" s="10"/>
      <c r="T938" s="10"/>
      <c r="U938" s="10">
        <f t="shared" si="4"/>
        <v>1</v>
      </c>
      <c r="V938" s="10"/>
      <c r="W938" s="10"/>
      <c r="X938" s="10"/>
      <c r="Y938" s="10"/>
      <c r="Z938" s="10"/>
    </row>
    <row r="939" ht="13.5" customHeight="1">
      <c r="A939" s="3">
        <v>624.0</v>
      </c>
      <c r="B939" s="12">
        <v>40572.0</v>
      </c>
      <c r="C939" s="3">
        <v>1.0</v>
      </c>
      <c r="D939" s="3">
        <v>0.0</v>
      </c>
      <c r="E939" s="3">
        <v>1.0</v>
      </c>
      <c r="F939" s="3">
        <v>6.0</v>
      </c>
      <c r="G939" s="3" t="b">
        <f t="shared" ref="G939:G956" si="93">FALSE()</f>
        <v>0</v>
      </c>
      <c r="H939" s="3">
        <v>6.0</v>
      </c>
      <c r="I939" s="3">
        <v>1.0</v>
      </c>
      <c r="J939" s="3">
        <v>0.16</v>
      </c>
      <c r="K939" s="3">
        <v>0.1818</v>
      </c>
      <c r="L939" s="3">
        <v>0.64</v>
      </c>
      <c r="M939" s="3">
        <v>0.1343</v>
      </c>
      <c r="N939" s="3">
        <v>0.0</v>
      </c>
      <c r="O939" s="3">
        <v>2.0</v>
      </c>
      <c r="P939" s="3">
        <v>2.0</v>
      </c>
      <c r="Q939" s="10"/>
      <c r="R939" s="10"/>
      <c r="S939" s="10"/>
      <c r="T939" s="10"/>
      <c r="U939" s="10">
        <f t="shared" si="4"/>
        <v>1</v>
      </c>
      <c r="V939" s="10"/>
      <c r="W939" s="10"/>
      <c r="X939" s="10"/>
      <c r="Y939" s="10"/>
      <c r="Z939" s="10"/>
    </row>
    <row r="940" ht="13.5" customHeight="1">
      <c r="A940" s="3">
        <v>668.0</v>
      </c>
      <c r="B940" s="12">
        <v>40574.0</v>
      </c>
      <c r="C940" s="3">
        <v>1.0</v>
      </c>
      <c r="D940" s="3">
        <v>0.0</v>
      </c>
      <c r="E940" s="3">
        <v>1.0</v>
      </c>
      <c r="F940" s="3">
        <v>3.0</v>
      </c>
      <c r="G940" s="3" t="b">
        <f t="shared" si="93"/>
        <v>0</v>
      </c>
      <c r="H940" s="3">
        <v>1.0</v>
      </c>
      <c r="I940" s="3">
        <v>1.0</v>
      </c>
      <c r="J940" s="3">
        <v>0.22</v>
      </c>
      <c r="K940" s="3">
        <v>0.2273</v>
      </c>
      <c r="L940" s="3">
        <v>0.64</v>
      </c>
      <c r="M940" s="3">
        <v>0.194</v>
      </c>
      <c r="N940" s="3">
        <v>0.0</v>
      </c>
      <c r="O940" s="3">
        <v>2.0</v>
      </c>
      <c r="P940" s="3">
        <v>2.0</v>
      </c>
      <c r="Q940" s="10"/>
      <c r="R940" s="10"/>
      <c r="S940" s="10"/>
      <c r="T940" s="10"/>
      <c r="U940" s="10">
        <f t="shared" si="4"/>
        <v>1</v>
      </c>
      <c r="V940" s="10"/>
      <c r="W940" s="10"/>
      <c r="X940" s="10"/>
      <c r="Y940" s="10"/>
      <c r="Z940" s="10"/>
    </row>
    <row r="941" ht="13.5" customHeight="1">
      <c r="A941" s="3">
        <v>669.0</v>
      </c>
      <c r="B941" s="12">
        <v>40574.0</v>
      </c>
      <c r="C941" s="3">
        <v>1.0</v>
      </c>
      <c r="D941" s="3">
        <v>0.0</v>
      </c>
      <c r="E941" s="3">
        <v>1.0</v>
      </c>
      <c r="F941" s="3">
        <v>4.0</v>
      </c>
      <c r="G941" s="3" t="b">
        <f t="shared" si="93"/>
        <v>0</v>
      </c>
      <c r="H941" s="3">
        <v>1.0</v>
      </c>
      <c r="I941" s="3">
        <v>1.0</v>
      </c>
      <c r="J941" s="3">
        <v>0.2</v>
      </c>
      <c r="K941" s="3">
        <v>0.197</v>
      </c>
      <c r="L941" s="3">
        <v>0.59</v>
      </c>
      <c r="M941" s="3">
        <v>0.2239</v>
      </c>
      <c r="N941" s="3">
        <v>0.0</v>
      </c>
      <c r="O941" s="3">
        <v>2.0</v>
      </c>
      <c r="P941" s="3">
        <v>2.0</v>
      </c>
      <c r="Q941" s="10"/>
      <c r="R941" s="10"/>
      <c r="S941" s="10"/>
      <c r="T941" s="10"/>
      <c r="U941" s="10">
        <f t="shared" si="4"/>
        <v>1</v>
      </c>
      <c r="V941" s="10"/>
      <c r="W941" s="10"/>
      <c r="X941" s="10"/>
      <c r="Y941" s="10"/>
      <c r="Z941" s="10"/>
    </row>
    <row r="942" ht="13.5" customHeight="1">
      <c r="A942" s="3">
        <v>691.0</v>
      </c>
      <c r="B942" s="12">
        <v>40575.0</v>
      </c>
      <c r="C942" s="3">
        <v>1.0</v>
      </c>
      <c r="D942" s="3">
        <v>0.0</v>
      </c>
      <c r="E942" s="3">
        <v>2.0</v>
      </c>
      <c r="F942" s="3">
        <v>2.0</v>
      </c>
      <c r="G942" s="3" t="b">
        <f t="shared" si="93"/>
        <v>0</v>
      </c>
      <c r="H942" s="3">
        <v>2.0</v>
      </c>
      <c r="I942" s="3">
        <v>2.0</v>
      </c>
      <c r="J942" s="3">
        <v>0.16</v>
      </c>
      <c r="K942" s="3">
        <v>0.2273</v>
      </c>
      <c r="L942" s="3">
        <v>0.69</v>
      </c>
      <c r="M942" s="3">
        <v>0.0</v>
      </c>
      <c r="N942" s="3">
        <v>0.0</v>
      </c>
      <c r="O942" s="3">
        <v>2.0</v>
      </c>
      <c r="P942" s="3">
        <v>2.0</v>
      </c>
      <c r="Q942" s="10"/>
      <c r="R942" s="10"/>
      <c r="S942" s="10"/>
      <c r="T942" s="10"/>
      <c r="U942" s="10">
        <f t="shared" si="4"/>
        <v>1</v>
      </c>
      <c r="V942" s="10"/>
      <c r="W942" s="10"/>
      <c r="X942" s="10"/>
      <c r="Y942" s="10"/>
      <c r="Z942" s="10"/>
    </row>
    <row r="943" ht="13.5" customHeight="1">
      <c r="A943" s="3">
        <v>692.0</v>
      </c>
      <c r="B943" s="12">
        <v>40575.0</v>
      </c>
      <c r="C943" s="3">
        <v>1.0</v>
      </c>
      <c r="D943" s="3">
        <v>0.0</v>
      </c>
      <c r="E943" s="3">
        <v>2.0</v>
      </c>
      <c r="F943" s="3">
        <v>3.0</v>
      </c>
      <c r="G943" s="3" t="b">
        <f t="shared" si="93"/>
        <v>0</v>
      </c>
      <c r="H943" s="3">
        <v>2.0</v>
      </c>
      <c r="I943" s="3">
        <v>2.0</v>
      </c>
      <c r="J943" s="3">
        <v>0.16</v>
      </c>
      <c r="K943" s="3">
        <v>0.2273</v>
      </c>
      <c r="L943" s="3">
        <v>0.69</v>
      </c>
      <c r="M943" s="3">
        <v>0.0</v>
      </c>
      <c r="N943" s="3">
        <v>0.0</v>
      </c>
      <c r="O943" s="3">
        <v>2.0</v>
      </c>
      <c r="P943" s="3">
        <v>2.0</v>
      </c>
      <c r="Q943" s="10"/>
      <c r="R943" s="10"/>
      <c r="S943" s="10"/>
      <c r="T943" s="10"/>
      <c r="U943" s="10">
        <f t="shared" si="4"/>
        <v>1</v>
      </c>
      <c r="V943" s="10"/>
      <c r="W943" s="10"/>
      <c r="X943" s="10"/>
      <c r="Y943" s="10"/>
      <c r="Z943" s="10"/>
    </row>
    <row r="944" ht="13.5" customHeight="1">
      <c r="A944" s="3">
        <v>712.0</v>
      </c>
      <c r="B944" s="12">
        <v>40576.0</v>
      </c>
      <c r="C944" s="3">
        <v>1.0</v>
      </c>
      <c r="D944" s="3">
        <v>0.0</v>
      </c>
      <c r="E944" s="3">
        <v>2.0</v>
      </c>
      <c r="F944" s="3">
        <v>0.0</v>
      </c>
      <c r="G944" s="3" t="b">
        <f t="shared" si="93"/>
        <v>0</v>
      </c>
      <c r="H944" s="3">
        <v>3.0</v>
      </c>
      <c r="I944" s="3">
        <v>3.0</v>
      </c>
      <c r="J944" s="3">
        <v>0.22</v>
      </c>
      <c r="K944" s="3">
        <v>0.2424</v>
      </c>
      <c r="L944" s="3">
        <v>0.93</v>
      </c>
      <c r="M944" s="3">
        <v>0.1045</v>
      </c>
      <c r="N944" s="3">
        <v>0.0</v>
      </c>
      <c r="O944" s="3">
        <v>2.0</v>
      </c>
      <c r="P944" s="3">
        <v>2.0</v>
      </c>
      <c r="Q944" s="10"/>
      <c r="R944" s="10"/>
      <c r="S944" s="10"/>
      <c r="T944" s="10"/>
      <c r="U944" s="10">
        <f t="shared" si="4"/>
        <v>1</v>
      </c>
      <c r="V944" s="10"/>
      <c r="W944" s="10"/>
      <c r="X944" s="10"/>
      <c r="Y944" s="10"/>
      <c r="Z944" s="10"/>
    </row>
    <row r="945" ht="13.5" customHeight="1">
      <c r="A945" s="3">
        <v>738.0</v>
      </c>
      <c r="B945" s="12">
        <v>40577.0</v>
      </c>
      <c r="C945" s="3">
        <v>1.0</v>
      </c>
      <c r="D945" s="3">
        <v>0.0</v>
      </c>
      <c r="E945" s="3">
        <v>2.0</v>
      </c>
      <c r="F945" s="3">
        <v>2.0</v>
      </c>
      <c r="G945" s="3" t="b">
        <f t="shared" si="93"/>
        <v>0</v>
      </c>
      <c r="H945" s="3">
        <v>4.0</v>
      </c>
      <c r="I945" s="3">
        <v>1.0</v>
      </c>
      <c r="J945" s="3">
        <v>0.18</v>
      </c>
      <c r="K945" s="3">
        <v>0.1667</v>
      </c>
      <c r="L945" s="3">
        <v>0.43</v>
      </c>
      <c r="M945" s="3">
        <v>0.2537</v>
      </c>
      <c r="N945" s="3">
        <v>0.0</v>
      </c>
      <c r="O945" s="3">
        <v>2.0</v>
      </c>
      <c r="P945" s="3">
        <v>2.0</v>
      </c>
      <c r="Q945" s="10"/>
      <c r="R945" s="10"/>
      <c r="S945" s="10"/>
      <c r="T945" s="10"/>
      <c r="U945" s="10">
        <f t="shared" si="4"/>
        <v>1</v>
      </c>
      <c r="V945" s="10"/>
      <c r="W945" s="10"/>
      <c r="X945" s="10"/>
      <c r="Y945" s="10"/>
      <c r="Z945" s="10"/>
    </row>
    <row r="946" ht="13.5" customHeight="1">
      <c r="A946" s="3">
        <v>740.0</v>
      </c>
      <c r="B946" s="12">
        <v>40577.0</v>
      </c>
      <c r="C946" s="3">
        <v>1.0</v>
      </c>
      <c r="D946" s="3">
        <v>0.0</v>
      </c>
      <c r="E946" s="3">
        <v>2.0</v>
      </c>
      <c r="F946" s="3">
        <v>5.0</v>
      </c>
      <c r="G946" s="3" t="b">
        <f t="shared" si="93"/>
        <v>0</v>
      </c>
      <c r="H946" s="3">
        <v>4.0</v>
      </c>
      <c r="I946" s="3">
        <v>1.0</v>
      </c>
      <c r="J946" s="3">
        <v>0.16</v>
      </c>
      <c r="K946" s="3">
        <v>0.1364</v>
      </c>
      <c r="L946" s="3">
        <v>0.5</v>
      </c>
      <c r="M946" s="3">
        <v>0.2985</v>
      </c>
      <c r="N946" s="3">
        <v>0.0</v>
      </c>
      <c r="O946" s="3">
        <v>2.0</v>
      </c>
      <c r="P946" s="3">
        <v>2.0</v>
      </c>
      <c r="Q946" s="10"/>
      <c r="R946" s="10"/>
      <c r="S946" s="10"/>
      <c r="T946" s="10"/>
      <c r="U946" s="10">
        <f t="shared" si="4"/>
        <v>1</v>
      </c>
      <c r="V946" s="10"/>
      <c r="W946" s="10"/>
      <c r="X946" s="10"/>
      <c r="Y946" s="10"/>
      <c r="Z946" s="10"/>
    </row>
    <row r="947" ht="13.5" customHeight="1">
      <c r="A947" s="3">
        <v>810.0</v>
      </c>
      <c r="B947" s="12">
        <v>40580.0</v>
      </c>
      <c r="C947" s="3">
        <v>1.0</v>
      </c>
      <c r="D947" s="3">
        <v>0.0</v>
      </c>
      <c r="E947" s="3">
        <v>2.0</v>
      </c>
      <c r="F947" s="3">
        <v>4.0</v>
      </c>
      <c r="G947" s="3" t="b">
        <f t="shared" si="93"/>
        <v>0</v>
      </c>
      <c r="H947" s="3">
        <v>0.0</v>
      </c>
      <c r="I947" s="3">
        <v>1.0</v>
      </c>
      <c r="J947" s="3">
        <v>0.26</v>
      </c>
      <c r="K947" s="3">
        <v>0.2273</v>
      </c>
      <c r="L947" s="3">
        <v>0.6</v>
      </c>
      <c r="M947" s="3">
        <v>0.3582</v>
      </c>
      <c r="N947" s="3">
        <v>0.0</v>
      </c>
      <c r="O947" s="3">
        <v>2.0</v>
      </c>
      <c r="P947" s="3">
        <v>2.0</v>
      </c>
      <c r="Q947" s="10"/>
      <c r="R947" s="10"/>
      <c r="S947" s="10"/>
      <c r="T947" s="10"/>
      <c r="U947" s="10">
        <f t="shared" si="4"/>
        <v>1</v>
      </c>
      <c r="V947" s="10"/>
      <c r="W947" s="10"/>
      <c r="X947" s="10"/>
      <c r="Y947" s="10"/>
      <c r="Z947" s="10"/>
    </row>
    <row r="948" ht="13.5" customHeight="1">
      <c r="A948" s="3">
        <v>834.0</v>
      </c>
      <c r="B948" s="12">
        <v>40581.0</v>
      </c>
      <c r="C948" s="3">
        <v>1.0</v>
      </c>
      <c r="D948" s="3">
        <v>0.0</v>
      </c>
      <c r="E948" s="3">
        <v>2.0</v>
      </c>
      <c r="F948" s="3">
        <v>4.0</v>
      </c>
      <c r="G948" s="3" t="b">
        <f t="shared" si="93"/>
        <v>0</v>
      </c>
      <c r="H948" s="3">
        <v>1.0</v>
      </c>
      <c r="I948" s="3">
        <v>1.0</v>
      </c>
      <c r="J948" s="3">
        <v>0.2</v>
      </c>
      <c r="K948" s="3">
        <v>0.2576</v>
      </c>
      <c r="L948" s="3">
        <v>0.86</v>
      </c>
      <c r="M948" s="3">
        <v>0.0</v>
      </c>
      <c r="N948" s="3">
        <v>1.0</v>
      </c>
      <c r="O948" s="3">
        <v>1.0</v>
      </c>
      <c r="P948" s="3">
        <v>2.0</v>
      </c>
      <c r="Q948" s="10"/>
      <c r="R948" s="10"/>
      <c r="S948" s="10"/>
      <c r="T948" s="10"/>
      <c r="U948" s="10">
        <f t="shared" si="4"/>
        <v>1</v>
      </c>
      <c r="V948" s="10"/>
      <c r="W948" s="10"/>
      <c r="X948" s="10"/>
      <c r="Y948" s="10"/>
      <c r="Z948" s="10"/>
    </row>
    <row r="949" ht="13.5" customHeight="1">
      <c r="A949" s="3">
        <v>856.0</v>
      </c>
      <c r="B949" s="12">
        <v>40582.0</v>
      </c>
      <c r="C949" s="3">
        <v>1.0</v>
      </c>
      <c r="D949" s="3">
        <v>0.0</v>
      </c>
      <c r="E949" s="3">
        <v>2.0</v>
      </c>
      <c r="F949" s="3">
        <v>2.0</v>
      </c>
      <c r="G949" s="3" t="b">
        <f t="shared" si="93"/>
        <v>0</v>
      </c>
      <c r="H949" s="3">
        <v>2.0</v>
      </c>
      <c r="I949" s="3">
        <v>2.0</v>
      </c>
      <c r="J949" s="3">
        <v>0.26</v>
      </c>
      <c r="K949" s="3">
        <v>0.2727</v>
      </c>
      <c r="L949" s="3">
        <v>0.93</v>
      </c>
      <c r="M949" s="3">
        <v>0.1045</v>
      </c>
      <c r="N949" s="3">
        <v>1.0</v>
      </c>
      <c r="O949" s="3">
        <v>1.0</v>
      </c>
      <c r="P949" s="3">
        <v>2.0</v>
      </c>
      <c r="Q949" s="10"/>
      <c r="R949" s="10"/>
      <c r="S949" s="10"/>
      <c r="T949" s="10"/>
      <c r="U949" s="10">
        <f t="shared" si="4"/>
        <v>1</v>
      </c>
      <c r="V949" s="10"/>
      <c r="W949" s="10"/>
      <c r="X949" s="10"/>
      <c r="Y949" s="10"/>
      <c r="Z949" s="10"/>
    </row>
    <row r="950" ht="13.5" customHeight="1">
      <c r="A950" s="3">
        <v>859.0</v>
      </c>
      <c r="B950" s="12">
        <v>40582.0</v>
      </c>
      <c r="C950" s="3">
        <v>1.0</v>
      </c>
      <c r="D950" s="3">
        <v>0.0</v>
      </c>
      <c r="E950" s="3">
        <v>2.0</v>
      </c>
      <c r="F950" s="3">
        <v>5.0</v>
      </c>
      <c r="G950" s="3" t="b">
        <f t="shared" si="93"/>
        <v>0</v>
      </c>
      <c r="H950" s="3">
        <v>2.0</v>
      </c>
      <c r="I950" s="3">
        <v>1.0</v>
      </c>
      <c r="J950" s="3">
        <v>0.26</v>
      </c>
      <c r="K950" s="3">
        <v>0.2273</v>
      </c>
      <c r="L950" s="3">
        <v>0.81</v>
      </c>
      <c r="M950" s="3">
        <v>0.3284</v>
      </c>
      <c r="N950" s="3">
        <v>0.0</v>
      </c>
      <c r="O950" s="3">
        <v>2.0</v>
      </c>
      <c r="P950" s="3">
        <v>2.0</v>
      </c>
      <c r="Q950" s="10"/>
      <c r="R950" s="10"/>
      <c r="S950" s="10"/>
      <c r="T950" s="10"/>
      <c r="U950" s="10">
        <f t="shared" si="4"/>
        <v>1</v>
      </c>
      <c r="V950" s="10"/>
      <c r="W950" s="10"/>
      <c r="X950" s="10"/>
      <c r="Y950" s="10"/>
      <c r="Z950" s="10"/>
    </row>
    <row r="951" ht="13.5" customHeight="1">
      <c r="A951" s="3">
        <v>881.0</v>
      </c>
      <c r="B951" s="12">
        <v>40583.0</v>
      </c>
      <c r="C951" s="3">
        <v>1.0</v>
      </c>
      <c r="D951" s="3">
        <v>0.0</v>
      </c>
      <c r="E951" s="3">
        <v>2.0</v>
      </c>
      <c r="F951" s="3">
        <v>3.0</v>
      </c>
      <c r="G951" s="3" t="b">
        <f t="shared" si="93"/>
        <v>0</v>
      </c>
      <c r="H951" s="3">
        <v>3.0</v>
      </c>
      <c r="I951" s="3">
        <v>1.0</v>
      </c>
      <c r="J951" s="3">
        <v>0.06</v>
      </c>
      <c r="K951" s="3">
        <v>0.0758</v>
      </c>
      <c r="L951" s="3">
        <v>0.45</v>
      </c>
      <c r="M951" s="3">
        <v>0.1343</v>
      </c>
      <c r="N951" s="3">
        <v>0.0</v>
      </c>
      <c r="O951" s="3">
        <v>2.0</v>
      </c>
      <c r="P951" s="3">
        <v>2.0</v>
      </c>
      <c r="Q951" s="10"/>
      <c r="R951" s="10"/>
      <c r="S951" s="10"/>
      <c r="T951" s="10"/>
      <c r="U951" s="10">
        <f t="shared" si="4"/>
        <v>1</v>
      </c>
      <c r="V951" s="10"/>
      <c r="W951" s="10"/>
      <c r="X951" s="10"/>
      <c r="Y951" s="10"/>
      <c r="Z951" s="10"/>
    </row>
    <row r="952" ht="13.5" customHeight="1">
      <c r="A952" s="3">
        <v>952.0</v>
      </c>
      <c r="B952" s="12">
        <v>40586.0</v>
      </c>
      <c r="C952" s="3">
        <v>1.0</v>
      </c>
      <c r="D952" s="3">
        <v>0.0</v>
      </c>
      <c r="E952" s="3">
        <v>2.0</v>
      </c>
      <c r="F952" s="3">
        <v>6.0</v>
      </c>
      <c r="G952" s="3" t="b">
        <f t="shared" si="93"/>
        <v>0</v>
      </c>
      <c r="H952" s="3">
        <v>6.0</v>
      </c>
      <c r="I952" s="3">
        <v>1.0</v>
      </c>
      <c r="J952" s="3">
        <v>0.12</v>
      </c>
      <c r="K952" s="3">
        <v>0.1364</v>
      </c>
      <c r="L952" s="3">
        <v>0.93</v>
      </c>
      <c r="M952" s="3">
        <v>0.194</v>
      </c>
      <c r="N952" s="3">
        <v>1.0</v>
      </c>
      <c r="O952" s="3">
        <v>1.0</v>
      </c>
      <c r="P952" s="3">
        <v>2.0</v>
      </c>
      <c r="Q952" s="10"/>
      <c r="R952" s="10"/>
      <c r="S952" s="10"/>
      <c r="T952" s="10"/>
      <c r="U952" s="10">
        <f t="shared" si="4"/>
        <v>1</v>
      </c>
      <c r="V952" s="10"/>
      <c r="W952" s="10"/>
      <c r="X952" s="10"/>
      <c r="Y952" s="10"/>
      <c r="Z952" s="10"/>
    </row>
    <row r="953" ht="13.5" customHeight="1">
      <c r="A953" s="3">
        <v>974.0</v>
      </c>
      <c r="B953" s="12">
        <v>40587.0</v>
      </c>
      <c r="C953" s="3">
        <v>1.0</v>
      </c>
      <c r="D953" s="3">
        <v>0.0</v>
      </c>
      <c r="E953" s="3">
        <v>2.0</v>
      </c>
      <c r="F953" s="3">
        <v>4.0</v>
      </c>
      <c r="G953" s="3" t="b">
        <f t="shared" si="93"/>
        <v>0</v>
      </c>
      <c r="H953" s="3">
        <v>0.0</v>
      </c>
      <c r="I953" s="3">
        <v>2.0</v>
      </c>
      <c r="J953" s="3">
        <v>0.2</v>
      </c>
      <c r="K953" s="3">
        <v>0.2121</v>
      </c>
      <c r="L953" s="3">
        <v>0.69</v>
      </c>
      <c r="M953" s="3">
        <v>0.1642</v>
      </c>
      <c r="N953" s="3">
        <v>0.0</v>
      </c>
      <c r="O953" s="3">
        <v>2.0</v>
      </c>
      <c r="P953" s="3">
        <v>2.0</v>
      </c>
      <c r="Q953" s="10"/>
      <c r="R953" s="10"/>
      <c r="S953" s="10"/>
      <c r="T953" s="10"/>
      <c r="U953" s="10">
        <f t="shared" si="4"/>
        <v>1</v>
      </c>
      <c r="V953" s="10"/>
      <c r="W953" s="10"/>
      <c r="X953" s="10"/>
      <c r="Y953" s="10"/>
      <c r="Z953" s="10"/>
    </row>
    <row r="954" ht="13.5" customHeight="1">
      <c r="A954" s="3">
        <v>995.0</v>
      </c>
      <c r="B954" s="12">
        <v>40588.0</v>
      </c>
      <c r="C954" s="3">
        <v>1.0</v>
      </c>
      <c r="D954" s="3">
        <v>0.0</v>
      </c>
      <c r="E954" s="3">
        <v>2.0</v>
      </c>
      <c r="F954" s="3">
        <v>2.0</v>
      </c>
      <c r="G954" s="3" t="b">
        <f t="shared" si="93"/>
        <v>0</v>
      </c>
      <c r="H954" s="3">
        <v>1.0</v>
      </c>
      <c r="I954" s="3">
        <v>1.0</v>
      </c>
      <c r="J954" s="3">
        <v>0.36</v>
      </c>
      <c r="K954" s="3">
        <v>0.3333</v>
      </c>
      <c r="L954" s="3">
        <v>0.4</v>
      </c>
      <c r="M954" s="3">
        <v>0.2985</v>
      </c>
      <c r="N954" s="3">
        <v>0.0</v>
      </c>
      <c r="O954" s="3">
        <v>2.0</v>
      </c>
      <c r="P954" s="3">
        <v>2.0</v>
      </c>
      <c r="Q954" s="10"/>
      <c r="R954" s="10"/>
      <c r="S954" s="10"/>
      <c r="T954" s="10"/>
      <c r="U954" s="10">
        <f t="shared" si="4"/>
        <v>1</v>
      </c>
      <c r="V954" s="10"/>
      <c r="W954" s="10"/>
      <c r="X954" s="10"/>
      <c r="Y954" s="10"/>
      <c r="Z954" s="10"/>
    </row>
    <row r="955" ht="13.5" customHeight="1">
      <c r="A955" s="3">
        <v>996.0</v>
      </c>
      <c r="B955" s="12">
        <v>40588.0</v>
      </c>
      <c r="C955" s="3">
        <v>1.0</v>
      </c>
      <c r="D955" s="3">
        <v>0.0</v>
      </c>
      <c r="E955" s="3">
        <v>2.0</v>
      </c>
      <c r="F955" s="3">
        <v>3.0</v>
      </c>
      <c r="G955" s="3" t="b">
        <f t="shared" si="93"/>
        <v>0</v>
      </c>
      <c r="H955" s="3">
        <v>1.0</v>
      </c>
      <c r="I955" s="3">
        <v>1.0</v>
      </c>
      <c r="J955" s="3">
        <v>0.34</v>
      </c>
      <c r="K955" s="3">
        <v>0.3182</v>
      </c>
      <c r="L955" s="3">
        <v>0.46</v>
      </c>
      <c r="M955" s="3">
        <v>0.2239</v>
      </c>
      <c r="N955" s="3">
        <v>1.0</v>
      </c>
      <c r="O955" s="3">
        <v>1.0</v>
      </c>
      <c r="P955" s="3">
        <v>2.0</v>
      </c>
      <c r="Q955" s="10"/>
      <c r="R955" s="10"/>
      <c r="S955" s="10"/>
      <c r="T955" s="10"/>
      <c r="U955" s="10">
        <f t="shared" si="4"/>
        <v>1</v>
      </c>
      <c r="V955" s="10"/>
      <c r="W955" s="10"/>
      <c r="X955" s="10"/>
      <c r="Y955" s="10"/>
      <c r="Z955" s="10"/>
    </row>
    <row r="956" ht="13.5" customHeight="1">
      <c r="A956" s="3">
        <v>997.0</v>
      </c>
      <c r="B956" s="12">
        <v>40588.0</v>
      </c>
      <c r="C956" s="3">
        <v>1.0</v>
      </c>
      <c r="D956" s="3">
        <v>0.0</v>
      </c>
      <c r="E956" s="3">
        <v>2.0</v>
      </c>
      <c r="F956" s="3">
        <v>4.0</v>
      </c>
      <c r="G956" s="3" t="b">
        <f t="shared" si="93"/>
        <v>0</v>
      </c>
      <c r="H956" s="3">
        <v>1.0</v>
      </c>
      <c r="I956" s="3">
        <v>1.0</v>
      </c>
      <c r="J956" s="3">
        <v>0.32</v>
      </c>
      <c r="K956" s="3">
        <v>0.303</v>
      </c>
      <c r="L956" s="3">
        <v>0.53</v>
      </c>
      <c r="M956" s="3">
        <v>0.2836</v>
      </c>
      <c r="N956" s="3">
        <v>0.0</v>
      </c>
      <c r="O956" s="3">
        <v>2.0</v>
      </c>
      <c r="P956" s="3">
        <v>2.0</v>
      </c>
      <c r="Q956" s="10"/>
      <c r="R956" s="10"/>
      <c r="S956" s="10"/>
      <c r="T956" s="10"/>
      <c r="U956" s="10">
        <f t="shared" si="4"/>
        <v>1</v>
      </c>
      <c r="V956" s="10"/>
      <c r="W956" s="10"/>
      <c r="X956" s="10"/>
      <c r="Y956" s="10"/>
      <c r="Z956" s="10"/>
    </row>
    <row r="957" ht="13.5" customHeight="1">
      <c r="A957" s="10">
        <f>dataset_1!A6</f>
        <v>5</v>
      </c>
      <c r="B957" s="11">
        <f>dataset_1!B6</f>
        <v>40544</v>
      </c>
      <c r="C957" s="10">
        <f>dataset_1!C6</f>
        <v>1</v>
      </c>
      <c r="D957" s="10">
        <f>dataset_1!D6</f>
        <v>0</v>
      </c>
      <c r="E957" s="10">
        <f>dataset_1!E6</f>
        <v>1</v>
      </c>
      <c r="F957" s="10">
        <f>dataset_1!F6</f>
        <v>4</v>
      </c>
      <c r="G957" s="10" t="b">
        <f>dataset_1!G6</f>
        <v>0</v>
      </c>
      <c r="H957" s="10">
        <f>dataset_1!H6</f>
        <v>6</v>
      </c>
      <c r="I957" s="10">
        <f>dataset_1!I6</f>
        <v>1</v>
      </c>
      <c r="J957" s="10">
        <f>dataset_1!J6</f>
        <v>0.24</v>
      </c>
      <c r="K957" s="10">
        <f>VLOOKUP(A957,dataset_2!$A$2:$G$611,2,0)</f>
        <v>0.2879</v>
      </c>
      <c r="L957" s="10">
        <f>VLOOKUP(A957,dataset_2!$A$2:$G$611,3,0)</f>
        <v>0.75</v>
      </c>
      <c r="M957" s="10">
        <f>VLOOKUP(A957,dataset_2!$A$2:$G$611,4,0)</f>
        <v>0</v>
      </c>
      <c r="N957" s="10">
        <f>VLOOKUP(A957,dataset_2!$A$2:$G$611,5,0)</f>
        <v>0</v>
      </c>
      <c r="O957" s="10">
        <f>VLOOKUP(A957,dataset_2!$A$2:$G$611,6,0)</f>
        <v>1</v>
      </c>
      <c r="P957" s="10">
        <f>VLOOKUP(A957,dataset_2!$A$2:$G$611,7,0)</f>
        <v>1</v>
      </c>
      <c r="Q957" s="10"/>
      <c r="R957" s="10"/>
      <c r="S957" s="10"/>
      <c r="T957" s="10"/>
      <c r="U957" s="10">
        <f t="shared" si="4"/>
        <v>1</v>
      </c>
      <c r="V957" s="10"/>
      <c r="W957" s="10"/>
      <c r="X957" s="10"/>
      <c r="Y957" s="10"/>
      <c r="Z957" s="10"/>
    </row>
    <row r="958" ht="13.5" customHeight="1">
      <c r="A958" s="10">
        <f>dataset_1!A7</f>
        <v>6</v>
      </c>
      <c r="B958" s="11">
        <f>dataset_1!B7</f>
        <v>40544</v>
      </c>
      <c r="C958" s="10">
        <f>dataset_1!C7</f>
        <v>1</v>
      </c>
      <c r="D958" s="10">
        <f>dataset_1!D7</f>
        <v>0</v>
      </c>
      <c r="E958" s="10">
        <f>dataset_1!E7</f>
        <v>1</v>
      </c>
      <c r="F958" s="10">
        <f>dataset_1!F7</f>
        <v>5</v>
      </c>
      <c r="G958" s="10" t="b">
        <f>dataset_1!G7</f>
        <v>0</v>
      </c>
      <c r="H958" s="10">
        <f>dataset_1!H7</f>
        <v>6</v>
      </c>
      <c r="I958" s="10">
        <f>dataset_1!I7</f>
        <v>2</v>
      </c>
      <c r="J958" s="10">
        <f>dataset_1!J7</f>
        <v>0.24</v>
      </c>
      <c r="K958" s="10">
        <f>VLOOKUP(A958,dataset_2!$A$2:$G$611,2,0)</f>
        <v>0.2576</v>
      </c>
      <c r="L958" s="10">
        <f>VLOOKUP(A958,dataset_2!$A$2:$G$611,3,0)</f>
        <v>0.75</v>
      </c>
      <c r="M958" s="10">
        <f>VLOOKUP(A958,dataset_2!$A$2:$G$611,4,0)</f>
        <v>0.0896</v>
      </c>
      <c r="N958" s="10">
        <f>VLOOKUP(A958,dataset_2!$A$2:$G$611,5,0)</f>
        <v>0</v>
      </c>
      <c r="O958" s="10">
        <f>VLOOKUP(A958,dataset_2!$A$2:$G$611,6,0)</f>
        <v>1</v>
      </c>
      <c r="P958" s="10">
        <f>VLOOKUP(A958,dataset_2!$A$2:$G$611,7,0)</f>
        <v>1</v>
      </c>
      <c r="Q958" s="10"/>
      <c r="R958" s="10"/>
      <c r="S958" s="10"/>
      <c r="T958" s="10"/>
      <c r="U958" s="10">
        <f t="shared" si="4"/>
        <v>1</v>
      </c>
      <c r="V958" s="10"/>
      <c r="W958" s="10"/>
      <c r="X958" s="10"/>
      <c r="Y958" s="10"/>
      <c r="Z958" s="10"/>
    </row>
    <row r="959" ht="13.5" customHeight="1">
      <c r="A959" s="10">
        <f>dataset_1!A32</f>
        <v>31</v>
      </c>
      <c r="B959" s="11">
        <f>dataset_1!B32</f>
        <v>40545</v>
      </c>
      <c r="C959" s="10">
        <f>dataset_1!C32</f>
        <v>1</v>
      </c>
      <c r="D959" s="10">
        <f>dataset_1!D32</f>
        <v>0</v>
      </c>
      <c r="E959" s="10">
        <f>dataset_1!E32</f>
        <v>1</v>
      </c>
      <c r="F959" s="10">
        <f>dataset_1!F32</f>
        <v>7</v>
      </c>
      <c r="G959" s="10" t="b">
        <f>dataset_1!G32</f>
        <v>0</v>
      </c>
      <c r="H959" s="10">
        <f>dataset_1!H32</f>
        <v>0</v>
      </c>
      <c r="I959" s="10">
        <f>dataset_1!I32</f>
        <v>2</v>
      </c>
      <c r="J959" s="10">
        <f>dataset_1!J32</f>
        <v>0.4</v>
      </c>
      <c r="K959" s="10">
        <f>VLOOKUP(A959,dataset_2!$A$2:$G$611,2,0)</f>
        <v>0.4091</v>
      </c>
      <c r="L959" s="10">
        <f>VLOOKUP(A959,dataset_2!$A$2:$G$611,3,0)</f>
        <v>0.76</v>
      </c>
      <c r="M959" s="10">
        <f>VLOOKUP(A959,dataset_2!$A$2:$G$611,4,0)</f>
        <v>0.194</v>
      </c>
      <c r="N959" s="10">
        <f>VLOOKUP(A959,dataset_2!$A$2:$G$611,5,0)</f>
        <v>0</v>
      </c>
      <c r="O959" s="10">
        <f>VLOOKUP(A959,dataset_2!$A$2:$G$611,6,0)</f>
        <v>1</v>
      </c>
      <c r="P959" s="10">
        <f>VLOOKUP(A959,dataset_2!$A$2:$G$611,7,0)</f>
        <v>1</v>
      </c>
      <c r="Q959" s="10"/>
      <c r="R959" s="10"/>
      <c r="S959" s="10"/>
      <c r="T959" s="10"/>
      <c r="U959" s="10">
        <f t="shared" si="4"/>
        <v>1</v>
      </c>
      <c r="V959" s="10"/>
      <c r="W959" s="10"/>
      <c r="X959" s="10"/>
      <c r="Y959" s="10"/>
      <c r="Z959" s="10"/>
    </row>
    <row r="960" ht="13.5" customHeight="1">
      <c r="A960" s="10">
        <f>dataset_1!A51</f>
        <v>50</v>
      </c>
      <c r="B960" s="11">
        <f>dataset_1!B51</f>
        <v>40546</v>
      </c>
      <c r="C960" s="10">
        <f>dataset_1!C51</f>
        <v>1</v>
      </c>
      <c r="D960" s="10">
        <f>dataset_1!D51</f>
        <v>0</v>
      </c>
      <c r="E960" s="10">
        <f>dataset_1!E51</f>
        <v>1</v>
      </c>
      <c r="F960" s="10">
        <f>dataset_1!F51</f>
        <v>4</v>
      </c>
      <c r="G960" s="10" t="b">
        <f>dataset_1!G51</f>
        <v>0</v>
      </c>
      <c r="H960" s="10">
        <f>dataset_1!H51</f>
        <v>1</v>
      </c>
      <c r="I960" s="10">
        <f>dataset_1!I51</f>
        <v>1</v>
      </c>
      <c r="J960" s="10">
        <f>dataset_1!J51</f>
        <v>0.16</v>
      </c>
      <c r="K960" s="10">
        <f>VLOOKUP(A960,dataset_2!$A$2:$G$611,2,0)</f>
        <v>0.1364</v>
      </c>
      <c r="L960" s="10">
        <f>VLOOKUP(A960,dataset_2!$A$2:$G$611,3,0)</f>
        <v>0.47</v>
      </c>
      <c r="M960" s="10">
        <f>VLOOKUP(A960,dataset_2!$A$2:$G$611,4,0)</f>
        <v>0.3881</v>
      </c>
      <c r="N960" s="10">
        <f>VLOOKUP(A960,dataset_2!$A$2:$G$611,5,0)</f>
        <v>0</v>
      </c>
      <c r="O960" s="10">
        <f>VLOOKUP(A960,dataset_2!$A$2:$G$611,6,0)</f>
        <v>1</v>
      </c>
      <c r="P960" s="10">
        <f>VLOOKUP(A960,dataset_2!$A$2:$G$611,7,0)</f>
        <v>1</v>
      </c>
      <c r="Q960" s="10"/>
      <c r="R960" s="10"/>
      <c r="S960" s="10"/>
      <c r="T960" s="10"/>
      <c r="U960" s="10">
        <f t="shared" si="4"/>
        <v>1</v>
      </c>
      <c r="V960" s="10"/>
      <c r="W960" s="10"/>
      <c r="X960" s="10"/>
      <c r="Y960" s="10"/>
      <c r="Z960" s="10"/>
    </row>
    <row r="961" ht="13.5" customHeight="1">
      <c r="A961" s="10">
        <f>dataset_1!A73</f>
        <v>72</v>
      </c>
      <c r="B961" s="11">
        <f>dataset_1!B73</f>
        <v>40547</v>
      </c>
      <c r="C961" s="10">
        <f>dataset_1!C73</f>
        <v>1</v>
      </c>
      <c r="D961" s="10">
        <f>dataset_1!D73</f>
        <v>0</v>
      </c>
      <c r="E961" s="10">
        <f>dataset_1!E73</f>
        <v>1</v>
      </c>
      <c r="F961" s="10">
        <f>dataset_1!F73</f>
        <v>2</v>
      </c>
      <c r="G961" s="10" t="b">
        <f>dataset_1!G73</f>
        <v>0</v>
      </c>
      <c r="H961" s="10">
        <f>dataset_1!H73</f>
        <v>2</v>
      </c>
      <c r="I961" s="10">
        <f>dataset_1!I73</f>
        <v>1</v>
      </c>
      <c r="J961" s="10">
        <f>dataset_1!J73</f>
        <v>0.14</v>
      </c>
      <c r="K961" s="10">
        <f>VLOOKUP(A961,dataset_2!$A$2:$G$611,2,0)</f>
        <v>0.1515</v>
      </c>
      <c r="L961" s="10">
        <f>VLOOKUP(A961,dataset_2!$A$2:$G$611,3,0)</f>
        <v>0.63</v>
      </c>
      <c r="M961" s="10">
        <f>VLOOKUP(A961,dataset_2!$A$2:$G$611,4,0)</f>
        <v>0.1343</v>
      </c>
      <c r="N961" s="10">
        <f>VLOOKUP(A961,dataset_2!$A$2:$G$611,5,0)</f>
        <v>0</v>
      </c>
      <c r="O961" s="10">
        <f>VLOOKUP(A961,dataset_2!$A$2:$G$611,6,0)</f>
        <v>1</v>
      </c>
      <c r="P961" s="10">
        <f>VLOOKUP(A961,dataset_2!$A$2:$G$611,7,0)</f>
        <v>1</v>
      </c>
      <c r="Q961" s="10"/>
      <c r="R961" s="10"/>
      <c r="S961" s="10"/>
      <c r="T961" s="10"/>
      <c r="U961" s="10">
        <f t="shared" si="4"/>
        <v>1</v>
      </c>
      <c r="V961" s="10"/>
      <c r="W961" s="10"/>
      <c r="X961" s="10"/>
      <c r="Y961" s="10"/>
      <c r="Z961" s="10"/>
    </row>
    <row r="962" ht="13.5" customHeight="1">
      <c r="A962" s="10">
        <f>dataset_1!A120</f>
        <v>119</v>
      </c>
      <c r="B962" s="11">
        <f>dataset_1!B120</f>
        <v>40549</v>
      </c>
      <c r="C962" s="10">
        <f>dataset_1!C120</f>
        <v>1</v>
      </c>
      <c r="D962" s="10">
        <f>dataset_1!D120</f>
        <v>0</v>
      </c>
      <c r="E962" s="10">
        <f>dataset_1!E120</f>
        <v>1</v>
      </c>
      <c r="F962" s="10">
        <f>dataset_1!F120</f>
        <v>4</v>
      </c>
      <c r="G962" s="10" t="b">
        <f>dataset_1!G120</f>
        <v>0</v>
      </c>
      <c r="H962" s="10">
        <f>dataset_1!H120</f>
        <v>4</v>
      </c>
      <c r="I962" s="10">
        <f>dataset_1!I120</f>
        <v>2</v>
      </c>
      <c r="J962" s="10">
        <f>dataset_1!J120</f>
        <v>0.16</v>
      </c>
      <c r="K962" s="10">
        <f>VLOOKUP(A962,dataset_2!$A$2:$G$611,2,0)</f>
        <v>0.197</v>
      </c>
      <c r="L962" s="10">
        <f>VLOOKUP(A962,dataset_2!$A$2:$G$611,3,0)</f>
        <v>0.64</v>
      </c>
      <c r="M962" s="10">
        <f>VLOOKUP(A962,dataset_2!$A$2:$G$611,4,0)</f>
        <v>0.0896</v>
      </c>
      <c r="N962" s="10">
        <f>VLOOKUP(A962,dataset_2!$A$2:$G$611,5,0)</f>
        <v>0</v>
      </c>
      <c r="O962" s="10">
        <f>VLOOKUP(A962,dataset_2!$A$2:$G$611,6,0)</f>
        <v>1</v>
      </c>
      <c r="P962" s="10">
        <f>VLOOKUP(A962,dataset_2!$A$2:$G$611,7,0)</f>
        <v>1</v>
      </c>
      <c r="Q962" s="10"/>
      <c r="R962" s="10"/>
      <c r="S962" s="10"/>
      <c r="T962" s="10"/>
      <c r="U962" s="10">
        <f t="shared" si="4"/>
        <v>1</v>
      </c>
      <c r="V962" s="10"/>
      <c r="W962" s="10"/>
      <c r="X962" s="10"/>
      <c r="Y962" s="10"/>
      <c r="Z962" s="10"/>
    </row>
    <row r="963" ht="13.5" customHeight="1">
      <c r="A963" s="10">
        <f>dataset_1!A142</f>
        <v>141</v>
      </c>
      <c r="B963" s="11">
        <f>dataset_1!B142</f>
        <v>40550</v>
      </c>
      <c r="C963" s="10">
        <f>dataset_1!C142</f>
        <v>1</v>
      </c>
      <c r="D963" s="10">
        <f>dataset_1!D142</f>
        <v>0</v>
      </c>
      <c r="E963" s="10">
        <f>dataset_1!E142</f>
        <v>1</v>
      </c>
      <c r="F963" s="10">
        <f>dataset_1!F142</f>
        <v>2</v>
      </c>
      <c r="G963" s="10" t="b">
        <f>dataset_1!G142</f>
        <v>0</v>
      </c>
      <c r="H963" s="10">
        <f>dataset_1!H142</f>
        <v>5</v>
      </c>
      <c r="I963" s="10">
        <f>dataset_1!I142</f>
        <v>2</v>
      </c>
      <c r="J963" s="10">
        <f>dataset_1!J142</f>
        <v>0.2</v>
      </c>
      <c r="K963" s="10">
        <f>VLOOKUP(A963,dataset_2!$A$2:$G$611,2,0)</f>
        <v>0.197</v>
      </c>
      <c r="L963" s="10">
        <f>VLOOKUP(A963,dataset_2!$A$2:$G$611,3,0)</f>
        <v>0.69</v>
      </c>
      <c r="M963" s="10">
        <f>VLOOKUP(A963,dataset_2!$A$2:$G$611,4,0)</f>
        <v>0.2239</v>
      </c>
      <c r="N963" s="10">
        <f>VLOOKUP(A963,dataset_2!$A$2:$G$611,5,0)</f>
        <v>0</v>
      </c>
      <c r="O963" s="10">
        <f>VLOOKUP(A963,dataset_2!$A$2:$G$611,6,0)</f>
        <v>1</v>
      </c>
      <c r="P963" s="10">
        <f>VLOOKUP(A963,dataset_2!$A$2:$G$611,7,0)</f>
        <v>1</v>
      </c>
      <c r="Q963" s="10"/>
      <c r="R963" s="10"/>
      <c r="S963" s="10"/>
      <c r="T963" s="10"/>
      <c r="U963" s="10">
        <f t="shared" si="4"/>
        <v>1</v>
      </c>
      <c r="V963" s="10"/>
      <c r="W963" s="10"/>
      <c r="X963" s="10"/>
      <c r="Y963" s="10"/>
      <c r="Z963" s="10"/>
    </row>
    <row r="964" ht="13.5" customHeight="1">
      <c r="A964" s="10">
        <f>dataset_1!A143</f>
        <v>142</v>
      </c>
      <c r="B964" s="11">
        <f>dataset_1!B143</f>
        <v>40550</v>
      </c>
      <c r="C964" s="10">
        <f>dataset_1!C143</f>
        <v>1</v>
      </c>
      <c r="D964" s="10">
        <f>dataset_1!D143</f>
        <v>0</v>
      </c>
      <c r="E964" s="10">
        <f>dataset_1!E143</f>
        <v>1</v>
      </c>
      <c r="F964" s="10">
        <f>dataset_1!F143</f>
        <v>4</v>
      </c>
      <c r="G964" s="10" t="b">
        <f>dataset_1!G143</f>
        <v>0</v>
      </c>
      <c r="H964" s="10">
        <f>dataset_1!H143</f>
        <v>5</v>
      </c>
      <c r="I964" s="10">
        <f>dataset_1!I143</f>
        <v>2</v>
      </c>
      <c r="J964" s="10">
        <f>dataset_1!J143</f>
        <v>0.2</v>
      </c>
      <c r="K964" s="10">
        <f>VLOOKUP(A964,dataset_2!$A$2:$G$611,2,0)</f>
        <v>0.2121</v>
      </c>
      <c r="L964" s="10">
        <f>VLOOKUP(A964,dataset_2!$A$2:$G$611,3,0)</f>
        <v>0.69</v>
      </c>
      <c r="M964" s="10">
        <f>VLOOKUP(A964,dataset_2!$A$2:$G$611,4,0)</f>
        <v>0.1343</v>
      </c>
      <c r="N964" s="10">
        <f>VLOOKUP(A964,dataset_2!$A$2:$G$611,5,0)</f>
        <v>0</v>
      </c>
      <c r="O964" s="10">
        <f>VLOOKUP(A964,dataset_2!$A$2:$G$611,6,0)</f>
        <v>1</v>
      </c>
      <c r="P964" s="10">
        <f>VLOOKUP(A964,dataset_2!$A$2:$G$611,7,0)</f>
        <v>1</v>
      </c>
      <c r="Q964" s="10"/>
      <c r="R964" s="10"/>
      <c r="S964" s="10"/>
      <c r="T964" s="10"/>
      <c r="U964" s="10">
        <f t="shared" si="4"/>
        <v>1</v>
      </c>
      <c r="V964" s="10"/>
      <c r="W964" s="10"/>
      <c r="X964" s="10"/>
      <c r="Y964" s="10"/>
      <c r="Z964" s="10"/>
    </row>
    <row r="965" ht="13.5" customHeight="1">
      <c r="A965" s="10">
        <f>dataset_1!A167</f>
        <v>166</v>
      </c>
      <c r="B965" s="11">
        <f>dataset_1!B167</f>
        <v>40551</v>
      </c>
      <c r="C965" s="10">
        <f>dataset_1!C167</f>
        <v>1</v>
      </c>
      <c r="D965" s="10">
        <f>dataset_1!D167</f>
        <v>0</v>
      </c>
      <c r="E965" s="10">
        <f>dataset_1!E167</f>
        <v>1</v>
      </c>
      <c r="F965" s="10">
        <f>dataset_1!F167</f>
        <v>4</v>
      </c>
      <c r="G965" s="10" t="b">
        <f>dataset_1!G167</f>
        <v>0</v>
      </c>
      <c r="H965" s="10">
        <f>dataset_1!H167</f>
        <v>6</v>
      </c>
      <c r="I965" s="10">
        <f>dataset_1!I167</f>
        <v>3</v>
      </c>
      <c r="J965" s="10">
        <f>dataset_1!J167</f>
        <v>0.18</v>
      </c>
      <c r="K965" s="10">
        <f>VLOOKUP(A965,dataset_2!$A$2:$G$611,2,0)</f>
        <v>0.197</v>
      </c>
      <c r="L965" s="10">
        <f>VLOOKUP(A965,dataset_2!$A$2:$G$611,3,0)</f>
        <v>0.55</v>
      </c>
      <c r="M965" s="10">
        <f>VLOOKUP(A965,dataset_2!$A$2:$G$611,4,0)</f>
        <v>0.1642</v>
      </c>
      <c r="N965" s="10">
        <f>VLOOKUP(A965,dataset_2!$A$2:$G$611,5,0)</f>
        <v>0</v>
      </c>
      <c r="O965" s="10">
        <f>VLOOKUP(A965,dataset_2!$A$2:$G$611,6,0)</f>
        <v>1</v>
      </c>
      <c r="P965" s="10">
        <f>VLOOKUP(A965,dataset_2!$A$2:$G$611,7,0)</f>
        <v>1</v>
      </c>
      <c r="Q965" s="10"/>
      <c r="R965" s="10"/>
      <c r="S965" s="10"/>
      <c r="T965" s="10"/>
      <c r="U965" s="10">
        <f t="shared" si="4"/>
        <v>1</v>
      </c>
      <c r="V965" s="10"/>
      <c r="W965" s="10"/>
      <c r="X965" s="10"/>
      <c r="Y965" s="10"/>
      <c r="Z965" s="10"/>
    </row>
    <row r="966" ht="13.5" customHeight="1">
      <c r="A966" s="10">
        <f>dataset_1!A191</f>
        <v>190</v>
      </c>
      <c r="B966" s="11">
        <f>dataset_1!B191</f>
        <v>40552</v>
      </c>
      <c r="C966" s="10">
        <f>dataset_1!C191</f>
        <v>1</v>
      </c>
      <c r="D966" s="10">
        <f>dataset_1!D191</f>
        <v>0</v>
      </c>
      <c r="E966" s="10">
        <f>dataset_1!E191</f>
        <v>1</v>
      </c>
      <c r="F966" s="10">
        <f>dataset_1!F191</f>
        <v>4</v>
      </c>
      <c r="G966" s="10" t="b">
        <f>dataset_1!G191</f>
        <v>0</v>
      </c>
      <c r="H966" s="10">
        <f>dataset_1!H191</f>
        <v>0</v>
      </c>
      <c r="I966" s="10">
        <f>dataset_1!I191</f>
        <v>1</v>
      </c>
      <c r="J966" s="10">
        <f>dataset_1!J191</f>
        <v>0.08</v>
      </c>
      <c r="K966" s="10">
        <f>VLOOKUP(A966,dataset_2!$A$2:$G$611,2,0)</f>
        <v>0.0909</v>
      </c>
      <c r="L966" s="10">
        <f>VLOOKUP(A966,dataset_2!$A$2:$G$611,3,0)</f>
        <v>0.53</v>
      </c>
      <c r="M966" s="10">
        <f>VLOOKUP(A966,dataset_2!$A$2:$G$611,4,0)</f>
        <v>0.194</v>
      </c>
      <c r="N966" s="10">
        <f>VLOOKUP(A966,dataset_2!$A$2:$G$611,5,0)</f>
        <v>0</v>
      </c>
      <c r="O966" s="10">
        <f>VLOOKUP(A966,dataset_2!$A$2:$G$611,6,0)</f>
        <v>1</v>
      </c>
      <c r="P966" s="10">
        <f>VLOOKUP(A966,dataset_2!$A$2:$G$611,7,0)</f>
        <v>1</v>
      </c>
      <c r="Q966" s="10"/>
      <c r="R966" s="10"/>
      <c r="S966" s="10"/>
      <c r="T966" s="10"/>
      <c r="U966" s="10">
        <f t="shared" si="4"/>
        <v>1</v>
      </c>
      <c r="V966" s="10"/>
      <c r="W966" s="10"/>
      <c r="X966" s="10"/>
      <c r="Y966" s="10"/>
      <c r="Z966" s="10"/>
    </row>
    <row r="967" ht="13.5" customHeight="1">
      <c r="A967" s="10">
        <f>dataset_1!A192</f>
        <v>191</v>
      </c>
      <c r="B967" s="11">
        <f>dataset_1!B192</f>
        <v>40552</v>
      </c>
      <c r="C967" s="10">
        <f>dataset_1!C192</f>
        <v>1</v>
      </c>
      <c r="D967" s="10">
        <f>dataset_1!D192</f>
        <v>0</v>
      </c>
      <c r="E967" s="10">
        <f>dataset_1!E192</f>
        <v>1</v>
      </c>
      <c r="F967" s="10">
        <f>dataset_1!F192</f>
        <v>5</v>
      </c>
      <c r="G967" s="10" t="b">
        <f>dataset_1!G192</f>
        <v>0</v>
      </c>
      <c r="H967" s="10">
        <f>dataset_1!H192</f>
        <v>0</v>
      </c>
      <c r="I967" s="10">
        <f>dataset_1!I192</f>
        <v>1</v>
      </c>
      <c r="J967" s="10">
        <f>dataset_1!J192</f>
        <v>0.08</v>
      </c>
      <c r="K967" s="10">
        <f>VLOOKUP(A967,dataset_2!$A$2:$G$611,2,0)</f>
        <v>0.0909</v>
      </c>
      <c r="L967" s="10">
        <f>VLOOKUP(A967,dataset_2!$A$2:$G$611,3,0)</f>
        <v>0.53</v>
      </c>
      <c r="M967" s="10">
        <f>VLOOKUP(A967,dataset_2!$A$2:$G$611,4,0)</f>
        <v>0.194</v>
      </c>
      <c r="N967" s="10">
        <f>VLOOKUP(A967,dataset_2!$A$2:$G$611,5,0)</f>
        <v>0</v>
      </c>
      <c r="O967" s="10">
        <f>VLOOKUP(A967,dataset_2!$A$2:$G$611,6,0)</f>
        <v>1</v>
      </c>
      <c r="P967" s="10">
        <f>VLOOKUP(A967,dataset_2!$A$2:$G$611,7,0)</f>
        <v>1</v>
      </c>
      <c r="Q967" s="10"/>
      <c r="R967" s="10"/>
      <c r="S967" s="10"/>
      <c r="T967" s="10"/>
      <c r="U967" s="10">
        <f t="shared" si="4"/>
        <v>1</v>
      </c>
      <c r="V967" s="10"/>
      <c r="W967" s="10"/>
      <c r="X967" s="10"/>
      <c r="Y967" s="10"/>
      <c r="Z967" s="10"/>
    </row>
    <row r="968" ht="13.5" customHeight="1">
      <c r="A968" s="10">
        <f>dataset_1!A193</f>
        <v>192</v>
      </c>
      <c r="B968" s="11">
        <f>dataset_1!B193</f>
        <v>40552</v>
      </c>
      <c r="C968" s="10">
        <f>dataset_1!C193</f>
        <v>1</v>
      </c>
      <c r="D968" s="10">
        <f>dataset_1!D193</f>
        <v>0</v>
      </c>
      <c r="E968" s="10">
        <f>dataset_1!E193</f>
        <v>1</v>
      </c>
      <c r="F968" s="10">
        <f>dataset_1!F193</f>
        <v>6</v>
      </c>
      <c r="G968" s="10" t="b">
        <f>dataset_1!G193</f>
        <v>0</v>
      </c>
      <c r="H968" s="10">
        <f>dataset_1!H193</f>
        <v>0</v>
      </c>
      <c r="I968" s="10">
        <f>dataset_1!I193</f>
        <v>1</v>
      </c>
      <c r="J968" s="10">
        <f>dataset_1!J193</f>
        <v>0.1</v>
      </c>
      <c r="K968" s="10">
        <f>VLOOKUP(A968,dataset_2!$A$2:$G$611,2,0)</f>
        <v>0.0909</v>
      </c>
      <c r="L968" s="10">
        <f>VLOOKUP(A968,dataset_2!$A$2:$G$611,3,0)</f>
        <v>0.49</v>
      </c>
      <c r="M968" s="10">
        <f>VLOOKUP(A968,dataset_2!$A$2:$G$611,4,0)</f>
        <v>0.2836</v>
      </c>
      <c r="N968" s="10">
        <f>VLOOKUP(A968,dataset_2!$A$2:$G$611,5,0)</f>
        <v>0</v>
      </c>
      <c r="O968" s="10">
        <f>VLOOKUP(A968,dataset_2!$A$2:$G$611,6,0)</f>
        <v>1</v>
      </c>
      <c r="P968" s="10">
        <f>VLOOKUP(A968,dataset_2!$A$2:$G$611,7,0)</f>
        <v>1</v>
      </c>
      <c r="Q968" s="10"/>
      <c r="R968" s="10"/>
      <c r="S968" s="10"/>
      <c r="T968" s="10"/>
      <c r="U968" s="10">
        <f t="shared" si="4"/>
        <v>1</v>
      </c>
      <c r="V968" s="10"/>
      <c r="W968" s="10"/>
      <c r="X968" s="10"/>
      <c r="Y968" s="10"/>
      <c r="Z968" s="10"/>
    </row>
    <row r="969" ht="13.5" customHeight="1">
      <c r="A969" s="10">
        <f>dataset_1!A212</f>
        <v>211</v>
      </c>
      <c r="B969" s="11">
        <f>dataset_1!B212</f>
        <v>40553</v>
      </c>
      <c r="C969" s="10">
        <f>dataset_1!C212</f>
        <v>1</v>
      </c>
      <c r="D969" s="10">
        <f>dataset_1!D212</f>
        <v>0</v>
      </c>
      <c r="E969" s="10">
        <f>dataset_1!E212</f>
        <v>1</v>
      </c>
      <c r="F969" s="10">
        <f>dataset_1!F212</f>
        <v>1</v>
      </c>
      <c r="G969" s="10" t="b">
        <f>dataset_1!G212</f>
        <v>0</v>
      </c>
      <c r="H969" s="10">
        <f>dataset_1!H212</f>
        <v>1</v>
      </c>
      <c r="I969" s="10">
        <f>dataset_1!I212</f>
        <v>1</v>
      </c>
      <c r="J969" s="10">
        <f>dataset_1!J212</f>
        <v>0.12</v>
      </c>
      <c r="K969" s="10">
        <f>VLOOKUP(A969,dataset_2!$A$2:$G$611,2,0)</f>
        <v>0.1212</v>
      </c>
      <c r="L969" s="10">
        <f>VLOOKUP(A969,dataset_2!$A$2:$G$611,3,0)</f>
        <v>0.5</v>
      </c>
      <c r="M969" s="10">
        <f>VLOOKUP(A969,dataset_2!$A$2:$G$611,4,0)</f>
        <v>0.2836</v>
      </c>
      <c r="N969" s="10">
        <f>VLOOKUP(A969,dataset_2!$A$2:$G$611,5,0)</f>
        <v>1</v>
      </c>
      <c r="O969" s="10">
        <f>VLOOKUP(A969,dataset_2!$A$2:$G$611,6,0)</f>
        <v>0</v>
      </c>
      <c r="P969" s="10">
        <f>VLOOKUP(A969,dataset_2!$A$2:$G$611,7,0)</f>
        <v>1</v>
      </c>
      <c r="Q969" s="10"/>
      <c r="R969" s="10"/>
      <c r="S969" s="10"/>
      <c r="T969" s="10"/>
      <c r="U969" s="10">
        <f t="shared" si="4"/>
        <v>1</v>
      </c>
      <c r="V969" s="10"/>
      <c r="W969" s="10"/>
      <c r="X969" s="10"/>
      <c r="Y969" s="10"/>
      <c r="Z969" s="10"/>
    </row>
    <row r="970" ht="13.5" customHeight="1">
      <c r="A970" s="10">
        <f>dataset_1!A214</f>
        <v>213</v>
      </c>
      <c r="B970" s="11">
        <f>dataset_1!B214</f>
        <v>40553</v>
      </c>
      <c r="C970" s="10">
        <f>dataset_1!C214</f>
        <v>1</v>
      </c>
      <c r="D970" s="10">
        <f>dataset_1!D214</f>
        <v>0</v>
      </c>
      <c r="E970" s="10">
        <f>dataset_1!E214</f>
        <v>1</v>
      </c>
      <c r="F970" s="10">
        <f>dataset_1!F214</f>
        <v>3</v>
      </c>
      <c r="G970" s="10" t="b">
        <f>dataset_1!G214</f>
        <v>0</v>
      </c>
      <c r="H970" s="10">
        <f>dataset_1!H214</f>
        <v>1</v>
      </c>
      <c r="I970" s="10">
        <f>dataset_1!I214</f>
        <v>1</v>
      </c>
      <c r="J970" s="10">
        <f>dataset_1!J214</f>
        <v>0.12</v>
      </c>
      <c r="K970" s="10">
        <f>VLOOKUP(A970,dataset_2!$A$2:$G$611,2,0)</f>
        <v>0.1212</v>
      </c>
      <c r="L970" s="10">
        <f>VLOOKUP(A970,dataset_2!$A$2:$G$611,3,0)</f>
        <v>0.5</v>
      </c>
      <c r="M970" s="10">
        <f>VLOOKUP(A970,dataset_2!$A$2:$G$611,4,0)</f>
        <v>0.2239</v>
      </c>
      <c r="N970" s="10">
        <f>VLOOKUP(A970,dataset_2!$A$2:$G$611,5,0)</f>
        <v>0</v>
      </c>
      <c r="O970" s="10">
        <f>VLOOKUP(A970,dataset_2!$A$2:$G$611,6,0)</f>
        <v>1</v>
      </c>
      <c r="P970" s="10">
        <f>VLOOKUP(A970,dataset_2!$A$2:$G$611,7,0)</f>
        <v>1</v>
      </c>
      <c r="Q970" s="10"/>
      <c r="R970" s="10"/>
      <c r="S970" s="10"/>
      <c r="T970" s="10"/>
      <c r="U970" s="10">
        <f t="shared" si="4"/>
        <v>1</v>
      </c>
      <c r="V970" s="10"/>
      <c r="W970" s="10"/>
      <c r="X970" s="10"/>
      <c r="Y970" s="10"/>
      <c r="Z970" s="10"/>
    </row>
    <row r="971" ht="13.5" customHeight="1">
      <c r="A971" s="10">
        <f>dataset_1!A259</f>
        <v>258</v>
      </c>
      <c r="B971" s="11">
        <f>dataset_1!B259</f>
        <v>40555</v>
      </c>
      <c r="C971" s="10">
        <f>dataset_1!C259</f>
        <v>1</v>
      </c>
      <c r="D971" s="10">
        <f>dataset_1!D259</f>
        <v>0</v>
      </c>
      <c r="E971" s="10">
        <f>dataset_1!E259</f>
        <v>1</v>
      </c>
      <c r="F971" s="10">
        <f>dataset_1!F259</f>
        <v>2</v>
      </c>
      <c r="G971" s="10" t="b">
        <f>dataset_1!G259</f>
        <v>0</v>
      </c>
      <c r="H971" s="10">
        <f>dataset_1!H259</f>
        <v>3</v>
      </c>
      <c r="I971" s="10">
        <f>dataset_1!I259</f>
        <v>1</v>
      </c>
      <c r="J971" s="10">
        <f>dataset_1!J259</f>
        <v>0.14</v>
      </c>
      <c r="K971" s="10">
        <f>VLOOKUP(A971,dataset_2!$A$2:$G$611,2,0)</f>
        <v>0.1515</v>
      </c>
      <c r="L971" s="10">
        <f>VLOOKUP(A971,dataset_2!$A$2:$G$611,3,0)</f>
        <v>0.86</v>
      </c>
      <c r="M971" s="10">
        <f>VLOOKUP(A971,dataset_2!$A$2:$G$611,4,0)</f>
        <v>0.1343</v>
      </c>
      <c r="N971" s="10">
        <f>VLOOKUP(A971,dataset_2!$A$2:$G$611,5,0)</f>
        <v>0</v>
      </c>
      <c r="O971" s="10">
        <f>VLOOKUP(A971,dataset_2!$A$2:$G$611,6,0)</f>
        <v>1</v>
      </c>
      <c r="P971" s="10">
        <f>VLOOKUP(A971,dataset_2!$A$2:$G$611,7,0)</f>
        <v>1</v>
      </c>
      <c r="Q971" s="10"/>
      <c r="R971" s="10"/>
      <c r="S971" s="10"/>
      <c r="T971" s="10"/>
      <c r="U971" s="10">
        <f t="shared" si="4"/>
        <v>1</v>
      </c>
      <c r="V971" s="10"/>
      <c r="W971" s="10"/>
      <c r="X971" s="10"/>
      <c r="Y971" s="10"/>
      <c r="Z971" s="10"/>
    </row>
    <row r="972" ht="13.5" customHeight="1">
      <c r="A972" s="10">
        <f>dataset_1!A305</f>
        <v>304</v>
      </c>
      <c r="B972" s="11">
        <f>dataset_1!B305</f>
        <v>40557</v>
      </c>
      <c r="C972" s="10">
        <f>dataset_1!C305</f>
        <v>1</v>
      </c>
      <c r="D972" s="10">
        <f>dataset_1!D305</f>
        <v>0</v>
      </c>
      <c r="E972" s="10">
        <f>dataset_1!E305</f>
        <v>1</v>
      </c>
      <c r="F972" s="10">
        <f>dataset_1!F305</f>
        <v>2</v>
      </c>
      <c r="G972" s="10" t="b">
        <f>dataset_1!G305</f>
        <v>0</v>
      </c>
      <c r="H972" s="10">
        <f>dataset_1!H305</f>
        <v>5</v>
      </c>
      <c r="I972" s="10">
        <f>dataset_1!I305</f>
        <v>1</v>
      </c>
      <c r="J972" s="10">
        <f>dataset_1!J305</f>
        <v>0.1</v>
      </c>
      <c r="K972" s="10">
        <f>VLOOKUP(A972,dataset_2!$A$2:$G$611,2,0)</f>
        <v>0.1212</v>
      </c>
      <c r="L972" s="10">
        <f>VLOOKUP(A972,dataset_2!$A$2:$G$611,3,0)</f>
        <v>0.54</v>
      </c>
      <c r="M972" s="10">
        <f>VLOOKUP(A972,dataset_2!$A$2:$G$611,4,0)</f>
        <v>0.1343</v>
      </c>
      <c r="N972" s="10">
        <f>VLOOKUP(A972,dataset_2!$A$2:$G$611,5,0)</f>
        <v>0</v>
      </c>
      <c r="O972" s="10">
        <f>VLOOKUP(A972,dataset_2!$A$2:$G$611,6,0)</f>
        <v>1</v>
      </c>
      <c r="P972" s="10">
        <f>VLOOKUP(A972,dataset_2!$A$2:$G$611,7,0)</f>
        <v>1</v>
      </c>
      <c r="Q972" s="10"/>
      <c r="R972" s="10"/>
      <c r="S972" s="10"/>
      <c r="T972" s="10"/>
      <c r="U972" s="10">
        <f t="shared" si="4"/>
        <v>1</v>
      </c>
      <c r="V972" s="10"/>
      <c r="W972" s="10"/>
      <c r="X972" s="10"/>
      <c r="Y972" s="10"/>
      <c r="Z972" s="10"/>
    </row>
    <row r="973" ht="13.5" customHeight="1">
      <c r="A973" s="10">
        <f>dataset_1!A306</f>
        <v>305</v>
      </c>
      <c r="B973" s="11">
        <f>dataset_1!B306</f>
        <v>40557</v>
      </c>
      <c r="C973" s="10">
        <f>dataset_1!C306</f>
        <v>1</v>
      </c>
      <c r="D973" s="10">
        <f>dataset_1!D306</f>
        <v>0</v>
      </c>
      <c r="E973" s="10">
        <f>dataset_1!E306</f>
        <v>1</v>
      </c>
      <c r="F973" s="10">
        <f>dataset_1!F306</f>
        <v>3</v>
      </c>
      <c r="G973" s="10" t="b">
        <f>dataset_1!G306</f>
        <v>0</v>
      </c>
      <c r="H973" s="10">
        <f>dataset_1!H306</f>
        <v>5</v>
      </c>
      <c r="I973" s="10">
        <f>dataset_1!I306</f>
        <v>1</v>
      </c>
      <c r="J973" s="10">
        <f>dataset_1!J306</f>
        <v>0.1</v>
      </c>
      <c r="K973" s="10">
        <f>VLOOKUP(A973,dataset_2!$A$2:$G$611,2,0)</f>
        <v>0.1364</v>
      </c>
      <c r="L973" s="10">
        <f>VLOOKUP(A973,dataset_2!$A$2:$G$611,3,0)</f>
        <v>0.54</v>
      </c>
      <c r="M973" s="10">
        <f>VLOOKUP(A973,dataset_2!$A$2:$G$611,4,0)</f>
        <v>0.1045</v>
      </c>
      <c r="N973" s="10">
        <f>VLOOKUP(A973,dataset_2!$A$2:$G$611,5,0)</f>
        <v>0</v>
      </c>
      <c r="O973" s="10">
        <f>VLOOKUP(A973,dataset_2!$A$2:$G$611,6,0)</f>
        <v>1</v>
      </c>
      <c r="P973" s="10">
        <f>VLOOKUP(A973,dataset_2!$A$2:$G$611,7,0)</f>
        <v>1</v>
      </c>
      <c r="Q973" s="10"/>
      <c r="R973" s="10"/>
      <c r="S973" s="10"/>
      <c r="T973" s="10"/>
      <c r="U973" s="10">
        <f t="shared" si="4"/>
        <v>1</v>
      </c>
      <c r="V973" s="10"/>
      <c r="W973" s="10"/>
      <c r="X973" s="10"/>
      <c r="Y973" s="10"/>
      <c r="Z973" s="10"/>
    </row>
    <row r="974" ht="13.5" customHeight="1">
      <c r="A974" s="10">
        <f>dataset_1!A331</f>
        <v>330</v>
      </c>
      <c r="B974" s="11">
        <f>dataset_1!B331</f>
        <v>40558</v>
      </c>
      <c r="C974" s="10">
        <f>dataset_1!C331</f>
        <v>1</v>
      </c>
      <c r="D974" s="10">
        <f>dataset_1!D331</f>
        <v>0</v>
      </c>
      <c r="E974" s="10">
        <f>dataset_1!E331</f>
        <v>1</v>
      </c>
      <c r="F974" s="10">
        <f>dataset_1!F331</f>
        <v>5</v>
      </c>
      <c r="G974" s="10" t="b">
        <f>dataset_1!G331</f>
        <v>0</v>
      </c>
      <c r="H974" s="10">
        <f>dataset_1!H331</f>
        <v>6</v>
      </c>
      <c r="I974" s="10">
        <f>dataset_1!I331</f>
        <v>1</v>
      </c>
      <c r="J974" s="10">
        <f>dataset_1!J331</f>
        <v>0.16</v>
      </c>
      <c r="K974" s="10">
        <f>VLOOKUP(A974,dataset_2!$A$2:$G$611,2,0)</f>
        <v>0.2273</v>
      </c>
      <c r="L974" s="10">
        <f>VLOOKUP(A974,dataset_2!$A$2:$G$611,3,0)</f>
        <v>0.59</v>
      </c>
      <c r="M974" s="10">
        <f>VLOOKUP(A974,dataset_2!$A$2:$G$611,4,0)</f>
        <v>0</v>
      </c>
      <c r="N974" s="10">
        <f>VLOOKUP(A974,dataset_2!$A$2:$G$611,5,0)</f>
        <v>0</v>
      </c>
      <c r="O974" s="10">
        <f>VLOOKUP(A974,dataset_2!$A$2:$G$611,6,0)</f>
        <v>1</v>
      </c>
      <c r="P974" s="10">
        <f>VLOOKUP(A974,dataset_2!$A$2:$G$611,7,0)</f>
        <v>1</v>
      </c>
      <c r="Q974" s="10"/>
      <c r="R974" s="10"/>
      <c r="S974" s="10"/>
      <c r="T974" s="10"/>
      <c r="U974" s="10">
        <f t="shared" si="4"/>
        <v>1</v>
      </c>
      <c r="V974" s="10"/>
      <c r="W974" s="10"/>
      <c r="X974" s="10"/>
      <c r="Y974" s="10"/>
      <c r="Z974" s="10"/>
    </row>
    <row r="975" ht="13.5" customHeight="1">
      <c r="A975" s="10">
        <f>dataset_1!A354</f>
        <v>353</v>
      </c>
      <c r="B975" s="11">
        <f>dataset_1!B354</f>
        <v>40559</v>
      </c>
      <c r="C975" s="10">
        <f>dataset_1!C354</f>
        <v>1</v>
      </c>
      <c r="D975" s="10">
        <f>dataset_1!D354</f>
        <v>0</v>
      </c>
      <c r="E975" s="10">
        <f>dataset_1!E354</f>
        <v>1</v>
      </c>
      <c r="F975" s="10">
        <f>dataset_1!F354</f>
        <v>4</v>
      </c>
      <c r="G975" s="10" t="b">
        <f>dataset_1!G354</f>
        <v>0</v>
      </c>
      <c r="H975" s="10">
        <f>dataset_1!H354</f>
        <v>0</v>
      </c>
      <c r="I975" s="10">
        <f>dataset_1!I354</f>
        <v>1</v>
      </c>
      <c r="J975" s="10">
        <f>dataset_1!J354</f>
        <v>0.26</v>
      </c>
      <c r="K975" s="10">
        <f>VLOOKUP(A975,dataset_2!$A$2:$G$611,2,0)</f>
        <v>0.2576</v>
      </c>
      <c r="L975" s="10">
        <f>VLOOKUP(A975,dataset_2!$A$2:$G$611,3,0)</f>
        <v>0.56</v>
      </c>
      <c r="M975" s="10">
        <f>VLOOKUP(A975,dataset_2!$A$2:$G$611,4,0)</f>
        <v>0.1642</v>
      </c>
      <c r="N975" s="10">
        <f>VLOOKUP(A975,dataset_2!$A$2:$G$611,5,0)</f>
        <v>0</v>
      </c>
      <c r="O975" s="10">
        <f>VLOOKUP(A975,dataset_2!$A$2:$G$611,6,0)</f>
        <v>1</v>
      </c>
      <c r="P975" s="10">
        <f>VLOOKUP(A975,dataset_2!$A$2:$G$611,7,0)</f>
        <v>1</v>
      </c>
      <c r="Q975" s="10"/>
      <c r="R975" s="10"/>
      <c r="S975" s="10"/>
      <c r="T975" s="10"/>
      <c r="U975" s="10">
        <f t="shared" si="4"/>
        <v>1</v>
      </c>
      <c r="V975" s="10"/>
      <c r="W975" s="10"/>
      <c r="X975" s="10"/>
      <c r="Y975" s="10"/>
      <c r="Z975" s="10"/>
    </row>
    <row r="976" ht="13.5" customHeight="1">
      <c r="A976" s="10">
        <f>dataset_1!A356</f>
        <v>355</v>
      </c>
      <c r="B976" s="11">
        <f>dataset_1!B356</f>
        <v>40559</v>
      </c>
      <c r="C976" s="10">
        <f>dataset_1!C356</f>
        <v>1</v>
      </c>
      <c r="D976" s="10">
        <f>dataset_1!D356</f>
        <v>0</v>
      </c>
      <c r="E976" s="10">
        <f>dataset_1!E356</f>
        <v>1</v>
      </c>
      <c r="F976" s="10">
        <f>dataset_1!F356</f>
        <v>6</v>
      </c>
      <c r="G976" s="10" t="b">
        <f>dataset_1!G356</f>
        <v>0</v>
      </c>
      <c r="H976" s="10">
        <f>dataset_1!H356</f>
        <v>0</v>
      </c>
      <c r="I976" s="10">
        <f>dataset_1!I356</f>
        <v>2</v>
      </c>
      <c r="J976" s="10">
        <f>dataset_1!J356</f>
        <v>0.26</v>
      </c>
      <c r="K976" s="10">
        <f>VLOOKUP(A976,dataset_2!$A$2:$G$611,2,0)</f>
        <v>0.2576</v>
      </c>
      <c r="L976" s="10">
        <f>VLOOKUP(A976,dataset_2!$A$2:$G$611,3,0)</f>
        <v>0.56</v>
      </c>
      <c r="M976" s="10">
        <f>VLOOKUP(A976,dataset_2!$A$2:$G$611,4,0)</f>
        <v>0.1642</v>
      </c>
      <c r="N976" s="10">
        <f>VLOOKUP(A976,dataset_2!$A$2:$G$611,5,0)</f>
        <v>0</v>
      </c>
      <c r="O976" s="10">
        <f>VLOOKUP(A976,dataset_2!$A$2:$G$611,6,0)</f>
        <v>1</v>
      </c>
      <c r="P976" s="10">
        <f>VLOOKUP(A976,dataset_2!$A$2:$G$611,7,0)</f>
        <v>1</v>
      </c>
      <c r="Q976" s="10"/>
      <c r="R976" s="10"/>
      <c r="S976" s="10"/>
      <c r="T976" s="10"/>
      <c r="U976" s="10">
        <f t="shared" si="4"/>
        <v>1</v>
      </c>
      <c r="V976" s="10"/>
      <c r="W976" s="10"/>
      <c r="X976" s="10"/>
      <c r="Y976" s="10"/>
      <c r="Z976" s="10"/>
    </row>
    <row r="977" ht="13.5" customHeight="1">
      <c r="A977" s="10">
        <f>dataset_1!A379</f>
        <v>378</v>
      </c>
      <c r="B977" s="11">
        <f>dataset_1!B379</f>
        <v>40560</v>
      </c>
      <c r="C977" s="10">
        <f>dataset_1!C379</f>
        <v>1</v>
      </c>
      <c r="D977" s="10">
        <f>dataset_1!D379</f>
        <v>0</v>
      </c>
      <c r="E977" s="10">
        <f>dataset_1!E379</f>
        <v>1</v>
      </c>
      <c r="F977" s="10">
        <f>dataset_1!F379</f>
        <v>5</v>
      </c>
      <c r="G977" s="10" t="b">
        <f>dataset_1!G379</f>
        <v>1</v>
      </c>
      <c r="H977" s="10">
        <f>dataset_1!H379</f>
        <v>1</v>
      </c>
      <c r="I977" s="10">
        <f>dataset_1!I379</f>
        <v>2</v>
      </c>
      <c r="J977" s="10">
        <f>dataset_1!J379</f>
        <v>0.18</v>
      </c>
      <c r="K977" s="10">
        <f>VLOOKUP(A977,dataset_2!$A$2:$G$611,2,0)</f>
        <v>0.197</v>
      </c>
      <c r="L977" s="10">
        <f>VLOOKUP(A977,dataset_2!$A$2:$G$611,3,0)</f>
        <v>0.43</v>
      </c>
      <c r="M977" s="10">
        <f>VLOOKUP(A977,dataset_2!$A$2:$G$611,4,0)</f>
        <v>0.1642</v>
      </c>
      <c r="N977" s="10">
        <f>VLOOKUP(A977,dataset_2!$A$2:$G$611,5,0)</f>
        <v>0</v>
      </c>
      <c r="O977" s="10">
        <f>VLOOKUP(A977,dataset_2!$A$2:$G$611,6,0)</f>
        <v>1</v>
      </c>
      <c r="P977" s="10">
        <f>VLOOKUP(A977,dataset_2!$A$2:$G$611,7,0)</f>
        <v>1</v>
      </c>
      <c r="Q977" s="10"/>
      <c r="R977" s="10"/>
      <c r="S977" s="10"/>
      <c r="T977" s="10"/>
      <c r="U977" s="10">
        <f t="shared" si="4"/>
        <v>1</v>
      </c>
      <c r="V977" s="10"/>
      <c r="W977" s="10"/>
      <c r="X977" s="10"/>
      <c r="Y977" s="10"/>
      <c r="Z977" s="10"/>
    </row>
    <row r="978" ht="13.5" customHeight="1">
      <c r="A978" s="10">
        <f>dataset_1!A436</f>
        <v>435</v>
      </c>
      <c r="B978" s="11">
        <f>dataset_1!B436</f>
        <v>40563</v>
      </c>
      <c r="C978" s="10">
        <f>dataset_1!C436</f>
        <v>1</v>
      </c>
      <c r="D978" s="10">
        <f>dataset_1!D436</f>
        <v>0</v>
      </c>
      <c r="E978" s="10">
        <f>dataset_1!E436</f>
        <v>1</v>
      </c>
      <c r="F978" s="10">
        <f>dataset_1!F436</f>
        <v>3</v>
      </c>
      <c r="G978" s="10" t="b">
        <f>dataset_1!G436</f>
        <v>0</v>
      </c>
      <c r="H978" s="10">
        <f>dataset_1!H436</f>
        <v>4</v>
      </c>
      <c r="I978" s="10">
        <f>dataset_1!I436</f>
        <v>1</v>
      </c>
      <c r="J978" s="10">
        <f>dataset_1!J436</f>
        <v>0.26</v>
      </c>
      <c r="K978" s="10">
        <f>VLOOKUP(A978,dataset_2!$A$2:$G$611,2,0)</f>
        <v>0.2576</v>
      </c>
      <c r="L978" s="10">
        <f>VLOOKUP(A978,dataset_2!$A$2:$G$611,3,0)</f>
        <v>0.56</v>
      </c>
      <c r="M978" s="10">
        <f>VLOOKUP(A978,dataset_2!$A$2:$G$611,4,0)</f>
        <v>0.1642</v>
      </c>
      <c r="N978" s="10">
        <f>VLOOKUP(A978,dataset_2!$A$2:$G$611,5,0)</f>
        <v>0</v>
      </c>
      <c r="O978" s="10">
        <f>VLOOKUP(A978,dataset_2!$A$2:$G$611,6,0)</f>
        <v>1</v>
      </c>
      <c r="P978" s="10">
        <f>VLOOKUP(A978,dataset_2!$A$2:$G$611,7,0)</f>
        <v>1</v>
      </c>
      <c r="Q978" s="10"/>
      <c r="R978" s="10"/>
      <c r="S978" s="10"/>
      <c r="T978" s="10"/>
      <c r="U978" s="10">
        <f t="shared" si="4"/>
        <v>1</v>
      </c>
      <c r="V978" s="10"/>
      <c r="W978" s="10"/>
      <c r="X978" s="10"/>
      <c r="Y978" s="10"/>
      <c r="Z978" s="10"/>
    </row>
    <row r="979" ht="13.5" customHeight="1">
      <c r="A979" s="10">
        <f>dataset_1!A437</f>
        <v>436</v>
      </c>
      <c r="B979" s="11">
        <f>dataset_1!B437</f>
        <v>40563</v>
      </c>
      <c r="C979" s="10">
        <f>dataset_1!C437</f>
        <v>1</v>
      </c>
      <c r="D979" s="10">
        <f>dataset_1!D437</f>
        <v>0</v>
      </c>
      <c r="E979" s="10">
        <f>dataset_1!E437</f>
        <v>1</v>
      </c>
      <c r="F979" s="10">
        <f>dataset_1!F437</f>
        <v>4</v>
      </c>
      <c r="G979" s="10" t="b">
        <f>dataset_1!G437</f>
        <v>0</v>
      </c>
      <c r="H979" s="10">
        <f>dataset_1!H437</f>
        <v>4</v>
      </c>
      <c r="I979" s="10">
        <f>dataset_1!I437</f>
        <v>1</v>
      </c>
      <c r="J979" s="10">
        <f>dataset_1!J437</f>
        <v>0.26</v>
      </c>
      <c r="K979" s="10">
        <f>VLOOKUP(A979,dataset_2!$A$2:$G$611,2,0)</f>
        <v>0.2576</v>
      </c>
      <c r="L979" s="10">
        <f>VLOOKUP(A979,dataset_2!$A$2:$G$611,3,0)</f>
        <v>0.56</v>
      </c>
      <c r="M979" s="10">
        <f>VLOOKUP(A979,dataset_2!$A$2:$G$611,4,0)</f>
        <v>0.1642</v>
      </c>
      <c r="N979" s="10">
        <f>VLOOKUP(A979,dataset_2!$A$2:$G$611,5,0)</f>
        <v>0</v>
      </c>
      <c r="O979" s="10">
        <f>VLOOKUP(A979,dataset_2!$A$2:$G$611,6,0)</f>
        <v>1</v>
      </c>
      <c r="P979" s="10">
        <f>VLOOKUP(A979,dataset_2!$A$2:$G$611,7,0)</f>
        <v>1</v>
      </c>
      <c r="Q979" s="10"/>
      <c r="R979" s="10"/>
      <c r="S979" s="10"/>
      <c r="T979" s="10"/>
      <c r="U979" s="10">
        <f t="shared" si="4"/>
        <v>1</v>
      </c>
      <c r="V979" s="10"/>
      <c r="W979" s="10"/>
      <c r="X979" s="10"/>
      <c r="Y979" s="10"/>
      <c r="Z979" s="10"/>
    </row>
    <row r="980" ht="13.5" customHeight="1">
      <c r="A980" s="10">
        <f>dataset_1!A460</f>
        <v>459</v>
      </c>
      <c r="B980" s="11">
        <f>dataset_1!B460</f>
        <v>40564</v>
      </c>
      <c r="C980" s="10">
        <f>dataset_1!C460</f>
        <v>1</v>
      </c>
      <c r="D980" s="10">
        <f>dataset_1!D460</f>
        <v>0</v>
      </c>
      <c r="E980" s="10">
        <f>dataset_1!E460</f>
        <v>1</v>
      </c>
      <c r="F980" s="10">
        <f>dataset_1!F460</f>
        <v>3</v>
      </c>
      <c r="G980" s="10" t="b">
        <f>dataset_1!G460</f>
        <v>0</v>
      </c>
      <c r="H980" s="10">
        <f>dataset_1!H460</f>
        <v>5</v>
      </c>
      <c r="I980" s="10">
        <f>dataset_1!I460</f>
        <v>3</v>
      </c>
      <c r="J980" s="10">
        <f>dataset_1!J460</f>
        <v>0.22</v>
      </c>
      <c r="K980" s="10">
        <f>VLOOKUP(A980,dataset_2!$A$2:$G$611,2,0)</f>
        <v>0.2121</v>
      </c>
      <c r="L980" s="10">
        <f>VLOOKUP(A980,dataset_2!$A$2:$G$611,3,0)</f>
        <v>0.8</v>
      </c>
      <c r="M980" s="10">
        <f>VLOOKUP(A980,dataset_2!$A$2:$G$611,4,0)</f>
        <v>0.2985</v>
      </c>
      <c r="N980" s="10">
        <f>VLOOKUP(A980,dataset_2!$A$2:$G$611,5,0)</f>
        <v>0</v>
      </c>
      <c r="O980" s="10">
        <f>VLOOKUP(A980,dataset_2!$A$2:$G$611,6,0)</f>
        <v>1</v>
      </c>
      <c r="P980" s="10">
        <f>VLOOKUP(A980,dataset_2!$A$2:$G$611,7,0)</f>
        <v>1</v>
      </c>
      <c r="Q980" s="10"/>
      <c r="R980" s="10"/>
      <c r="S980" s="10"/>
      <c r="T980" s="10"/>
      <c r="U980" s="10">
        <f t="shared" si="4"/>
        <v>1</v>
      </c>
      <c r="V980" s="10"/>
      <c r="W980" s="10"/>
      <c r="X980" s="10"/>
      <c r="Y980" s="10"/>
      <c r="Z980" s="10"/>
    </row>
    <row r="981" ht="13.5" customHeight="1">
      <c r="A981" s="10">
        <f>dataset_1!A461</f>
        <v>460</v>
      </c>
      <c r="B981" s="11">
        <f>dataset_1!B461</f>
        <v>40564</v>
      </c>
      <c r="C981" s="10">
        <f>dataset_1!C461</f>
        <v>1</v>
      </c>
      <c r="D981" s="10">
        <f>dataset_1!D461</f>
        <v>0</v>
      </c>
      <c r="E981" s="10">
        <f>dataset_1!E461</f>
        <v>1</v>
      </c>
      <c r="F981" s="10">
        <f>dataset_1!F461</f>
        <v>4</v>
      </c>
      <c r="G981" s="10" t="b">
        <f>dataset_1!G461</f>
        <v>0</v>
      </c>
      <c r="H981" s="10">
        <f>dataset_1!H461</f>
        <v>5</v>
      </c>
      <c r="I981" s="10">
        <f>dataset_1!I461</f>
        <v>2</v>
      </c>
      <c r="J981" s="10">
        <f>dataset_1!J461</f>
        <v>0.22</v>
      </c>
      <c r="K981" s="10">
        <f>VLOOKUP(A981,dataset_2!$A$2:$G$611,2,0)</f>
        <v>0.2576</v>
      </c>
      <c r="L981" s="10">
        <f>VLOOKUP(A981,dataset_2!$A$2:$G$611,3,0)</f>
        <v>0.87</v>
      </c>
      <c r="M981" s="10">
        <f>VLOOKUP(A981,dataset_2!$A$2:$G$611,4,0)</f>
        <v>0.0896</v>
      </c>
      <c r="N981" s="10">
        <f>VLOOKUP(A981,dataset_2!$A$2:$G$611,5,0)</f>
        <v>0</v>
      </c>
      <c r="O981" s="10">
        <f>VLOOKUP(A981,dataset_2!$A$2:$G$611,6,0)</f>
        <v>1</v>
      </c>
      <c r="P981" s="10">
        <f>VLOOKUP(A981,dataset_2!$A$2:$G$611,7,0)</f>
        <v>1</v>
      </c>
      <c r="Q981" s="10"/>
      <c r="R981" s="10"/>
      <c r="S981" s="10"/>
      <c r="T981" s="10"/>
      <c r="U981" s="10">
        <f t="shared" si="4"/>
        <v>1</v>
      </c>
      <c r="V981" s="10"/>
      <c r="W981" s="10"/>
      <c r="X981" s="10"/>
      <c r="Y981" s="10"/>
      <c r="Z981" s="10"/>
    </row>
    <row r="982" ht="13.5" customHeight="1">
      <c r="A982" s="10">
        <f>dataset_1!A509</f>
        <v>508</v>
      </c>
      <c r="B982" s="11">
        <f>dataset_1!B509</f>
        <v>40566</v>
      </c>
      <c r="C982" s="10">
        <f>dataset_1!C509</f>
        <v>1</v>
      </c>
      <c r="D982" s="10">
        <f>dataset_1!D509</f>
        <v>0</v>
      </c>
      <c r="E982" s="10">
        <f>dataset_1!E509</f>
        <v>1</v>
      </c>
      <c r="F982" s="10">
        <f>dataset_1!F509</f>
        <v>6</v>
      </c>
      <c r="G982" s="10" t="b">
        <f>dataset_1!G509</f>
        <v>0</v>
      </c>
      <c r="H982" s="10">
        <f>dataset_1!H509</f>
        <v>0</v>
      </c>
      <c r="I982" s="10">
        <f>dataset_1!I509</f>
        <v>2</v>
      </c>
      <c r="J982" s="10">
        <f>dataset_1!J509</f>
        <v>0.04</v>
      </c>
      <c r="K982" s="10">
        <f>VLOOKUP(A982,dataset_2!$A$2:$G$611,2,0)</f>
        <v>0.0758</v>
      </c>
      <c r="L982" s="10">
        <f>VLOOKUP(A982,dataset_2!$A$2:$G$611,3,0)</f>
        <v>0.57</v>
      </c>
      <c r="M982" s="10">
        <f>VLOOKUP(A982,dataset_2!$A$2:$G$611,4,0)</f>
        <v>0.1045</v>
      </c>
      <c r="N982" s="10">
        <f>VLOOKUP(A982,dataset_2!$A$2:$G$611,5,0)</f>
        <v>0</v>
      </c>
      <c r="O982" s="10">
        <f>VLOOKUP(A982,dataset_2!$A$2:$G$611,6,0)</f>
        <v>1</v>
      </c>
      <c r="P982" s="10">
        <f>VLOOKUP(A982,dataset_2!$A$2:$G$611,7,0)</f>
        <v>1</v>
      </c>
      <c r="Q982" s="10"/>
      <c r="R982" s="10"/>
      <c r="S982" s="10"/>
      <c r="T982" s="10"/>
      <c r="U982" s="10">
        <f t="shared" si="4"/>
        <v>1</v>
      </c>
      <c r="V982" s="10"/>
      <c r="W982" s="10"/>
      <c r="X982" s="10"/>
      <c r="Y982" s="10"/>
      <c r="Z982" s="10"/>
    </row>
    <row r="983" ht="13.5" customHeight="1">
      <c r="A983" s="10">
        <f>dataset_1!A528</f>
        <v>527</v>
      </c>
      <c r="B983" s="11">
        <f>dataset_1!B528</f>
        <v>40567</v>
      </c>
      <c r="C983" s="10">
        <f>dataset_1!C528</f>
        <v>1</v>
      </c>
      <c r="D983" s="10">
        <f>dataset_1!D528</f>
        <v>0</v>
      </c>
      <c r="E983" s="10">
        <f>dataset_1!E528</f>
        <v>1</v>
      </c>
      <c r="F983" s="10">
        <f>dataset_1!F528</f>
        <v>1</v>
      </c>
      <c r="G983" s="10" t="b">
        <f>dataset_1!G528</f>
        <v>0</v>
      </c>
      <c r="H983" s="10">
        <f>dataset_1!H528</f>
        <v>1</v>
      </c>
      <c r="I983" s="10">
        <f>dataset_1!I528</f>
        <v>1</v>
      </c>
      <c r="J983" s="10">
        <f>dataset_1!J528</f>
        <v>0.04</v>
      </c>
      <c r="K983" s="10">
        <f>VLOOKUP(A983,dataset_2!$A$2:$G$611,2,0)</f>
        <v>0.0455</v>
      </c>
      <c r="L983" s="10">
        <f>VLOOKUP(A983,dataset_2!$A$2:$G$611,3,0)</f>
        <v>0.45</v>
      </c>
      <c r="M983" s="10">
        <f>VLOOKUP(A983,dataset_2!$A$2:$G$611,4,0)</f>
        <v>0.194</v>
      </c>
      <c r="N983" s="10">
        <f>VLOOKUP(A983,dataset_2!$A$2:$G$611,5,0)</f>
        <v>0</v>
      </c>
      <c r="O983" s="10">
        <f>VLOOKUP(A983,dataset_2!$A$2:$G$611,6,0)</f>
        <v>1</v>
      </c>
      <c r="P983" s="10">
        <f>VLOOKUP(A983,dataset_2!$A$2:$G$611,7,0)</f>
        <v>1</v>
      </c>
      <c r="Q983" s="10"/>
      <c r="R983" s="10"/>
      <c r="S983" s="10"/>
      <c r="T983" s="10"/>
      <c r="U983" s="10">
        <f t="shared" si="4"/>
        <v>1</v>
      </c>
      <c r="V983" s="10"/>
      <c r="W983" s="10"/>
      <c r="X983" s="10"/>
      <c r="Y983" s="10"/>
      <c r="Z983" s="10"/>
    </row>
    <row r="984" ht="13.5" customHeight="1">
      <c r="A984" s="10">
        <f>dataset_1!A529</f>
        <v>528</v>
      </c>
      <c r="B984" s="11">
        <f>dataset_1!B529</f>
        <v>40567</v>
      </c>
      <c r="C984" s="10">
        <f>dataset_1!C529</f>
        <v>1</v>
      </c>
      <c r="D984" s="10">
        <f>dataset_1!D529</f>
        <v>0</v>
      </c>
      <c r="E984" s="10">
        <f>dataset_1!E529</f>
        <v>1</v>
      </c>
      <c r="F984" s="10">
        <f>dataset_1!F529</f>
        <v>3</v>
      </c>
      <c r="G984" s="10" t="b">
        <f>dataset_1!G529</f>
        <v>0</v>
      </c>
      <c r="H984" s="10">
        <f>dataset_1!H529</f>
        <v>1</v>
      </c>
      <c r="I984" s="10">
        <f>dataset_1!I529</f>
        <v>1</v>
      </c>
      <c r="J984" s="10">
        <f>dataset_1!J529</f>
        <v>0.04</v>
      </c>
      <c r="K984" s="10">
        <f>VLOOKUP(A984,dataset_2!$A$2:$G$611,2,0)</f>
        <v>0.0303</v>
      </c>
      <c r="L984" s="10">
        <f>VLOOKUP(A984,dataset_2!$A$2:$G$611,3,0)</f>
        <v>0.45</v>
      </c>
      <c r="M984" s="10">
        <f>VLOOKUP(A984,dataset_2!$A$2:$G$611,4,0)</f>
        <v>0.2537</v>
      </c>
      <c r="N984" s="10">
        <f>VLOOKUP(A984,dataset_2!$A$2:$G$611,5,0)</f>
        <v>0</v>
      </c>
      <c r="O984" s="10">
        <f>VLOOKUP(A984,dataset_2!$A$2:$G$611,6,0)</f>
        <v>1</v>
      </c>
      <c r="P984" s="10">
        <f>VLOOKUP(A984,dataset_2!$A$2:$G$611,7,0)</f>
        <v>1</v>
      </c>
      <c r="Q984" s="10"/>
      <c r="R984" s="10"/>
      <c r="S984" s="10"/>
      <c r="T984" s="10"/>
      <c r="U984" s="10">
        <f t="shared" si="4"/>
        <v>1</v>
      </c>
      <c r="V984" s="10"/>
      <c r="W984" s="10"/>
      <c r="X984" s="10"/>
      <c r="Y984" s="10"/>
      <c r="Z984" s="10"/>
    </row>
    <row r="985" ht="13.5" customHeight="1">
      <c r="A985" s="10">
        <f>dataset_1!A530</f>
        <v>529</v>
      </c>
      <c r="B985" s="11">
        <f>dataset_1!B530</f>
        <v>40567</v>
      </c>
      <c r="C985" s="10">
        <f>dataset_1!C530</f>
        <v>1</v>
      </c>
      <c r="D985" s="10">
        <f>dataset_1!D530</f>
        <v>0</v>
      </c>
      <c r="E985" s="10">
        <f>dataset_1!E530</f>
        <v>1</v>
      </c>
      <c r="F985" s="10">
        <f>dataset_1!F530</f>
        <v>4</v>
      </c>
      <c r="G985" s="10" t="b">
        <f>dataset_1!G530</f>
        <v>0</v>
      </c>
      <c r="H985" s="10">
        <f>dataset_1!H530</f>
        <v>1</v>
      </c>
      <c r="I985" s="10">
        <f>dataset_1!I530</f>
        <v>1</v>
      </c>
      <c r="J985" s="10">
        <f>dataset_1!J530</f>
        <v>0.02</v>
      </c>
      <c r="K985" s="10">
        <f>VLOOKUP(A985,dataset_2!$A$2:$G$611,2,0)</f>
        <v>0.0606</v>
      </c>
      <c r="L985" s="10">
        <f>VLOOKUP(A985,dataset_2!$A$2:$G$611,3,0)</f>
        <v>0.48</v>
      </c>
      <c r="M985" s="10">
        <f>VLOOKUP(A985,dataset_2!$A$2:$G$611,4,0)</f>
        <v>0.1343</v>
      </c>
      <c r="N985" s="10">
        <f>VLOOKUP(A985,dataset_2!$A$2:$G$611,5,0)</f>
        <v>0</v>
      </c>
      <c r="O985" s="10">
        <f>VLOOKUP(A985,dataset_2!$A$2:$G$611,6,0)</f>
        <v>1</v>
      </c>
      <c r="P985" s="10">
        <f>VLOOKUP(A985,dataset_2!$A$2:$G$611,7,0)</f>
        <v>1</v>
      </c>
      <c r="Q985" s="10"/>
      <c r="R985" s="10"/>
      <c r="S985" s="10"/>
      <c r="T985" s="10"/>
      <c r="U985" s="10">
        <f t="shared" si="4"/>
        <v>1</v>
      </c>
      <c r="V985" s="10"/>
      <c r="W985" s="10"/>
      <c r="X985" s="10"/>
      <c r="Y985" s="10"/>
      <c r="Z985" s="10"/>
    </row>
    <row r="986" ht="13.5" customHeight="1">
      <c r="A986" s="10">
        <f>dataset_1!A553</f>
        <v>552</v>
      </c>
      <c r="B986" s="11">
        <f>dataset_1!B553</f>
        <v>40568</v>
      </c>
      <c r="C986" s="10">
        <f>dataset_1!C553</f>
        <v>1</v>
      </c>
      <c r="D986" s="10">
        <f>dataset_1!D553</f>
        <v>0</v>
      </c>
      <c r="E986" s="10">
        <f>dataset_1!E553</f>
        <v>1</v>
      </c>
      <c r="F986" s="10">
        <f>dataset_1!F553</f>
        <v>4</v>
      </c>
      <c r="G986" s="10" t="b">
        <f>dataset_1!G553</f>
        <v>0</v>
      </c>
      <c r="H986" s="10">
        <f>dataset_1!H553</f>
        <v>2</v>
      </c>
      <c r="I986" s="10">
        <f>dataset_1!I553</f>
        <v>1</v>
      </c>
      <c r="J986" s="10">
        <f>dataset_1!J553</f>
        <v>0.14</v>
      </c>
      <c r="K986" s="10">
        <f>VLOOKUP(A986,dataset_2!$A$2:$G$611,2,0)</f>
        <v>0.1667</v>
      </c>
      <c r="L986" s="10">
        <f>VLOOKUP(A986,dataset_2!$A$2:$G$611,3,0)</f>
        <v>0.74</v>
      </c>
      <c r="M986" s="10">
        <f>VLOOKUP(A986,dataset_2!$A$2:$G$611,4,0)</f>
        <v>0.1045</v>
      </c>
      <c r="N986" s="10">
        <f>VLOOKUP(A986,dataset_2!$A$2:$G$611,5,0)</f>
        <v>0</v>
      </c>
      <c r="O986" s="10">
        <f>VLOOKUP(A986,dataset_2!$A$2:$G$611,6,0)</f>
        <v>1</v>
      </c>
      <c r="P986" s="10">
        <f>VLOOKUP(A986,dataset_2!$A$2:$G$611,7,0)</f>
        <v>1</v>
      </c>
      <c r="Q986" s="10"/>
      <c r="R986" s="10"/>
      <c r="S986" s="10"/>
      <c r="T986" s="10"/>
      <c r="U986" s="10">
        <f t="shared" si="4"/>
        <v>1</v>
      </c>
      <c r="V986" s="10"/>
      <c r="W986" s="10"/>
      <c r="X986" s="10"/>
      <c r="Y986" s="10"/>
      <c r="Z986" s="10"/>
    </row>
    <row r="987" ht="13.5" customHeight="1">
      <c r="A987" s="10">
        <f>dataset_1!A576</f>
        <v>575</v>
      </c>
      <c r="B987" s="11">
        <f>dataset_1!B576</f>
        <v>40569</v>
      </c>
      <c r="C987" s="10">
        <f>dataset_1!C576</f>
        <v>1</v>
      </c>
      <c r="D987" s="10">
        <f>dataset_1!D576</f>
        <v>0</v>
      </c>
      <c r="E987" s="10">
        <f>dataset_1!E576</f>
        <v>1</v>
      </c>
      <c r="F987" s="10">
        <f>dataset_1!F576</f>
        <v>5</v>
      </c>
      <c r="G987" s="10" t="b">
        <f>dataset_1!G576</f>
        <v>0</v>
      </c>
      <c r="H987" s="10">
        <f>dataset_1!H576</f>
        <v>3</v>
      </c>
      <c r="I987" s="10">
        <f>dataset_1!I576</f>
        <v>3</v>
      </c>
      <c r="J987" s="10">
        <f>dataset_1!J576</f>
        <v>0.2</v>
      </c>
      <c r="K987" s="10">
        <f>VLOOKUP(A987,dataset_2!$A$2:$G$611,2,0)</f>
        <v>0.1818</v>
      </c>
      <c r="L987" s="10">
        <f>VLOOKUP(A987,dataset_2!$A$2:$G$611,3,0)</f>
        <v>0.86</v>
      </c>
      <c r="M987" s="10">
        <f>VLOOKUP(A987,dataset_2!$A$2:$G$611,4,0)</f>
        <v>0.2836</v>
      </c>
      <c r="N987" s="10">
        <f>VLOOKUP(A987,dataset_2!$A$2:$G$611,5,0)</f>
        <v>0</v>
      </c>
      <c r="O987" s="10">
        <f>VLOOKUP(A987,dataset_2!$A$2:$G$611,6,0)</f>
        <v>1</v>
      </c>
      <c r="P987" s="10">
        <f>VLOOKUP(A987,dataset_2!$A$2:$G$611,7,0)</f>
        <v>1</v>
      </c>
      <c r="Q987" s="10"/>
      <c r="R987" s="10"/>
      <c r="S987" s="10"/>
      <c r="T987" s="10"/>
      <c r="U987" s="10">
        <f t="shared" si="4"/>
        <v>1</v>
      </c>
      <c r="V987" s="10"/>
      <c r="W987" s="10"/>
      <c r="X987" s="10"/>
      <c r="Y987" s="10"/>
      <c r="Z987" s="10"/>
    </row>
    <row r="988" ht="13.5" customHeight="1">
      <c r="A988" s="10">
        <f>dataset_1!A600</f>
        <v>599</v>
      </c>
      <c r="B988" s="11">
        <f>dataset_1!B600</f>
        <v>40571</v>
      </c>
      <c r="C988" s="10">
        <f>dataset_1!C600</f>
        <v>1</v>
      </c>
      <c r="D988" s="10">
        <f>dataset_1!D600</f>
        <v>0</v>
      </c>
      <c r="E988" s="10">
        <f>dataset_1!E600</f>
        <v>1</v>
      </c>
      <c r="F988" s="10">
        <f>dataset_1!F600</f>
        <v>3</v>
      </c>
      <c r="G988" s="10" t="b">
        <f>dataset_1!G600</f>
        <v>0</v>
      </c>
      <c r="H988" s="10">
        <f>dataset_1!H600</f>
        <v>5</v>
      </c>
      <c r="I988" s="10">
        <f>dataset_1!I600</f>
        <v>2</v>
      </c>
      <c r="J988" s="10">
        <f>dataset_1!J600</f>
        <v>0.2</v>
      </c>
      <c r="K988" s="10">
        <f>VLOOKUP(A988,dataset_2!$A$2:$G$611,2,0)</f>
        <v>0.2273</v>
      </c>
      <c r="L988" s="10">
        <f>VLOOKUP(A988,dataset_2!$A$2:$G$611,3,0)</f>
        <v>0.75</v>
      </c>
      <c r="M988" s="10">
        <f>VLOOKUP(A988,dataset_2!$A$2:$G$611,4,0)</f>
        <v>0.1045</v>
      </c>
      <c r="N988" s="10">
        <f>VLOOKUP(A988,dataset_2!$A$2:$G$611,5,0)</f>
        <v>1</v>
      </c>
      <c r="O988" s="10">
        <f>VLOOKUP(A988,dataset_2!$A$2:$G$611,6,0)</f>
        <v>0</v>
      </c>
      <c r="P988" s="10">
        <f>VLOOKUP(A988,dataset_2!$A$2:$G$611,7,0)</f>
        <v>1</v>
      </c>
      <c r="Q988" s="10"/>
      <c r="R988" s="10"/>
      <c r="S988" s="10"/>
      <c r="T988" s="10"/>
      <c r="U988" s="10">
        <f t="shared" si="4"/>
        <v>1</v>
      </c>
      <c r="V988" s="10"/>
      <c r="W988" s="10"/>
      <c r="X988" s="10"/>
      <c r="Y988" s="10"/>
      <c r="Z988" s="10"/>
    </row>
    <row r="989" ht="13.5" customHeight="1">
      <c r="A989" s="3">
        <v>646.0</v>
      </c>
      <c r="B989" s="12">
        <v>40573.0</v>
      </c>
      <c r="C989" s="3">
        <v>1.0</v>
      </c>
      <c r="D989" s="3">
        <v>0.0</v>
      </c>
      <c r="E989" s="3">
        <v>1.0</v>
      </c>
      <c r="F989" s="3">
        <v>4.0</v>
      </c>
      <c r="G989" s="3" t="b">
        <f t="shared" ref="G989:G1001" si="94">FALSE()</f>
        <v>0</v>
      </c>
      <c r="H989" s="3">
        <v>0.0</v>
      </c>
      <c r="I989" s="3">
        <v>1.0</v>
      </c>
      <c r="J989" s="3">
        <v>0.14</v>
      </c>
      <c r="K989" s="3">
        <v>0.2121</v>
      </c>
      <c r="L989" s="3">
        <v>0.93</v>
      </c>
      <c r="M989" s="3">
        <v>0.0</v>
      </c>
      <c r="N989" s="3">
        <v>0.0</v>
      </c>
      <c r="O989" s="3">
        <v>1.0</v>
      </c>
      <c r="P989" s="3">
        <v>1.0</v>
      </c>
      <c r="Q989" s="10"/>
      <c r="R989" s="10"/>
      <c r="S989" s="10"/>
      <c r="T989" s="10"/>
      <c r="U989" s="10">
        <f t="shared" si="4"/>
        <v>1</v>
      </c>
      <c r="V989" s="10"/>
      <c r="W989" s="10"/>
      <c r="X989" s="10"/>
      <c r="Y989" s="10"/>
      <c r="Z989" s="10"/>
    </row>
    <row r="990" ht="13.5" customHeight="1">
      <c r="A990" s="3">
        <v>667.0</v>
      </c>
      <c r="B990" s="12">
        <v>40574.0</v>
      </c>
      <c r="C990" s="3">
        <v>1.0</v>
      </c>
      <c r="D990" s="3">
        <v>0.0</v>
      </c>
      <c r="E990" s="3">
        <v>1.0</v>
      </c>
      <c r="F990" s="3">
        <v>2.0</v>
      </c>
      <c r="G990" s="3" t="b">
        <f t="shared" si="94"/>
        <v>0</v>
      </c>
      <c r="H990" s="3">
        <v>1.0</v>
      </c>
      <c r="I990" s="3">
        <v>1.0</v>
      </c>
      <c r="J990" s="3">
        <v>0.22</v>
      </c>
      <c r="K990" s="3">
        <v>0.2273</v>
      </c>
      <c r="L990" s="3">
        <v>0.64</v>
      </c>
      <c r="M990" s="3">
        <v>0.194</v>
      </c>
      <c r="N990" s="3">
        <v>0.0</v>
      </c>
      <c r="O990" s="3">
        <v>1.0</v>
      </c>
      <c r="P990" s="3">
        <v>1.0</v>
      </c>
      <c r="Q990" s="10"/>
      <c r="R990" s="10"/>
      <c r="S990" s="10"/>
      <c r="T990" s="10"/>
      <c r="U990" s="10">
        <f t="shared" si="4"/>
        <v>1</v>
      </c>
      <c r="V990" s="10"/>
      <c r="W990" s="10"/>
      <c r="X990" s="10"/>
      <c r="Y990" s="10"/>
      <c r="Z990" s="10"/>
    </row>
    <row r="991" ht="13.5" customHeight="1">
      <c r="A991" s="3">
        <v>715.0</v>
      </c>
      <c r="B991" s="12">
        <v>40576.0</v>
      </c>
      <c r="C991" s="3">
        <v>1.0</v>
      </c>
      <c r="D991" s="3">
        <v>0.0</v>
      </c>
      <c r="E991" s="3">
        <v>2.0</v>
      </c>
      <c r="F991" s="3">
        <v>3.0</v>
      </c>
      <c r="G991" s="3" t="b">
        <f t="shared" si="94"/>
        <v>0</v>
      </c>
      <c r="H991" s="3">
        <v>3.0</v>
      </c>
      <c r="I991" s="3">
        <v>3.0</v>
      </c>
      <c r="J991" s="3">
        <v>0.22</v>
      </c>
      <c r="K991" s="3">
        <v>0.2273</v>
      </c>
      <c r="L991" s="3">
        <v>0.93</v>
      </c>
      <c r="M991" s="3">
        <v>0.1343</v>
      </c>
      <c r="N991" s="3">
        <v>0.0</v>
      </c>
      <c r="O991" s="3">
        <v>1.0</v>
      </c>
      <c r="P991" s="3">
        <v>1.0</v>
      </c>
      <c r="Q991" s="10"/>
      <c r="R991" s="10"/>
      <c r="S991" s="10"/>
      <c r="T991" s="10"/>
      <c r="U991" s="10">
        <f t="shared" si="4"/>
        <v>1</v>
      </c>
      <c r="V991" s="10"/>
      <c r="W991" s="10"/>
      <c r="X991" s="10"/>
      <c r="Y991" s="10"/>
      <c r="Z991" s="10"/>
    </row>
    <row r="992" ht="13.5" customHeight="1">
      <c r="A992" s="3">
        <v>716.0</v>
      </c>
      <c r="B992" s="12">
        <v>40576.0</v>
      </c>
      <c r="C992" s="3">
        <v>1.0</v>
      </c>
      <c r="D992" s="3">
        <v>0.0</v>
      </c>
      <c r="E992" s="3">
        <v>2.0</v>
      </c>
      <c r="F992" s="3">
        <v>4.0</v>
      </c>
      <c r="G992" s="3" t="b">
        <f t="shared" si="94"/>
        <v>0</v>
      </c>
      <c r="H992" s="3">
        <v>3.0</v>
      </c>
      <c r="I992" s="3">
        <v>3.0</v>
      </c>
      <c r="J992" s="3">
        <v>0.22</v>
      </c>
      <c r="K992" s="3">
        <v>0.2121</v>
      </c>
      <c r="L992" s="3">
        <v>0.93</v>
      </c>
      <c r="M992" s="3">
        <v>0.2836</v>
      </c>
      <c r="N992" s="3">
        <v>0.0</v>
      </c>
      <c r="O992" s="3">
        <v>1.0</v>
      </c>
      <c r="P992" s="3">
        <v>1.0</v>
      </c>
      <c r="Q992" s="10"/>
      <c r="R992" s="10"/>
      <c r="S992" s="10"/>
      <c r="T992" s="10"/>
      <c r="U992" s="10">
        <f t="shared" si="4"/>
        <v>1</v>
      </c>
      <c r="V992" s="10"/>
      <c r="W992" s="10"/>
      <c r="X992" s="10"/>
      <c r="Y992" s="10"/>
      <c r="Z992" s="10"/>
    </row>
    <row r="993" ht="13.5" customHeight="1">
      <c r="A993" s="3">
        <v>739.0</v>
      </c>
      <c r="B993" s="12">
        <v>40577.0</v>
      </c>
      <c r="C993" s="3">
        <v>1.0</v>
      </c>
      <c r="D993" s="3">
        <v>0.0</v>
      </c>
      <c r="E993" s="3">
        <v>2.0</v>
      </c>
      <c r="F993" s="3">
        <v>3.0</v>
      </c>
      <c r="G993" s="3" t="b">
        <f t="shared" si="94"/>
        <v>0</v>
      </c>
      <c r="H993" s="3">
        <v>4.0</v>
      </c>
      <c r="I993" s="3">
        <v>1.0</v>
      </c>
      <c r="J993" s="3">
        <v>0.18</v>
      </c>
      <c r="K993" s="3">
        <v>0.1667</v>
      </c>
      <c r="L993" s="3">
        <v>0.43</v>
      </c>
      <c r="M993" s="3">
        <v>0.2537</v>
      </c>
      <c r="N993" s="3">
        <v>0.0</v>
      </c>
      <c r="O993" s="3">
        <v>1.0</v>
      </c>
      <c r="P993" s="3">
        <v>1.0</v>
      </c>
      <c r="Q993" s="10"/>
      <c r="R993" s="10"/>
      <c r="S993" s="10"/>
      <c r="T993" s="10"/>
      <c r="U993" s="10">
        <f t="shared" si="4"/>
        <v>1</v>
      </c>
      <c r="V993" s="10"/>
      <c r="W993" s="10"/>
      <c r="X993" s="10"/>
      <c r="Y993" s="10"/>
      <c r="Z993" s="10"/>
    </row>
    <row r="994" ht="13.5" customHeight="1">
      <c r="A994" s="3">
        <v>761.0</v>
      </c>
      <c r="B994" s="12">
        <v>40578.0</v>
      </c>
      <c r="C994" s="3">
        <v>1.0</v>
      </c>
      <c r="D994" s="3">
        <v>0.0</v>
      </c>
      <c r="E994" s="3">
        <v>2.0</v>
      </c>
      <c r="F994" s="3">
        <v>2.0</v>
      </c>
      <c r="G994" s="3" t="b">
        <f t="shared" si="94"/>
        <v>0</v>
      </c>
      <c r="H994" s="3">
        <v>5.0</v>
      </c>
      <c r="I994" s="3">
        <v>2.0</v>
      </c>
      <c r="J994" s="3">
        <v>0.14</v>
      </c>
      <c r="K994" s="3">
        <v>0.1667</v>
      </c>
      <c r="L994" s="3">
        <v>0.63</v>
      </c>
      <c r="M994" s="3">
        <v>0.1045</v>
      </c>
      <c r="N994" s="3">
        <v>0.0</v>
      </c>
      <c r="O994" s="3">
        <v>1.0</v>
      </c>
      <c r="P994" s="3">
        <v>1.0</v>
      </c>
      <c r="Q994" s="10"/>
      <c r="R994" s="10"/>
      <c r="S994" s="10"/>
      <c r="T994" s="10"/>
      <c r="U994" s="10">
        <f t="shared" si="4"/>
        <v>1</v>
      </c>
      <c r="V994" s="10"/>
      <c r="W994" s="10"/>
      <c r="X994" s="10"/>
      <c r="Y994" s="10"/>
      <c r="Z994" s="10"/>
    </row>
    <row r="995" ht="13.5" customHeight="1">
      <c r="A995" s="3">
        <v>762.0</v>
      </c>
      <c r="B995" s="12">
        <v>40578.0</v>
      </c>
      <c r="C995" s="3">
        <v>1.0</v>
      </c>
      <c r="D995" s="3">
        <v>0.0</v>
      </c>
      <c r="E995" s="3">
        <v>2.0</v>
      </c>
      <c r="F995" s="3">
        <v>3.0</v>
      </c>
      <c r="G995" s="3" t="b">
        <f t="shared" si="94"/>
        <v>0</v>
      </c>
      <c r="H995" s="3">
        <v>5.0</v>
      </c>
      <c r="I995" s="3">
        <v>2.0</v>
      </c>
      <c r="J995" s="3">
        <v>0.14</v>
      </c>
      <c r="K995" s="3">
        <v>0.1667</v>
      </c>
      <c r="L995" s="3">
        <v>0.63</v>
      </c>
      <c r="M995" s="3">
        <v>0.1045</v>
      </c>
      <c r="N995" s="3">
        <v>0.0</v>
      </c>
      <c r="O995" s="3">
        <v>1.0</v>
      </c>
      <c r="P995" s="3">
        <v>1.0</v>
      </c>
      <c r="Q995" s="10"/>
      <c r="R995" s="10"/>
      <c r="S995" s="10"/>
      <c r="T995" s="10"/>
      <c r="U995" s="10">
        <f t="shared" si="4"/>
        <v>1</v>
      </c>
      <c r="V995" s="10"/>
      <c r="W995" s="10"/>
      <c r="X995" s="10"/>
      <c r="Y995" s="10"/>
      <c r="Z995" s="10"/>
    </row>
    <row r="996" ht="13.5" customHeight="1">
      <c r="A996" s="3">
        <v>811.0</v>
      </c>
      <c r="B996" s="12">
        <v>40580.0</v>
      </c>
      <c r="C996" s="3">
        <v>1.0</v>
      </c>
      <c r="D996" s="3">
        <v>0.0</v>
      </c>
      <c r="E996" s="3">
        <v>2.0</v>
      </c>
      <c r="F996" s="3">
        <v>5.0</v>
      </c>
      <c r="G996" s="3" t="b">
        <f t="shared" si="94"/>
        <v>0</v>
      </c>
      <c r="H996" s="3">
        <v>0.0</v>
      </c>
      <c r="I996" s="3">
        <v>1.0</v>
      </c>
      <c r="J996" s="3">
        <v>0.26</v>
      </c>
      <c r="K996" s="3">
        <v>0.2576</v>
      </c>
      <c r="L996" s="3">
        <v>0.6</v>
      </c>
      <c r="M996" s="3">
        <v>0.2239</v>
      </c>
      <c r="N996" s="3">
        <v>0.0</v>
      </c>
      <c r="O996" s="3">
        <v>1.0</v>
      </c>
      <c r="P996" s="3">
        <v>1.0</v>
      </c>
      <c r="Q996" s="10"/>
      <c r="R996" s="10"/>
      <c r="S996" s="10"/>
      <c r="T996" s="10"/>
      <c r="U996" s="10">
        <f t="shared" si="4"/>
        <v>1</v>
      </c>
      <c r="V996" s="10"/>
      <c r="W996" s="10"/>
      <c r="X996" s="10"/>
      <c r="Y996" s="10"/>
      <c r="Z996" s="10"/>
    </row>
    <row r="997" ht="13.5" customHeight="1">
      <c r="A997" s="3">
        <v>812.0</v>
      </c>
      <c r="B997" s="12">
        <v>40580.0</v>
      </c>
      <c r="C997" s="3">
        <v>1.0</v>
      </c>
      <c r="D997" s="3">
        <v>0.0</v>
      </c>
      <c r="E997" s="3">
        <v>2.0</v>
      </c>
      <c r="F997" s="3">
        <v>6.0</v>
      </c>
      <c r="G997" s="3" t="b">
        <f t="shared" si="94"/>
        <v>0</v>
      </c>
      <c r="H997" s="3">
        <v>0.0</v>
      </c>
      <c r="I997" s="3">
        <v>1.0</v>
      </c>
      <c r="J997" s="3">
        <v>0.26</v>
      </c>
      <c r="K997" s="3">
        <v>0.2576</v>
      </c>
      <c r="L997" s="3">
        <v>0.6</v>
      </c>
      <c r="M997" s="3">
        <v>0.2239</v>
      </c>
      <c r="N997" s="3">
        <v>0.0</v>
      </c>
      <c r="O997" s="3">
        <v>1.0</v>
      </c>
      <c r="P997" s="3">
        <v>1.0</v>
      </c>
      <c r="Q997" s="10"/>
      <c r="R997" s="10"/>
      <c r="S997" s="10"/>
      <c r="T997" s="10"/>
      <c r="U997" s="10">
        <f t="shared" si="4"/>
        <v>1</v>
      </c>
      <c r="V997" s="10"/>
      <c r="W997" s="10"/>
      <c r="X997" s="10"/>
      <c r="Y997" s="10"/>
      <c r="Z997" s="10"/>
    </row>
    <row r="998" ht="13.5" customHeight="1">
      <c r="A998" s="3">
        <v>833.0</v>
      </c>
      <c r="B998" s="12">
        <v>40581.0</v>
      </c>
      <c r="C998" s="3">
        <v>1.0</v>
      </c>
      <c r="D998" s="3">
        <v>0.0</v>
      </c>
      <c r="E998" s="3">
        <v>2.0</v>
      </c>
      <c r="F998" s="3">
        <v>3.0</v>
      </c>
      <c r="G998" s="3" t="b">
        <f t="shared" si="94"/>
        <v>0</v>
      </c>
      <c r="H998" s="3">
        <v>1.0</v>
      </c>
      <c r="I998" s="3">
        <v>1.0</v>
      </c>
      <c r="J998" s="3">
        <v>0.2</v>
      </c>
      <c r="K998" s="3">
        <v>0.2576</v>
      </c>
      <c r="L998" s="3">
        <v>0.86</v>
      </c>
      <c r="M998" s="3">
        <v>0.0</v>
      </c>
      <c r="N998" s="3">
        <v>0.0</v>
      </c>
      <c r="O998" s="3">
        <v>1.0</v>
      </c>
      <c r="P998" s="3">
        <v>1.0</v>
      </c>
      <c r="Q998" s="10"/>
      <c r="R998" s="10"/>
      <c r="S998" s="10"/>
      <c r="T998" s="10"/>
      <c r="U998" s="10">
        <f t="shared" si="4"/>
        <v>1</v>
      </c>
      <c r="V998" s="10"/>
      <c r="W998" s="10"/>
      <c r="X998" s="10"/>
      <c r="Y998" s="10"/>
      <c r="Z998" s="10"/>
    </row>
    <row r="999" ht="13.5" customHeight="1">
      <c r="A999" s="3">
        <v>857.0</v>
      </c>
      <c r="B999" s="12">
        <v>40582.0</v>
      </c>
      <c r="C999" s="3">
        <v>1.0</v>
      </c>
      <c r="D999" s="3">
        <v>0.0</v>
      </c>
      <c r="E999" s="3">
        <v>2.0</v>
      </c>
      <c r="F999" s="3">
        <v>3.0</v>
      </c>
      <c r="G999" s="3" t="b">
        <f t="shared" si="94"/>
        <v>0</v>
      </c>
      <c r="H999" s="3">
        <v>2.0</v>
      </c>
      <c r="I999" s="3">
        <v>3.0</v>
      </c>
      <c r="J999" s="3">
        <v>0.28</v>
      </c>
      <c r="K999" s="3">
        <v>0.2727</v>
      </c>
      <c r="L999" s="3">
        <v>0.93</v>
      </c>
      <c r="M999" s="3">
        <v>0.1642</v>
      </c>
      <c r="N999" s="3">
        <v>0.0</v>
      </c>
      <c r="O999" s="3">
        <v>1.0</v>
      </c>
      <c r="P999" s="3">
        <v>1.0</v>
      </c>
      <c r="Q999" s="10"/>
      <c r="R999" s="10"/>
      <c r="S999" s="10"/>
      <c r="T999" s="10"/>
      <c r="U999" s="10">
        <f t="shared" si="4"/>
        <v>1</v>
      </c>
      <c r="V999" s="10"/>
      <c r="W999" s="10"/>
      <c r="X999" s="10"/>
      <c r="Y999" s="10"/>
      <c r="Z999" s="10"/>
    </row>
    <row r="1000" ht="13.5" customHeight="1">
      <c r="A1000" s="3">
        <v>904.0</v>
      </c>
      <c r="B1000" s="12">
        <v>40584.0</v>
      </c>
      <c r="C1000" s="3">
        <v>1.0</v>
      </c>
      <c r="D1000" s="3">
        <v>0.0</v>
      </c>
      <c r="E1000" s="3">
        <v>2.0</v>
      </c>
      <c r="F1000" s="3">
        <v>4.0</v>
      </c>
      <c r="G1000" s="3" t="b">
        <f t="shared" si="94"/>
        <v>0</v>
      </c>
      <c r="H1000" s="3">
        <v>4.0</v>
      </c>
      <c r="I1000" s="3">
        <v>2.0</v>
      </c>
      <c r="J1000" s="3">
        <v>0.14</v>
      </c>
      <c r="K1000" s="3">
        <v>0.1364</v>
      </c>
      <c r="L1000" s="3">
        <v>0.59</v>
      </c>
      <c r="M1000" s="3">
        <v>0.2239</v>
      </c>
      <c r="N1000" s="3">
        <v>0.0</v>
      </c>
      <c r="O1000" s="3">
        <v>1.0</v>
      </c>
      <c r="P1000" s="3">
        <v>1.0</v>
      </c>
      <c r="Q1000" s="10"/>
      <c r="R1000" s="10"/>
      <c r="S1000" s="10"/>
      <c r="T1000" s="10"/>
      <c r="U1000" s="10">
        <f t="shared" si="4"/>
        <v>1</v>
      </c>
      <c r="V1000" s="10"/>
      <c r="W1000" s="10"/>
      <c r="X1000" s="10"/>
      <c r="Y1000" s="10"/>
      <c r="Z1000" s="10"/>
    </row>
    <row r="1001" ht="13.5" customHeight="1">
      <c r="A1001" s="3">
        <v>951.0</v>
      </c>
      <c r="B1001" s="12">
        <v>40586.0</v>
      </c>
      <c r="C1001" s="3">
        <v>1.0</v>
      </c>
      <c r="D1001" s="3">
        <v>0.0</v>
      </c>
      <c r="E1001" s="3">
        <v>2.0</v>
      </c>
      <c r="F1001" s="3">
        <v>5.0</v>
      </c>
      <c r="G1001" s="3" t="b">
        <f t="shared" si="94"/>
        <v>0</v>
      </c>
      <c r="H1001" s="3">
        <v>6.0</v>
      </c>
      <c r="I1001" s="3">
        <v>1.0</v>
      </c>
      <c r="J1001" s="3">
        <v>0.12</v>
      </c>
      <c r="K1001" s="3">
        <v>0.1667</v>
      </c>
      <c r="L1001" s="3">
        <v>0.74</v>
      </c>
      <c r="M1001" s="3">
        <v>0.0896</v>
      </c>
      <c r="N1001" s="3">
        <v>0.0</v>
      </c>
      <c r="O1001" s="3">
        <v>1.0</v>
      </c>
      <c r="P1001" s="3">
        <v>1.0</v>
      </c>
      <c r="Q1001" s="10"/>
      <c r="R1001" s="10"/>
      <c r="S1001" s="10"/>
      <c r="T1001" s="10"/>
      <c r="U1001" s="10">
        <f t="shared" si="4"/>
        <v>1</v>
      </c>
      <c r="V1001" s="10"/>
      <c r="W1001" s="10"/>
      <c r="X1001" s="10"/>
      <c r="Y1001" s="10"/>
      <c r="Z1001" s="10"/>
    </row>
  </sheetData>
  <autoFilter ref="$A$1:$P$1001"/>
  <customSheetViews>
    <customSheetView guid="{0219E367-7BBD-41BC-977E-22F69AA9EC65}" filter="1" showAutoFilter="1">
      <autoFilter ref="$A$1:$P$1001"/>
    </customSheetView>
  </customSheetViews>
  <conditionalFormatting sqref="P1:P1001">
    <cfRule type="cellIs" dxfId="1" priority="1" operator="equal">
      <formula>0</formula>
    </cfRule>
  </conditionalFormatting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7.25"/>
    <col customWidth="1" min="3" max="9" width="11.5"/>
    <col customWidth="1" min="10" max="10" width="19.75"/>
    <col customWidth="1" min="11" max="11" width="13.88"/>
    <col customWidth="1" min="12" max="26" width="11.5"/>
  </cols>
  <sheetData>
    <row r="1" ht="12.75" customHeight="1">
      <c r="A1" s="13" t="s">
        <v>25</v>
      </c>
      <c r="B1" s="14"/>
      <c r="C1" s="8"/>
      <c r="D1" s="8"/>
      <c r="E1" s="8"/>
      <c r="F1" s="8"/>
      <c r="G1" s="8"/>
      <c r="H1" s="8"/>
      <c r="I1" s="8"/>
      <c r="J1" s="15" t="s">
        <v>26</v>
      </c>
      <c r="K1" s="16" t="s">
        <v>27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2.75" customHeight="1">
      <c r="A2" s="17" t="s">
        <v>28</v>
      </c>
      <c r="B2" s="18">
        <f>SUM(dataset_A!P2:P1001)</f>
        <v>58304</v>
      </c>
      <c r="C2" s="8"/>
      <c r="D2" s="8"/>
      <c r="E2" s="8"/>
      <c r="F2" s="8"/>
      <c r="G2" s="8"/>
      <c r="H2" s="8"/>
      <c r="I2" s="8"/>
      <c r="J2" s="19" t="s">
        <v>29</v>
      </c>
      <c r="K2" s="20">
        <f>SUM(dataset_A!P2:P1001)</f>
        <v>58304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2.75" customHeight="1">
      <c r="A3" s="17" t="s">
        <v>30</v>
      </c>
      <c r="B3" s="18">
        <f>AVERAGE(dataset_A!P2:P1001)</f>
        <v>58.304</v>
      </c>
      <c r="C3" s="8"/>
      <c r="D3" s="8"/>
      <c r="E3" s="8"/>
      <c r="F3" s="8"/>
      <c r="G3" s="8"/>
      <c r="H3" s="8"/>
      <c r="I3" s="8"/>
      <c r="J3" s="19" t="s">
        <v>31</v>
      </c>
      <c r="K3" s="18">
        <f>AVERAGE(dataset_A!P2:P1001)</f>
        <v>58.304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2.75" customHeight="1">
      <c r="A4" s="17" t="s">
        <v>32</v>
      </c>
      <c r="B4" s="18">
        <f>COUNT(dataset_A!P2:P1001)</f>
        <v>1000</v>
      </c>
      <c r="C4" s="8"/>
      <c r="D4" s="8"/>
      <c r="E4" s="8"/>
      <c r="F4" s="8"/>
      <c r="G4" s="8"/>
      <c r="H4" s="8"/>
      <c r="I4" s="8"/>
      <c r="J4" s="19" t="s">
        <v>33</v>
      </c>
      <c r="K4" s="18">
        <f>MIN(dataset_A!P2:P1001)</f>
        <v>1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2.75" customHeight="1">
      <c r="A5" s="17" t="s">
        <v>33</v>
      </c>
      <c r="B5" s="18">
        <f>MIN(dataset_A!P2:P1001)</f>
        <v>1</v>
      </c>
      <c r="C5" s="8"/>
      <c r="D5" s="8"/>
      <c r="E5" s="8"/>
      <c r="F5" s="8"/>
      <c r="G5" s="8"/>
      <c r="H5" s="8"/>
      <c r="I5" s="8"/>
      <c r="J5" s="19" t="s">
        <v>34</v>
      </c>
      <c r="K5" s="18">
        <f>MAX(dataset_A!P2:P1001)</f>
        <v>249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2.75" customHeight="1">
      <c r="A6" s="21" t="s">
        <v>34</v>
      </c>
      <c r="B6" s="22">
        <f>MAX(dataset_A!P2:P1001)</f>
        <v>249</v>
      </c>
      <c r="C6" s="8"/>
      <c r="D6" s="8"/>
      <c r="E6" s="8"/>
      <c r="F6" s="8"/>
      <c r="G6" s="8"/>
      <c r="H6" s="8"/>
      <c r="I6" s="8"/>
      <c r="J6" s="19" t="s">
        <v>35</v>
      </c>
      <c r="K6" s="18">
        <f>STDEV(dataset_A!P2:P1001)</f>
        <v>50.98555787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2.75" customHeight="1">
      <c r="A7" s="23"/>
      <c r="B7" s="24"/>
      <c r="C7" s="8"/>
      <c r="D7" s="8"/>
      <c r="E7" s="8"/>
      <c r="F7" s="8"/>
      <c r="G7" s="8"/>
      <c r="H7" s="8"/>
      <c r="I7" s="8"/>
      <c r="J7" s="19" t="s">
        <v>36</v>
      </c>
      <c r="K7" s="18">
        <f>CORREL(dataset_A!J2:J1001,dataset_A!P2:P1001)</f>
        <v>0.2292915539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2.75" customHeight="1">
      <c r="A8" s="13" t="s">
        <v>37</v>
      </c>
      <c r="B8" s="14"/>
      <c r="C8" s="8"/>
      <c r="D8" s="8"/>
      <c r="E8" s="8"/>
      <c r="F8" s="8"/>
      <c r="G8" s="8"/>
      <c r="H8" s="8"/>
      <c r="I8" s="8"/>
      <c r="J8" s="17"/>
      <c r="K8" s="1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2.75" customHeight="1">
      <c r="A9" s="17" t="s">
        <v>38</v>
      </c>
      <c r="B9" s="18">
        <f>YEAR(dataset_A!B2)</f>
        <v>2011</v>
      </c>
      <c r="C9" s="8"/>
      <c r="D9" s="8"/>
      <c r="E9" s="8"/>
      <c r="F9" s="8"/>
      <c r="G9" s="8"/>
      <c r="H9" s="8"/>
      <c r="I9" s="8"/>
      <c r="J9" s="17" t="s">
        <v>39</v>
      </c>
      <c r="K9" s="18">
        <f>COUNTIF(feature_engineering!G2:GC91001,"Weekend")</f>
        <v>330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2.75" customHeight="1">
      <c r="A10" s="17" t="s">
        <v>40</v>
      </c>
      <c r="B10" s="18" t="str">
        <f>RIGHT(TEXT(dataset_A!B2,"YYYY-MM-DD"),2)</f>
        <v>20</v>
      </c>
      <c r="C10" s="8"/>
      <c r="D10" s="8"/>
      <c r="E10" s="8"/>
      <c r="F10" s="8"/>
      <c r="G10" s="8"/>
      <c r="H10" s="8"/>
      <c r="I10" s="8"/>
      <c r="J10" s="17" t="s">
        <v>41</v>
      </c>
      <c r="K10" s="18">
        <f>COUNTIF(feature_engineering!G2:G1001,"Weekday")</f>
        <v>670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2.75" customHeight="1">
      <c r="A11" s="21" t="s">
        <v>42</v>
      </c>
      <c r="B11" s="22">
        <f>LEN(TEXT(dataset_A!B2,"YYYY-MM-DD"))</f>
        <v>10</v>
      </c>
      <c r="C11" s="8"/>
      <c r="D11" s="8"/>
      <c r="E11" s="8"/>
      <c r="F11" s="8"/>
      <c r="G11" s="8"/>
      <c r="H11" s="8"/>
      <c r="I11" s="8"/>
      <c r="J11" s="17"/>
      <c r="K11" s="1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2.75" customHeight="1">
      <c r="A12" s="8"/>
      <c r="B12" s="25"/>
      <c r="C12" s="8"/>
      <c r="D12" s="8"/>
      <c r="E12" s="8"/>
      <c r="F12" s="8"/>
      <c r="G12" s="8"/>
      <c r="H12" s="8"/>
      <c r="I12" s="8"/>
      <c r="J12" s="17" t="s">
        <v>43</v>
      </c>
      <c r="K12" s="18">
        <f>SUMIF(feature_engineering!G2:G1001,"Weekend",feature_engineering!M2:M1001)</f>
        <v>15869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2.75" customHeight="1">
      <c r="A13" s="26" t="s">
        <v>44</v>
      </c>
      <c r="B13" s="27" t="s">
        <v>45</v>
      </c>
      <c r="C13" s="28" t="s">
        <v>46</v>
      </c>
      <c r="D13" s="8"/>
      <c r="E13" s="8"/>
      <c r="F13" s="8"/>
      <c r="G13" s="8"/>
      <c r="H13" s="8"/>
      <c r="I13" s="8"/>
      <c r="J13" s="21" t="s">
        <v>47</v>
      </c>
      <c r="K13" s="22">
        <f>SUMIF(feature_engineering!G2:G1001,"Weekday",feature_engineering!M2:M1001)</f>
        <v>42435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2.75" customHeight="1">
      <c r="A14" s="29" t="s">
        <v>48</v>
      </c>
      <c r="B14" s="30">
        <f>COUNT(dataset_A!A2:A1001)</f>
        <v>1000</v>
      </c>
      <c r="C14" s="31" t="str">
        <f>IF(B14=1000,"Pass","Check")</f>
        <v>Pass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2.75" customHeight="1">
      <c r="A15" s="17" t="s">
        <v>49</v>
      </c>
      <c r="B15" s="32">
        <f>COUNTA(dataset_A!A1:P1)</f>
        <v>16</v>
      </c>
      <c r="C15" s="18" t="str">
        <f>IF(B15=16,"Pass","Check")</f>
        <v>Pass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2.75" customHeight="1">
      <c r="A16" s="17" t="s">
        <v>50</v>
      </c>
      <c r="B16" s="32">
        <f>COUNTBLANK(dataset_A!A2:P1001)</f>
        <v>11</v>
      </c>
      <c r="C16" s="18" t="str">
        <f t="shared" ref="C16:C17" si="1">IF(B16=0,"Pass","Check")</f>
        <v>Check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2.75" customHeight="1">
      <c r="A17" s="17" t="s">
        <v>51</v>
      </c>
      <c r="B17" s="32">
        <f t="array" ref="B17">SUMPRODUCT(COUNTIF(dataset_A!A2:A1001,dataset_A!A2:A1001)&gt;1)</f>
        <v>0</v>
      </c>
      <c r="C17" s="18" t="str">
        <f t="shared" si="1"/>
        <v>Pass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2.75" customHeight="1">
      <c r="A18" s="17" t="s">
        <v>20</v>
      </c>
      <c r="B18" s="32" t="str">
        <f>IF(N2+O2=P2,"Ok","Error")</f>
        <v>Ok</v>
      </c>
      <c r="C18" s="18" t="str">
        <f>IF(B18="Ok","Pass","Check")</f>
        <v>Pass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2.75" customHeight="1">
      <c r="A19" s="17" t="s">
        <v>52</v>
      </c>
      <c r="B19" s="32">
        <f>MIN(dataset_A!A2:A1001)</f>
        <v>1</v>
      </c>
      <c r="C19" s="1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2.75" customHeight="1">
      <c r="A20" s="17" t="s">
        <v>53</v>
      </c>
      <c r="B20" s="32">
        <f>MAX(dataset_A!A2:A1001)</f>
        <v>1000</v>
      </c>
      <c r="C20" s="1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2.75" customHeight="1">
      <c r="A21" s="21" t="s">
        <v>54</v>
      </c>
      <c r="B21" s="33">
        <f>COUNTIF(feature_engineering!T2:T1001,"Check")</f>
        <v>0</v>
      </c>
      <c r="C21" s="22" t="str">
        <f>IF(B21=0,"Pass","Check")</f>
        <v>Pass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2.75" customHeight="1">
      <c r="A22" s="8"/>
      <c r="B22" s="25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2.75" customHeight="1">
      <c r="A23" s="8"/>
      <c r="B23" s="25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2.75" customHeight="1">
      <c r="A24" s="8"/>
      <c r="B24" s="25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2.75" customHeight="1">
      <c r="A25" s="8"/>
      <c r="B25" s="25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2.75" customHeight="1">
      <c r="A26" s="8"/>
      <c r="B26" s="25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2.75" customHeight="1">
      <c r="A27" s="8"/>
      <c r="B27" s="25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2.75" customHeight="1">
      <c r="A28" s="8"/>
      <c r="B28" s="25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2.75" customHeight="1">
      <c r="A29" s="8"/>
      <c r="B29" s="25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2.75" customHeight="1">
      <c r="A30" s="8"/>
      <c r="B30" s="25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2.75" customHeight="1">
      <c r="A31" s="8"/>
      <c r="B31" s="25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2.75" customHeight="1">
      <c r="A32" s="8"/>
      <c r="B32" s="25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2.75" customHeight="1">
      <c r="A33" s="8"/>
      <c r="B33" s="25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2.75" customHeight="1">
      <c r="A34" s="8"/>
      <c r="B34" s="25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2.75" customHeight="1">
      <c r="A35" s="8"/>
      <c r="B35" s="25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2.75" customHeight="1">
      <c r="A36" s="8"/>
      <c r="B36" s="25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2.75" customHeight="1">
      <c r="A37" s="8"/>
      <c r="B37" s="25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2.75" customHeight="1">
      <c r="A38" s="8"/>
      <c r="B38" s="25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2.75" customHeight="1">
      <c r="A39" s="8"/>
      <c r="B39" s="25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2.75" customHeight="1">
      <c r="A40" s="8"/>
      <c r="B40" s="25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2.75" customHeight="1">
      <c r="A41" s="8"/>
      <c r="B41" s="25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2.75" customHeight="1">
      <c r="A42" s="8"/>
      <c r="B42" s="25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2.75" customHeight="1">
      <c r="A43" s="8"/>
      <c r="B43" s="25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2.75" customHeight="1">
      <c r="A44" s="8"/>
      <c r="B44" s="25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2.75" customHeight="1">
      <c r="A45" s="8"/>
      <c r="B45" s="25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2.75" customHeight="1">
      <c r="A46" s="8"/>
      <c r="B46" s="25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2.75" customHeight="1">
      <c r="A47" s="8"/>
      <c r="B47" s="25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2.75" customHeight="1">
      <c r="A48" s="8"/>
      <c r="B48" s="25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2.75" customHeight="1">
      <c r="A49" s="8"/>
      <c r="B49" s="25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2.75" customHeight="1">
      <c r="A50" s="8"/>
      <c r="B50" s="25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2.75" customHeight="1">
      <c r="A51" s="8"/>
      <c r="B51" s="25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2.75" customHeight="1">
      <c r="A52" s="8"/>
      <c r="B52" s="25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2.75" customHeight="1">
      <c r="A53" s="8"/>
      <c r="B53" s="25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2.75" customHeight="1">
      <c r="A54" s="8"/>
      <c r="B54" s="25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2.75" customHeight="1">
      <c r="A55" s="8"/>
      <c r="B55" s="25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2.75" customHeight="1">
      <c r="A56" s="8"/>
      <c r="B56" s="25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2.75" customHeight="1">
      <c r="A57" s="8"/>
      <c r="B57" s="25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2.75" customHeight="1">
      <c r="A58" s="8"/>
      <c r="B58" s="25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2.75" customHeight="1">
      <c r="A59" s="8"/>
      <c r="B59" s="25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2.75" customHeight="1">
      <c r="A60" s="8"/>
      <c r="B60" s="25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2.75" customHeight="1">
      <c r="A61" s="8"/>
      <c r="B61" s="25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2.75" customHeight="1">
      <c r="A62" s="8"/>
      <c r="B62" s="25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2.75" customHeight="1">
      <c r="A63" s="8"/>
      <c r="B63" s="25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2.75" customHeight="1">
      <c r="A64" s="8"/>
      <c r="B64" s="25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2.75" customHeight="1">
      <c r="A65" s="8"/>
      <c r="B65" s="25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2.75" customHeight="1">
      <c r="A66" s="8"/>
      <c r="B66" s="25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2.75" customHeight="1">
      <c r="A67" s="8"/>
      <c r="B67" s="25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2.75" customHeight="1">
      <c r="A68" s="8"/>
      <c r="B68" s="25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2.75" customHeight="1">
      <c r="A69" s="8"/>
      <c r="B69" s="25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2.75" customHeight="1">
      <c r="A70" s="8"/>
      <c r="B70" s="25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2.75" customHeight="1">
      <c r="A71" s="8"/>
      <c r="B71" s="25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2.75" customHeight="1">
      <c r="A72" s="8"/>
      <c r="B72" s="25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2.75" customHeight="1">
      <c r="A73" s="8"/>
      <c r="B73" s="25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2.75" customHeight="1">
      <c r="A74" s="8"/>
      <c r="B74" s="25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2.75" customHeight="1">
      <c r="A75" s="8"/>
      <c r="B75" s="25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2.75" customHeight="1">
      <c r="A76" s="8"/>
      <c r="B76" s="25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2.75" customHeight="1">
      <c r="A77" s="8"/>
      <c r="B77" s="25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2.75" customHeight="1">
      <c r="A78" s="8"/>
      <c r="B78" s="25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2.75" customHeight="1">
      <c r="A79" s="8"/>
      <c r="B79" s="25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2.75" customHeight="1">
      <c r="A80" s="8"/>
      <c r="B80" s="25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2.75" customHeight="1">
      <c r="A81" s="8"/>
      <c r="B81" s="25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2.75" customHeight="1">
      <c r="A82" s="8"/>
      <c r="B82" s="25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2.75" customHeight="1">
      <c r="A83" s="8"/>
      <c r="B83" s="25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2.75" customHeight="1">
      <c r="A84" s="8"/>
      <c r="B84" s="25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2.75" customHeight="1">
      <c r="A85" s="8"/>
      <c r="B85" s="25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2.75" customHeight="1">
      <c r="A86" s="8"/>
      <c r="B86" s="25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2.75" customHeight="1">
      <c r="A87" s="8"/>
      <c r="B87" s="25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2.75" customHeight="1">
      <c r="A88" s="8"/>
      <c r="B88" s="25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2.75" customHeight="1">
      <c r="A89" s="8"/>
      <c r="B89" s="25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2.75" customHeight="1">
      <c r="A90" s="8"/>
      <c r="B90" s="25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2.75" customHeight="1">
      <c r="A91" s="8"/>
      <c r="B91" s="25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2.75" customHeight="1">
      <c r="A92" s="8"/>
      <c r="B92" s="25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2.75" customHeight="1">
      <c r="A93" s="8"/>
      <c r="B93" s="25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2.75" customHeight="1">
      <c r="A94" s="8"/>
      <c r="B94" s="25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2.75" customHeight="1">
      <c r="A95" s="8"/>
      <c r="B95" s="25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2.75" customHeight="1">
      <c r="A96" s="8"/>
      <c r="B96" s="25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2.75" customHeight="1">
      <c r="A97" s="8"/>
      <c r="B97" s="25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2.75" customHeight="1">
      <c r="A98" s="8"/>
      <c r="B98" s="25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2.75" customHeight="1">
      <c r="A99" s="8"/>
      <c r="B99" s="25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2.75" customHeight="1">
      <c r="A100" s="8"/>
      <c r="B100" s="25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2.75" customHeight="1">
      <c r="A101" s="8"/>
      <c r="B101" s="25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2.75" customHeight="1">
      <c r="A102" s="8"/>
      <c r="B102" s="25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2.75" customHeight="1">
      <c r="A103" s="8"/>
      <c r="B103" s="25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2.75" customHeight="1">
      <c r="A104" s="8"/>
      <c r="B104" s="25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2.75" customHeight="1">
      <c r="A105" s="8"/>
      <c r="B105" s="25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2.75" customHeight="1">
      <c r="A106" s="8"/>
      <c r="B106" s="25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2.75" customHeight="1">
      <c r="A107" s="8"/>
      <c r="B107" s="25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2.75" customHeight="1">
      <c r="A108" s="8"/>
      <c r="B108" s="25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2.75" customHeight="1">
      <c r="A109" s="8"/>
      <c r="B109" s="25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2.75" customHeight="1">
      <c r="A110" s="8"/>
      <c r="B110" s="25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2.75" customHeight="1">
      <c r="A111" s="8"/>
      <c r="B111" s="25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2.75" customHeight="1">
      <c r="A112" s="8"/>
      <c r="B112" s="25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2.75" customHeight="1">
      <c r="A113" s="8"/>
      <c r="B113" s="25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2.75" customHeight="1">
      <c r="A114" s="8"/>
      <c r="B114" s="25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2.75" customHeight="1">
      <c r="A115" s="8"/>
      <c r="B115" s="25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2.75" customHeight="1">
      <c r="A116" s="8"/>
      <c r="B116" s="25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2.75" customHeight="1">
      <c r="A117" s="8"/>
      <c r="B117" s="25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2.75" customHeight="1">
      <c r="A118" s="8"/>
      <c r="B118" s="25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2.75" customHeight="1">
      <c r="A119" s="8"/>
      <c r="B119" s="25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2.75" customHeight="1">
      <c r="A120" s="8"/>
      <c r="B120" s="25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2.75" customHeight="1">
      <c r="A121" s="8"/>
      <c r="B121" s="25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2.75" customHeight="1">
      <c r="A122" s="8"/>
      <c r="B122" s="25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2.75" customHeight="1">
      <c r="A123" s="8"/>
      <c r="B123" s="25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2.75" customHeight="1">
      <c r="A124" s="8"/>
      <c r="B124" s="25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2.75" customHeight="1">
      <c r="A125" s="8"/>
      <c r="B125" s="25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2.75" customHeight="1">
      <c r="A126" s="8"/>
      <c r="B126" s="25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2.75" customHeight="1">
      <c r="A127" s="8"/>
      <c r="B127" s="25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2.75" customHeight="1">
      <c r="A128" s="8"/>
      <c r="B128" s="25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2.75" customHeight="1">
      <c r="A129" s="8"/>
      <c r="B129" s="25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2.75" customHeight="1">
      <c r="A130" s="8"/>
      <c r="B130" s="25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2.75" customHeight="1">
      <c r="A131" s="8"/>
      <c r="B131" s="25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2.75" customHeight="1">
      <c r="A132" s="8"/>
      <c r="B132" s="25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2.75" customHeight="1">
      <c r="A133" s="8"/>
      <c r="B133" s="25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2.75" customHeight="1">
      <c r="A134" s="8"/>
      <c r="B134" s="25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2.75" customHeight="1">
      <c r="A135" s="8"/>
      <c r="B135" s="25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2.75" customHeight="1">
      <c r="A136" s="8"/>
      <c r="B136" s="25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2.75" customHeight="1">
      <c r="A137" s="8"/>
      <c r="B137" s="25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2.75" customHeight="1">
      <c r="A138" s="8"/>
      <c r="B138" s="25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2.75" customHeight="1">
      <c r="A139" s="8"/>
      <c r="B139" s="25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2.75" customHeight="1">
      <c r="A140" s="8"/>
      <c r="B140" s="25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2.75" customHeight="1">
      <c r="A141" s="8"/>
      <c r="B141" s="25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2.75" customHeight="1">
      <c r="A142" s="8"/>
      <c r="B142" s="25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2.75" customHeight="1">
      <c r="A143" s="8"/>
      <c r="B143" s="25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2.75" customHeight="1">
      <c r="A144" s="8"/>
      <c r="B144" s="25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2.75" customHeight="1">
      <c r="A145" s="8"/>
      <c r="B145" s="25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2.75" customHeight="1">
      <c r="A146" s="8"/>
      <c r="B146" s="25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2.75" customHeight="1">
      <c r="A147" s="8"/>
      <c r="B147" s="25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2.75" customHeight="1">
      <c r="A148" s="8"/>
      <c r="B148" s="25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2.75" customHeight="1">
      <c r="A149" s="8"/>
      <c r="B149" s="25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2.75" customHeight="1">
      <c r="A150" s="8"/>
      <c r="B150" s="25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2.75" customHeight="1">
      <c r="A151" s="8"/>
      <c r="B151" s="25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2.75" customHeight="1">
      <c r="A152" s="8"/>
      <c r="B152" s="25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2.75" customHeight="1">
      <c r="A153" s="8"/>
      <c r="B153" s="25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2.75" customHeight="1">
      <c r="A154" s="8"/>
      <c r="B154" s="25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2.75" customHeight="1">
      <c r="A155" s="8"/>
      <c r="B155" s="25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2.75" customHeight="1">
      <c r="A156" s="8"/>
      <c r="B156" s="25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2.75" customHeight="1">
      <c r="A157" s="8"/>
      <c r="B157" s="25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2.75" customHeight="1">
      <c r="A158" s="8"/>
      <c r="B158" s="25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2.75" customHeight="1">
      <c r="A159" s="8"/>
      <c r="B159" s="25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2.75" customHeight="1">
      <c r="A160" s="8"/>
      <c r="B160" s="25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2.75" customHeight="1">
      <c r="A161" s="8"/>
      <c r="B161" s="25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2.75" customHeight="1">
      <c r="A162" s="8"/>
      <c r="B162" s="25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2.75" customHeight="1">
      <c r="A163" s="8"/>
      <c r="B163" s="25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2.75" customHeight="1">
      <c r="A164" s="8"/>
      <c r="B164" s="25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2.75" customHeight="1">
      <c r="A165" s="8"/>
      <c r="B165" s="25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2.75" customHeight="1">
      <c r="A166" s="8"/>
      <c r="B166" s="25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2.75" customHeight="1">
      <c r="A167" s="8"/>
      <c r="B167" s="25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2.75" customHeight="1">
      <c r="A168" s="8"/>
      <c r="B168" s="25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2.75" customHeight="1">
      <c r="A169" s="8"/>
      <c r="B169" s="25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2.75" customHeight="1">
      <c r="A170" s="8"/>
      <c r="B170" s="25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2.75" customHeight="1">
      <c r="A171" s="8"/>
      <c r="B171" s="25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2.75" customHeight="1">
      <c r="A172" s="8"/>
      <c r="B172" s="25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2.75" customHeight="1">
      <c r="A173" s="8"/>
      <c r="B173" s="25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2.75" customHeight="1">
      <c r="A174" s="8"/>
      <c r="B174" s="25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2.75" customHeight="1">
      <c r="A175" s="8"/>
      <c r="B175" s="25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2.75" customHeight="1">
      <c r="A176" s="8"/>
      <c r="B176" s="25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2.75" customHeight="1">
      <c r="A177" s="8"/>
      <c r="B177" s="25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2.75" customHeight="1">
      <c r="A178" s="8"/>
      <c r="B178" s="25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2.75" customHeight="1">
      <c r="A179" s="8"/>
      <c r="B179" s="25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2.75" customHeight="1">
      <c r="A180" s="8"/>
      <c r="B180" s="25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2.75" customHeight="1">
      <c r="A181" s="8"/>
      <c r="B181" s="25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2.75" customHeight="1">
      <c r="A182" s="8"/>
      <c r="B182" s="25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2.75" customHeight="1">
      <c r="A183" s="8"/>
      <c r="B183" s="25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2.75" customHeight="1">
      <c r="A184" s="8"/>
      <c r="B184" s="25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2.75" customHeight="1">
      <c r="A185" s="8"/>
      <c r="B185" s="25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2.75" customHeight="1">
      <c r="A186" s="8"/>
      <c r="B186" s="25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2.75" customHeight="1">
      <c r="A187" s="8"/>
      <c r="B187" s="25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2.75" customHeight="1">
      <c r="A188" s="8"/>
      <c r="B188" s="25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2.75" customHeight="1">
      <c r="A189" s="8"/>
      <c r="B189" s="25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2.75" customHeight="1">
      <c r="A190" s="8"/>
      <c r="B190" s="25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2.75" customHeight="1">
      <c r="A191" s="8"/>
      <c r="B191" s="25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2.75" customHeight="1">
      <c r="A192" s="8"/>
      <c r="B192" s="25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2.75" customHeight="1">
      <c r="A193" s="8"/>
      <c r="B193" s="25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2.75" customHeight="1">
      <c r="A194" s="8"/>
      <c r="B194" s="25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2.75" customHeight="1">
      <c r="A195" s="8"/>
      <c r="B195" s="25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2.75" customHeight="1">
      <c r="A196" s="8"/>
      <c r="B196" s="25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2.75" customHeight="1">
      <c r="A197" s="8"/>
      <c r="B197" s="25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2.75" customHeight="1">
      <c r="A198" s="8"/>
      <c r="B198" s="25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2.75" customHeight="1">
      <c r="A199" s="8"/>
      <c r="B199" s="25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2.75" customHeight="1">
      <c r="A200" s="8"/>
      <c r="B200" s="25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2.75" customHeight="1">
      <c r="A201" s="8"/>
      <c r="B201" s="25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2.75" customHeight="1">
      <c r="A202" s="8"/>
      <c r="B202" s="25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2.75" customHeight="1">
      <c r="A203" s="8"/>
      <c r="B203" s="25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2.75" customHeight="1">
      <c r="A204" s="8"/>
      <c r="B204" s="25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2.75" customHeight="1">
      <c r="A205" s="8"/>
      <c r="B205" s="25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2.75" customHeight="1">
      <c r="A206" s="8"/>
      <c r="B206" s="25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2.75" customHeight="1">
      <c r="A207" s="8"/>
      <c r="B207" s="25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2.75" customHeight="1">
      <c r="A208" s="8"/>
      <c r="B208" s="25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2.75" customHeight="1">
      <c r="A209" s="8"/>
      <c r="B209" s="25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2.75" customHeight="1">
      <c r="A210" s="8"/>
      <c r="B210" s="25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2.75" customHeight="1">
      <c r="A211" s="8"/>
      <c r="B211" s="25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2.75" customHeight="1">
      <c r="A212" s="8"/>
      <c r="B212" s="25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2.75" customHeight="1">
      <c r="A213" s="8"/>
      <c r="B213" s="25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2.75" customHeight="1">
      <c r="A214" s="8"/>
      <c r="B214" s="25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2.75" customHeight="1">
      <c r="A215" s="8"/>
      <c r="B215" s="25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2.75" customHeight="1">
      <c r="A216" s="8"/>
      <c r="B216" s="25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2.75" customHeight="1">
      <c r="A217" s="8"/>
      <c r="B217" s="25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2.75" customHeight="1">
      <c r="A218" s="8"/>
      <c r="B218" s="25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2.75" customHeight="1">
      <c r="A219" s="8"/>
      <c r="B219" s="25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2.75" customHeight="1">
      <c r="A220" s="8"/>
      <c r="B220" s="25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2.75" customHeight="1">
      <c r="A221" s="8"/>
      <c r="B221" s="25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2.75" customHeight="1">
      <c r="A222" s="8"/>
      <c r="B222" s="25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2.75" customHeight="1">
      <c r="A223" s="8"/>
      <c r="B223" s="25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2.75" customHeight="1">
      <c r="A224" s="8"/>
      <c r="B224" s="25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2.75" customHeight="1">
      <c r="A225" s="8"/>
      <c r="B225" s="25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2.75" customHeight="1">
      <c r="A226" s="8"/>
      <c r="B226" s="25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2.75" customHeight="1">
      <c r="A227" s="8"/>
      <c r="B227" s="25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2.75" customHeight="1">
      <c r="A228" s="8"/>
      <c r="B228" s="25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2.75" customHeight="1">
      <c r="A229" s="8"/>
      <c r="B229" s="25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2.75" customHeight="1">
      <c r="A230" s="8"/>
      <c r="B230" s="25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2.75" customHeight="1">
      <c r="A231" s="8"/>
      <c r="B231" s="25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2.75" customHeight="1">
      <c r="A232" s="8"/>
      <c r="B232" s="25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2.75" customHeight="1">
      <c r="A233" s="8"/>
      <c r="B233" s="25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2.75" customHeight="1">
      <c r="A234" s="8"/>
      <c r="B234" s="25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2.75" customHeight="1">
      <c r="A235" s="8"/>
      <c r="B235" s="25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2.75" customHeight="1">
      <c r="A236" s="8"/>
      <c r="B236" s="25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2.75" customHeight="1">
      <c r="A237" s="8"/>
      <c r="B237" s="25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2.75" customHeight="1">
      <c r="A238" s="8"/>
      <c r="B238" s="25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2.75" customHeight="1">
      <c r="A239" s="8"/>
      <c r="B239" s="25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2.75" customHeight="1">
      <c r="A240" s="8"/>
      <c r="B240" s="25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2.75" customHeight="1">
      <c r="A241" s="8"/>
      <c r="B241" s="25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2.75" customHeight="1">
      <c r="A242" s="8"/>
      <c r="B242" s="25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2.75" customHeight="1">
      <c r="A243" s="8"/>
      <c r="B243" s="25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2.75" customHeight="1">
      <c r="A244" s="8"/>
      <c r="B244" s="25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2.75" customHeight="1">
      <c r="A245" s="8"/>
      <c r="B245" s="25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2.75" customHeight="1">
      <c r="A246" s="8"/>
      <c r="B246" s="25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2.75" customHeight="1">
      <c r="A247" s="8"/>
      <c r="B247" s="25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2.75" customHeight="1">
      <c r="A248" s="8"/>
      <c r="B248" s="25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2.75" customHeight="1">
      <c r="A249" s="8"/>
      <c r="B249" s="25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2.75" customHeight="1">
      <c r="A250" s="8"/>
      <c r="B250" s="25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2.75" customHeight="1">
      <c r="A251" s="8"/>
      <c r="B251" s="25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2.75" customHeight="1">
      <c r="A252" s="8"/>
      <c r="B252" s="25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2.75" customHeight="1">
      <c r="A253" s="8"/>
      <c r="B253" s="25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2.75" customHeight="1">
      <c r="A254" s="8"/>
      <c r="B254" s="25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2.75" customHeight="1">
      <c r="A255" s="8"/>
      <c r="B255" s="25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2.75" customHeight="1">
      <c r="A256" s="8"/>
      <c r="B256" s="25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2.75" customHeight="1">
      <c r="A257" s="8"/>
      <c r="B257" s="25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2.75" customHeight="1">
      <c r="A258" s="8"/>
      <c r="B258" s="25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2.75" customHeight="1">
      <c r="A259" s="8"/>
      <c r="B259" s="25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2.75" customHeight="1">
      <c r="A260" s="8"/>
      <c r="B260" s="25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2.75" customHeight="1">
      <c r="A261" s="8"/>
      <c r="B261" s="25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2.75" customHeight="1">
      <c r="A262" s="8"/>
      <c r="B262" s="25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2.75" customHeight="1">
      <c r="A263" s="8"/>
      <c r="B263" s="25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2.75" customHeight="1">
      <c r="A264" s="8"/>
      <c r="B264" s="25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2.75" customHeight="1">
      <c r="A265" s="8"/>
      <c r="B265" s="25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2.75" customHeight="1">
      <c r="A266" s="8"/>
      <c r="B266" s="25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2.75" customHeight="1">
      <c r="A267" s="8"/>
      <c r="B267" s="25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2.75" customHeight="1">
      <c r="A268" s="8"/>
      <c r="B268" s="25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2.75" customHeight="1">
      <c r="A269" s="8"/>
      <c r="B269" s="25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2.75" customHeight="1">
      <c r="A270" s="8"/>
      <c r="B270" s="25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2.75" customHeight="1">
      <c r="A271" s="8"/>
      <c r="B271" s="25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2.75" customHeight="1">
      <c r="A272" s="8"/>
      <c r="B272" s="25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2.75" customHeight="1">
      <c r="A273" s="8"/>
      <c r="B273" s="25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2.75" customHeight="1">
      <c r="A274" s="8"/>
      <c r="B274" s="25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2.75" customHeight="1">
      <c r="A275" s="8"/>
      <c r="B275" s="25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2.75" customHeight="1">
      <c r="A276" s="8"/>
      <c r="B276" s="25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2.75" customHeight="1">
      <c r="A277" s="8"/>
      <c r="B277" s="25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2.75" customHeight="1">
      <c r="A278" s="8"/>
      <c r="B278" s="25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2.75" customHeight="1">
      <c r="A279" s="8"/>
      <c r="B279" s="25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2.75" customHeight="1">
      <c r="A280" s="8"/>
      <c r="B280" s="25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2.75" customHeight="1">
      <c r="A281" s="8"/>
      <c r="B281" s="25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2.75" customHeight="1">
      <c r="A282" s="8"/>
      <c r="B282" s="25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2.75" customHeight="1">
      <c r="A283" s="8"/>
      <c r="B283" s="25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2.75" customHeight="1">
      <c r="A284" s="8"/>
      <c r="B284" s="25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2.75" customHeight="1">
      <c r="A285" s="8"/>
      <c r="B285" s="25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2.75" customHeight="1">
      <c r="A286" s="8"/>
      <c r="B286" s="25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2.75" customHeight="1">
      <c r="A287" s="8"/>
      <c r="B287" s="25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2.75" customHeight="1">
      <c r="A288" s="8"/>
      <c r="B288" s="25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2.75" customHeight="1">
      <c r="A289" s="8"/>
      <c r="B289" s="25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2.75" customHeight="1">
      <c r="A290" s="8"/>
      <c r="B290" s="25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2.75" customHeight="1">
      <c r="A291" s="8"/>
      <c r="B291" s="25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2.75" customHeight="1">
      <c r="A292" s="8"/>
      <c r="B292" s="25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2.75" customHeight="1">
      <c r="A293" s="8"/>
      <c r="B293" s="25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2.75" customHeight="1">
      <c r="A294" s="8"/>
      <c r="B294" s="25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2.75" customHeight="1">
      <c r="A295" s="8"/>
      <c r="B295" s="25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2.75" customHeight="1">
      <c r="A296" s="8"/>
      <c r="B296" s="25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2.75" customHeight="1">
      <c r="A297" s="8"/>
      <c r="B297" s="25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2.75" customHeight="1">
      <c r="A298" s="8"/>
      <c r="B298" s="25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2.75" customHeight="1">
      <c r="A299" s="8"/>
      <c r="B299" s="25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2.75" customHeight="1">
      <c r="A300" s="8"/>
      <c r="B300" s="25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2.75" customHeight="1">
      <c r="A301" s="8"/>
      <c r="B301" s="25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2.75" customHeight="1">
      <c r="A302" s="8"/>
      <c r="B302" s="25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2.75" customHeight="1">
      <c r="A303" s="8"/>
      <c r="B303" s="25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2.75" customHeight="1">
      <c r="A304" s="8"/>
      <c r="B304" s="25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2.75" customHeight="1">
      <c r="A305" s="8"/>
      <c r="B305" s="25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2.75" customHeight="1">
      <c r="A306" s="8"/>
      <c r="B306" s="25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2.75" customHeight="1">
      <c r="A307" s="8"/>
      <c r="B307" s="25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2.75" customHeight="1">
      <c r="A308" s="8"/>
      <c r="B308" s="25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2.75" customHeight="1">
      <c r="A309" s="8"/>
      <c r="B309" s="25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2.75" customHeight="1">
      <c r="A310" s="8"/>
      <c r="B310" s="25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2.75" customHeight="1">
      <c r="A311" s="8"/>
      <c r="B311" s="25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2.75" customHeight="1">
      <c r="A312" s="8"/>
      <c r="B312" s="25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2.75" customHeight="1">
      <c r="A313" s="8"/>
      <c r="B313" s="25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2.75" customHeight="1">
      <c r="A314" s="8"/>
      <c r="B314" s="25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2.75" customHeight="1">
      <c r="A315" s="8"/>
      <c r="B315" s="25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2.75" customHeight="1">
      <c r="A316" s="8"/>
      <c r="B316" s="25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2.75" customHeight="1">
      <c r="A317" s="8"/>
      <c r="B317" s="25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2.75" customHeight="1">
      <c r="A318" s="8"/>
      <c r="B318" s="25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2.75" customHeight="1">
      <c r="A319" s="8"/>
      <c r="B319" s="25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2.75" customHeight="1">
      <c r="A320" s="8"/>
      <c r="B320" s="25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2.75" customHeight="1">
      <c r="A321" s="8"/>
      <c r="B321" s="25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2.75" customHeight="1">
      <c r="A322" s="8"/>
      <c r="B322" s="25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2.75" customHeight="1">
      <c r="A323" s="8"/>
      <c r="B323" s="25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2.75" customHeight="1">
      <c r="A324" s="8"/>
      <c r="B324" s="25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2.75" customHeight="1">
      <c r="A325" s="8"/>
      <c r="B325" s="25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2.75" customHeight="1">
      <c r="A326" s="8"/>
      <c r="B326" s="25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2.75" customHeight="1">
      <c r="A327" s="8"/>
      <c r="B327" s="25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2.75" customHeight="1">
      <c r="A328" s="8"/>
      <c r="B328" s="25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2.75" customHeight="1">
      <c r="A329" s="8"/>
      <c r="B329" s="25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2.75" customHeight="1">
      <c r="A330" s="8"/>
      <c r="B330" s="25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2.75" customHeight="1">
      <c r="A331" s="8"/>
      <c r="B331" s="25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2.75" customHeight="1">
      <c r="A332" s="8"/>
      <c r="B332" s="25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2.75" customHeight="1">
      <c r="A333" s="8"/>
      <c r="B333" s="25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2.75" customHeight="1">
      <c r="A334" s="8"/>
      <c r="B334" s="25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2.75" customHeight="1">
      <c r="A335" s="8"/>
      <c r="B335" s="25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2.75" customHeight="1">
      <c r="A336" s="8"/>
      <c r="B336" s="25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2.75" customHeight="1">
      <c r="A337" s="8"/>
      <c r="B337" s="25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2.75" customHeight="1">
      <c r="A338" s="8"/>
      <c r="B338" s="25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2.75" customHeight="1">
      <c r="A339" s="8"/>
      <c r="B339" s="25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2.75" customHeight="1">
      <c r="A340" s="8"/>
      <c r="B340" s="25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2.75" customHeight="1">
      <c r="A341" s="8"/>
      <c r="B341" s="25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2.75" customHeight="1">
      <c r="A342" s="8"/>
      <c r="B342" s="25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2.75" customHeight="1">
      <c r="A343" s="8"/>
      <c r="B343" s="25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2.75" customHeight="1">
      <c r="A344" s="8"/>
      <c r="B344" s="25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2.75" customHeight="1">
      <c r="A345" s="8"/>
      <c r="B345" s="25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2.75" customHeight="1">
      <c r="A346" s="8"/>
      <c r="B346" s="25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2.75" customHeight="1">
      <c r="A347" s="8"/>
      <c r="B347" s="25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2.75" customHeight="1">
      <c r="A348" s="8"/>
      <c r="B348" s="25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2.75" customHeight="1">
      <c r="A349" s="8"/>
      <c r="B349" s="25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2.75" customHeight="1">
      <c r="A350" s="8"/>
      <c r="B350" s="25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2.75" customHeight="1">
      <c r="A351" s="8"/>
      <c r="B351" s="25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2.75" customHeight="1">
      <c r="A352" s="8"/>
      <c r="B352" s="25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2.75" customHeight="1">
      <c r="A353" s="8"/>
      <c r="B353" s="25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2.75" customHeight="1">
      <c r="A354" s="8"/>
      <c r="B354" s="25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2.75" customHeight="1">
      <c r="A355" s="8"/>
      <c r="B355" s="25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2.75" customHeight="1">
      <c r="A356" s="8"/>
      <c r="B356" s="25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2.75" customHeight="1">
      <c r="A357" s="8"/>
      <c r="B357" s="25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2.75" customHeight="1">
      <c r="A358" s="8"/>
      <c r="B358" s="25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2.75" customHeight="1">
      <c r="A359" s="8"/>
      <c r="B359" s="25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2.75" customHeight="1">
      <c r="A360" s="8"/>
      <c r="B360" s="25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2.75" customHeight="1">
      <c r="A361" s="8"/>
      <c r="B361" s="25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2.75" customHeight="1">
      <c r="A362" s="8"/>
      <c r="B362" s="25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2.75" customHeight="1">
      <c r="A363" s="8"/>
      <c r="B363" s="25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2.75" customHeight="1">
      <c r="A364" s="8"/>
      <c r="B364" s="25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2.75" customHeight="1">
      <c r="A365" s="8"/>
      <c r="B365" s="25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2.75" customHeight="1">
      <c r="A366" s="8"/>
      <c r="B366" s="25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2.75" customHeight="1">
      <c r="A367" s="8"/>
      <c r="B367" s="25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2.75" customHeight="1">
      <c r="A368" s="8"/>
      <c r="B368" s="25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2.75" customHeight="1">
      <c r="A369" s="8"/>
      <c r="B369" s="25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2.75" customHeight="1">
      <c r="A370" s="8"/>
      <c r="B370" s="25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2.75" customHeight="1">
      <c r="A371" s="8"/>
      <c r="B371" s="25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2.75" customHeight="1">
      <c r="A372" s="8"/>
      <c r="B372" s="25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2.75" customHeight="1">
      <c r="A373" s="8"/>
      <c r="B373" s="25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2.75" customHeight="1">
      <c r="A374" s="8"/>
      <c r="B374" s="25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2.75" customHeight="1">
      <c r="A375" s="8"/>
      <c r="B375" s="25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2.75" customHeight="1">
      <c r="A376" s="8"/>
      <c r="B376" s="25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2.75" customHeight="1">
      <c r="A377" s="8"/>
      <c r="B377" s="25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2.75" customHeight="1">
      <c r="A378" s="8"/>
      <c r="B378" s="25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2.75" customHeight="1">
      <c r="A379" s="8"/>
      <c r="B379" s="25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2.75" customHeight="1">
      <c r="A380" s="8"/>
      <c r="B380" s="25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2.75" customHeight="1">
      <c r="A381" s="8"/>
      <c r="B381" s="25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2.75" customHeight="1">
      <c r="A382" s="8"/>
      <c r="B382" s="25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2.75" customHeight="1">
      <c r="A383" s="8"/>
      <c r="B383" s="25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2.75" customHeight="1">
      <c r="A384" s="8"/>
      <c r="B384" s="25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2.75" customHeight="1">
      <c r="A385" s="8"/>
      <c r="B385" s="25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2.75" customHeight="1">
      <c r="A386" s="8"/>
      <c r="B386" s="25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2.75" customHeight="1">
      <c r="A387" s="8"/>
      <c r="B387" s="25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2.75" customHeight="1">
      <c r="A388" s="8"/>
      <c r="B388" s="25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2.75" customHeight="1">
      <c r="A389" s="8"/>
      <c r="B389" s="25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2.75" customHeight="1">
      <c r="A390" s="8"/>
      <c r="B390" s="25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2.75" customHeight="1">
      <c r="A391" s="8"/>
      <c r="B391" s="25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2.75" customHeight="1">
      <c r="A392" s="8"/>
      <c r="B392" s="25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2.75" customHeight="1">
      <c r="A393" s="8"/>
      <c r="B393" s="25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2.75" customHeight="1">
      <c r="A394" s="8"/>
      <c r="B394" s="25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2.75" customHeight="1">
      <c r="A395" s="8"/>
      <c r="B395" s="25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2.75" customHeight="1">
      <c r="A396" s="8"/>
      <c r="B396" s="25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2.75" customHeight="1">
      <c r="A397" s="8"/>
      <c r="B397" s="25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2.75" customHeight="1">
      <c r="A398" s="8"/>
      <c r="B398" s="25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2.75" customHeight="1">
      <c r="A399" s="8"/>
      <c r="B399" s="25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2.75" customHeight="1">
      <c r="A400" s="8"/>
      <c r="B400" s="25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2.75" customHeight="1">
      <c r="A401" s="8"/>
      <c r="B401" s="25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2.75" customHeight="1">
      <c r="A402" s="8"/>
      <c r="B402" s="25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2.75" customHeight="1">
      <c r="A403" s="8"/>
      <c r="B403" s="25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2.75" customHeight="1">
      <c r="A404" s="8"/>
      <c r="B404" s="25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2.75" customHeight="1">
      <c r="A405" s="8"/>
      <c r="B405" s="25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2.75" customHeight="1">
      <c r="A406" s="8"/>
      <c r="B406" s="25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2.75" customHeight="1">
      <c r="A407" s="8"/>
      <c r="B407" s="25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2.75" customHeight="1">
      <c r="A408" s="8"/>
      <c r="B408" s="25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2.75" customHeight="1">
      <c r="A409" s="8"/>
      <c r="B409" s="25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2.75" customHeight="1">
      <c r="A410" s="8"/>
      <c r="B410" s="25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2.75" customHeight="1">
      <c r="A411" s="8"/>
      <c r="B411" s="25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2.75" customHeight="1">
      <c r="A412" s="8"/>
      <c r="B412" s="25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2.75" customHeight="1">
      <c r="A413" s="8"/>
      <c r="B413" s="25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2.75" customHeight="1">
      <c r="A414" s="8"/>
      <c r="B414" s="25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2.75" customHeight="1">
      <c r="A415" s="8"/>
      <c r="B415" s="25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2.75" customHeight="1">
      <c r="A416" s="8"/>
      <c r="B416" s="25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2.75" customHeight="1">
      <c r="A417" s="8"/>
      <c r="B417" s="25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2.75" customHeight="1">
      <c r="A418" s="8"/>
      <c r="B418" s="25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2.75" customHeight="1">
      <c r="A419" s="8"/>
      <c r="B419" s="25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2.75" customHeight="1">
      <c r="A420" s="8"/>
      <c r="B420" s="25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2.75" customHeight="1">
      <c r="A421" s="8"/>
      <c r="B421" s="25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2.75" customHeight="1">
      <c r="A422" s="8"/>
      <c r="B422" s="25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2.75" customHeight="1">
      <c r="A423" s="8"/>
      <c r="B423" s="25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2.75" customHeight="1">
      <c r="A424" s="8"/>
      <c r="B424" s="25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2.75" customHeight="1">
      <c r="A425" s="8"/>
      <c r="B425" s="25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2.75" customHeight="1">
      <c r="A426" s="8"/>
      <c r="B426" s="25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2.75" customHeight="1">
      <c r="A427" s="8"/>
      <c r="B427" s="25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2.75" customHeight="1">
      <c r="A428" s="8"/>
      <c r="B428" s="25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2.75" customHeight="1">
      <c r="A429" s="8"/>
      <c r="B429" s="25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2.75" customHeight="1">
      <c r="A430" s="8"/>
      <c r="B430" s="25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2.75" customHeight="1">
      <c r="A431" s="8"/>
      <c r="B431" s="25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2.75" customHeight="1">
      <c r="A432" s="8"/>
      <c r="B432" s="25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2.75" customHeight="1">
      <c r="A433" s="8"/>
      <c r="B433" s="25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2.75" customHeight="1">
      <c r="A434" s="8"/>
      <c r="B434" s="25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2.75" customHeight="1">
      <c r="A435" s="8"/>
      <c r="B435" s="25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2.75" customHeight="1">
      <c r="A436" s="8"/>
      <c r="B436" s="25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2.75" customHeight="1">
      <c r="A437" s="8"/>
      <c r="B437" s="25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2.75" customHeight="1">
      <c r="A438" s="8"/>
      <c r="B438" s="25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2.75" customHeight="1">
      <c r="A439" s="8"/>
      <c r="B439" s="25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2.75" customHeight="1">
      <c r="A440" s="8"/>
      <c r="B440" s="25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2.75" customHeight="1">
      <c r="A441" s="8"/>
      <c r="B441" s="25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2.75" customHeight="1">
      <c r="A442" s="8"/>
      <c r="B442" s="25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2.75" customHeight="1">
      <c r="A443" s="8"/>
      <c r="B443" s="25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2.75" customHeight="1">
      <c r="A444" s="8"/>
      <c r="B444" s="25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2.75" customHeight="1">
      <c r="A445" s="8"/>
      <c r="B445" s="25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2.75" customHeight="1">
      <c r="A446" s="8"/>
      <c r="B446" s="25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2.75" customHeight="1">
      <c r="A447" s="8"/>
      <c r="B447" s="25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2.75" customHeight="1">
      <c r="A448" s="8"/>
      <c r="B448" s="25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2.75" customHeight="1">
      <c r="A449" s="8"/>
      <c r="B449" s="25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2.75" customHeight="1">
      <c r="A450" s="8"/>
      <c r="B450" s="25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2.75" customHeight="1">
      <c r="A451" s="8"/>
      <c r="B451" s="25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2.75" customHeight="1">
      <c r="A452" s="8"/>
      <c r="B452" s="25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2.75" customHeight="1">
      <c r="A453" s="8"/>
      <c r="B453" s="25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2.75" customHeight="1">
      <c r="A454" s="8"/>
      <c r="B454" s="25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2.75" customHeight="1">
      <c r="A455" s="8"/>
      <c r="B455" s="25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2.75" customHeight="1">
      <c r="A456" s="8"/>
      <c r="B456" s="25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2.75" customHeight="1">
      <c r="A457" s="8"/>
      <c r="B457" s="25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2.75" customHeight="1">
      <c r="A458" s="8"/>
      <c r="B458" s="25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2.75" customHeight="1">
      <c r="A459" s="8"/>
      <c r="B459" s="25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2.75" customHeight="1">
      <c r="A460" s="8"/>
      <c r="B460" s="25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2.75" customHeight="1">
      <c r="A461" s="8"/>
      <c r="B461" s="25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2.75" customHeight="1">
      <c r="A462" s="8"/>
      <c r="B462" s="25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2.75" customHeight="1">
      <c r="A463" s="8"/>
      <c r="B463" s="25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2.75" customHeight="1">
      <c r="A464" s="8"/>
      <c r="B464" s="25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2.75" customHeight="1">
      <c r="A465" s="8"/>
      <c r="B465" s="25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2.75" customHeight="1">
      <c r="A466" s="8"/>
      <c r="B466" s="25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2.75" customHeight="1">
      <c r="A467" s="8"/>
      <c r="B467" s="25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2.75" customHeight="1">
      <c r="A468" s="8"/>
      <c r="B468" s="25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2.75" customHeight="1">
      <c r="A469" s="8"/>
      <c r="B469" s="25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2.75" customHeight="1">
      <c r="A470" s="8"/>
      <c r="B470" s="25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2.75" customHeight="1">
      <c r="A471" s="8"/>
      <c r="B471" s="25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2.75" customHeight="1">
      <c r="A472" s="8"/>
      <c r="B472" s="25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2.75" customHeight="1">
      <c r="A473" s="8"/>
      <c r="B473" s="25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2.75" customHeight="1">
      <c r="A474" s="8"/>
      <c r="B474" s="25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2.75" customHeight="1">
      <c r="A475" s="8"/>
      <c r="B475" s="25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2.75" customHeight="1">
      <c r="A476" s="8"/>
      <c r="B476" s="25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2.75" customHeight="1">
      <c r="A477" s="8"/>
      <c r="B477" s="25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2.75" customHeight="1">
      <c r="A478" s="8"/>
      <c r="B478" s="25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2.75" customHeight="1">
      <c r="A479" s="8"/>
      <c r="B479" s="25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2.75" customHeight="1">
      <c r="A480" s="8"/>
      <c r="B480" s="25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2.75" customHeight="1">
      <c r="A481" s="8"/>
      <c r="B481" s="25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2.75" customHeight="1">
      <c r="A482" s="8"/>
      <c r="B482" s="25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2.75" customHeight="1">
      <c r="A483" s="8"/>
      <c r="B483" s="25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2.75" customHeight="1">
      <c r="A484" s="8"/>
      <c r="B484" s="25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2.75" customHeight="1">
      <c r="A485" s="8"/>
      <c r="B485" s="25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2.75" customHeight="1">
      <c r="A486" s="8"/>
      <c r="B486" s="25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2.75" customHeight="1">
      <c r="A487" s="8"/>
      <c r="B487" s="25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2.75" customHeight="1">
      <c r="A488" s="8"/>
      <c r="B488" s="25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2.75" customHeight="1">
      <c r="A489" s="8"/>
      <c r="B489" s="25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2.75" customHeight="1">
      <c r="A490" s="8"/>
      <c r="B490" s="25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2.75" customHeight="1">
      <c r="A491" s="8"/>
      <c r="B491" s="25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2.75" customHeight="1">
      <c r="A492" s="8"/>
      <c r="B492" s="25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2.75" customHeight="1">
      <c r="A493" s="8"/>
      <c r="B493" s="25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2.75" customHeight="1">
      <c r="A494" s="8"/>
      <c r="B494" s="25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2.75" customHeight="1">
      <c r="A495" s="8"/>
      <c r="B495" s="25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2.75" customHeight="1">
      <c r="A496" s="8"/>
      <c r="B496" s="25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2.75" customHeight="1">
      <c r="A497" s="8"/>
      <c r="B497" s="25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2.75" customHeight="1">
      <c r="A498" s="8"/>
      <c r="B498" s="25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2.75" customHeight="1">
      <c r="A499" s="8"/>
      <c r="B499" s="25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2.75" customHeight="1">
      <c r="A500" s="8"/>
      <c r="B500" s="25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2.75" customHeight="1">
      <c r="A501" s="8"/>
      <c r="B501" s="25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2.75" customHeight="1">
      <c r="A502" s="8"/>
      <c r="B502" s="25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2.75" customHeight="1">
      <c r="A503" s="8"/>
      <c r="B503" s="25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2.75" customHeight="1">
      <c r="A504" s="8"/>
      <c r="B504" s="25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2.75" customHeight="1">
      <c r="A505" s="8"/>
      <c r="B505" s="25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2.75" customHeight="1">
      <c r="A506" s="8"/>
      <c r="B506" s="25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2.75" customHeight="1">
      <c r="A507" s="8"/>
      <c r="B507" s="25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2.75" customHeight="1">
      <c r="A508" s="8"/>
      <c r="B508" s="25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2.75" customHeight="1">
      <c r="A509" s="8"/>
      <c r="B509" s="25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2.75" customHeight="1">
      <c r="A510" s="8"/>
      <c r="B510" s="25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2.75" customHeight="1">
      <c r="A511" s="8"/>
      <c r="B511" s="25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2.75" customHeight="1">
      <c r="A512" s="8"/>
      <c r="B512" s="25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2.75" customHeight="1">
      <c r="A513" s="8"/>
      <c r="B513" s="25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2.75" customHeight="1">
      <c r="A514" s="8"/>
      <c r="B514" s="25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2.75" customHeight="1">
      <c r="A515" s="8"/>
      <c r="B515" s="25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2.75" customHeight="1">
      <c r="A516" s="8"/>
      <c r="B516" s="25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2.75" customHeight="1">
      <c r="A517" s="8"/>
      <c r="B517" s="25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2.75" customHeight="1">
      <c r="A518" s="8"/>
      <c r="B518" s="25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2.75" customHeight="1">
      <c r="A519" s="8"/>
      <c r="B519" s="25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2.75" customHeight="1">
      <c r="A520" s="8"/>
      <c r="B520" s="25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2.75" customHeight="1">
      <c r="A521" s="8"/>
      <c r="B521" s="25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2.75" customHeight="1">
      <c r="A522" s="8"/>
      <c r="B522" s="25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2.75" customHeight="1">
      <c r="A523" s="8"/>
      <c r="B523" s="25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2.75" customHeight="1">
      <c r="A524" s="8"/>
      <c r="B524" s="25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2.75" customHeight="1">
      <c r="A525" s="8"/>
      <c r="B525" s="25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2.75" customHeight="1">
      <c r="A526" s="8"/>
      <c r="B526" s="25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2.75" customHeight="1">
      <c r="A527" s="8"/>
      <c r="B527" s="25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2.75" customHeight="1">
      <c r="A528" s="8"/>
      <c r="B528" s="25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2.75" customHeight="1">
      <c r="A529" s="8"/>
      <c r="B529" s="25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2.75" customHeight="1">
      <c r="A530" s="8"/>
      <c r="B530" s="25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2.75" customHeight="1">
      <c r="A531" s="8"/>
      <c r="B531" s="25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2.75" customHeight="1">
      <c r="A532" s="8"/>
      <c r="B532" s="25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2.75" customHeight="1">
      <c r="A533" s="8"/>
      <c r="B533" s="25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2.75" customHeight="1">
      <c r="A534" s="8"/>
      <c r="B534" s="25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2.75" customHeight="1">
      <c r="A535" s="8"/>
      <c r="B535" s="25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2.75" customHeight="1">
      <c r="A536" s="8"/>
      <c r="B536" s="25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2.75" customHeight="1">
      <c r="A537" s="8"/>
      <c r="B537" s="25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2.75" customHeight="1">
      <c r="A538" s="8"/>
      <c r="B538" s="25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2.75" customHeight="1">
      <c r="A539" s="8"/>
      <c r="B539" s="25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2.75" customHeight="1">
      <c r="A540" s="8"/>
      <c r="B540" s="25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2.75" customHeight="1">
      <c r="A541" s="8"/>
      <c r="B541" s="25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2.75" customHeight="1">
      <c r="A542" s="8"/>
      <c r="B542" s="25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2.75" customHeight="1">
      <c r="A543" s="8"/>
      <c r="B543" s="25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2.75" customHeight="1">
      <c r="A544" s="8"/>
      <c r="B544" s="25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2.75" customHeight="1">
      <c r="A545" s="8"/>
      <c r="B545" s="25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2.75" customHeight="1">
      <c r="A546" s="8"/>
      <c r="B546" s="25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2.75" customHeight="1">
      <c r="A547" s="8"/>
      <c r="B547" s="25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2.75" customHeight="1">
      <c r="A548" s="8"/>
      <c r="B548" s="25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2.75" customHeight="1">
      <c r="A549" s="8"/>
      <c r="B549" s="25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2.75" customHeight="1">
      <c r="A550" s="8"/>
      <c r="B550" s="25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2.75" customHeight="1">
      <c r="A551" s="8"/>
      <c r="B551" s="25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2.75" customHeight="1">
      <c r="A552" s="8"/>
      <c r="B552" s="25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2.75" customHeight="1">
      <c r="A553" s="8"/>
      <c r="B553" s="25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2.75" customHeight="1">
      <c r="A554" s="8"/>
      <c r="B554" s="25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2.75" customHeight="1">
      <c r="A555" s="8"/>
      <c r="B555" s="25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2.75" customHeight="1">
      <c r="A556" s="8"/>
      <c r="B556" s="25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2.75" customHeight="1">
      <c r="A557" s="8"/>
      <c r="B557" s="25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2.75" customHeight="1">
      <c r="A558" s="8"/>
      <c r="B558" s="25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2.75" customHeight="1">
      <c r="A559" s="8"/>
      <c r="B559" s="25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2.75" customHeight="1">
      <c r="A560" s="8"/>
      <c r="B560" s="25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2.75" customHeight="1">
      <c r="A561" s="8"/>
      <c r="B561" s="25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2.75" customHeight="1">
      <c r="A562" s="8"/>
      <c r="B562" s="25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2.75" customHeight="1">
      <c r="A563" s="8"/>
      <c r="B563" s="25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2.75" customHeight="1">
      <c r="A564" s="8"/>
      <c r="B564" s="25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2.75" customHeight="1">
      <c r="A565" s="8"/>
      <c r="B565" s="25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2.75" customHeight="1">
      <c r="A566" s="8"/>
      <c r="B566" s="25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2.75" customHeight="1">
      <c r="A567" s="8"/>
      <c r="B567" s="25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2.75" customHeight="1">
      <c r="A568" s="8"/>
      <c r="B568" s="25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2.75" customHeight="1">
      <c r="A569" s="8"/>
      <c r="B569" s="25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2.75" customHeight="1">
      <c r="A570" s="8"/>
      <c r="B570" s="25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2.75" customHeight="1">
      <c r="A571" s="8"/>
      <c r="B571" s="25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2.75" customHeight="1">
      <c r="A572" s="8"/>
      <c r="B572" s="25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2.75" customHeight="1">
      <c r="A573" s="8"/>
      <c r="B573" s="25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2.75" customHeight="1">
      <c r="A574" s="8"/>
      <c r="B574" s="25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2.75" customHeight="1">
      <c r="A575" s="8"/>
      <c r="B575" s="25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2.75" customHeight="1">
      <c r="A576" s="8"/>
      <c r="B576" s="25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2.75" customHeight="1">
      <c r="A577" s="8"/>
      <c r="B577" s="25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2.75" customHeight="1">
      <c r="A578" s="8"/>
      <c r="B578" s="25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2.75" customHeight="1">
      <c r="A579" s="8"/>
      <c r="B579" s="25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2.75" customHeight="1">
      <c r="A580" s="8"/>
      <c r="B580" s="25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2.75" customHeight="1">
      <c r="A581" s="8"/>
      <c r="B581" s="25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2.75" customHeight="1">
      <c r="A582" s="8"/>
      <c r="B582" s="25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2.75" customHeight="1">
      <c r="A583" s="8"/>
      <c r="B583" s="25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2.75" customHeight="1">
      <c r="A584" s="8"/>
      <c r="B584" s="25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2.75" customHeight="1">
      <c r="A585" s="8"/>
      <c r="B585" s="25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2.75" customHeight="1">
      <c r="A586" s="8"/>
      <c r="B586" s="25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2.75" customHeight="1">
      <c r="A587" s="8"/>
      <c r="B587" s="25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2.75" customHeight="1">
      <c r="A588" s="8"/>
      <c r="B588" s="25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2.75" customHeight="1">
      <c r="A589" s="8"/>
      <c r="B589" s="25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2.75" customHeight="1">
      <c r="A590" s="8"/>
      <c r="B590" s="25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2.75" customHeight="1">
      <c r="A591" s="8"/>
      <c r="B591" s="25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2.75" customHeight="1">
      <c r="A592" s="8"/>
      <c r="B592" s="25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2.75" customHeight="1">
      <c r="A593" s="8"/>
      <c r="B593" s="25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2.75" customHeight="1">
      <c r="A594" s="8"/>
      <c r="B594" s="25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2.75" customHeight="1">
      <c r="A595" s="8"/>
      <c r="B595" s="25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2.75" customHeight="1">
      <c r="A596" s="8"/>
      <c r="B596" s="25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2.75" customHeight="1">
      <c r="A597" s="8"/>
      <c r="B597" s="25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2.75" customHeight="1">
      <c r="A598" s="8"/>
      <c r="B598" s="25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2.75" customHeight="1">
      <c r="A599" s="8"/>
      <c r="B599" s="25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2.75" customHeight="1">
      <c r="A600" s="8"/>
      <c r="B600" s="25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2.75" customHeight="1">
      <c r="A601" s="8"/>
      <c r="B601" s="25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2.75" customHeight="1">
      <c r="A602" s="8"/>
      <c r="B602" s="25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2.75" customHeight="1">
      <c r="A603" s="8"/>
      <c r="B603" s="25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2.75" customHeight="1">
      <c r="A604" s="8"/>
      <c r="B604" s="25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2.75" customHeight="1">
      <c r="A605" s="8"/>
      <c r="B605" s="25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2.75" customHeight="1">
      <c r="A606" s="8"/>
      <c r="B606" s="25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2.75" customHeight="1">
      <c r="A607" s="8"/>
      <c r="B607" s="25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2.75" customHeight="1">
      <c r="A608" s="8"/>
      <c r="B608" s="25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2.75" customHeight="1">
      <c r="A609" s="8"/>
      <c r="B609" s="25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2.75" customHeight="1">
      <c r="A610" s="8"/>
      <c r="B610" s="25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2.75" customHeight="1">
      <c r="A611" s="8"/>
      <c r="B611" s="25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2.75" customHeight="1">
      <c r="A612" s="8"/>
      <c r="B612" s="25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2.75" customHeight="1">
      <c r="A613" s="8"/>
      <c r="B613" s="25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2.75" customHeight="1">
      <c r="A614" s="8"/>
      <c r="B614" s="25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2.75" customHeight="1">
      <c r="A615" s="8"/>
      <c r="B615" s="25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2.75" customHeight="1">
      <c r="A616" s="8"/>
      <c r="B616" s="25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2.75" customHeight="1">
      <c r="A617" s="8"/>
      <c r="B617" s="25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2.75" customHeight="1">
      <c r="A618" s="8"/>
      <c r="B618" s="25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2.75" customHeight="1">
      <c r="A619" s="8"/>
      <c r="B619" s="25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2.75" customHeight="1">
      <c r="A620" s="8"/>
      <c r="B620" s="25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2.75" customHeight="1">
      <c r="A621" s="8"/>
      <c r="B621" s="25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2.75" customHeight="1">
      <c r="A622" s="8"/>
      <c r="B622" s="25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2.75" customHeight="1">
      <c r="A623" s="8"/>
      <c r="B623" s="25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2.75" customHeight="1">
      <c r="A624" s="8"/>
      <c r="B624" s="25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2.75" customHeight="1">
      <c r="A625" s="8"/>
      <c r="B625" s="25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2.75" customHeight="1">
      <c r="A626" s="8"/>
      <c r="B626" s="25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2.75" customHeight="1">
      <c r="A627" s="8"/>
      <c r="B627" s="25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2.75" customHeight="1">
      <c r="A628" s="8"/>
      <c r="B628" s="25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2.75" customHeight="1">
      <c r="A629" s="8"/>
      <c r="B629" s="25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2.75" customHeight="1">
      <c r="A630" s="8"/>
      <c r="B630" s="25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2.75" customHeight="1">
      <c r="A631" s="8"/>
      <c r="B631" s="25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2.75" customHeight="1">
      <c r="A632" s="8"/>
      <c r="B632" s="25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2.75" customHeight="1">
      <c r="A633" s="8"/>
      <c r="B633" s="25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2.75" customHeight="1">
      <c r="A634" s="8"/>
      <c r="B634" s="25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2.75" customHeight="1">
      <c r="A635" s="8"/>
      <c r="B635" s="25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2.75" customHeight="1">
      <c r="A636" s="8"/>
      <c r="B636" s="25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2.75" customHeight="1">
      <c r="A637" s="8"/>
      <c r="B637" s="25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2.75" customHeight="1">
      <c r="A638" s="8"/>
      <c r="B638" s="25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2.75" customHeight="1">
      <c r="A639" s="8"/>
      <c r="B639" s="25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2.75" customHeight="1">
      <c r="A640" s="8"/>
      <c r="B640" s="25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2.75" customHeight="1">
      <c r="A641" s="8"/>
      <c r="B641" s="25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2.75" customHeight="1">
      <c r="A642" s="8"/>
      <c r="B642" s="25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2.75" customHeight="1">
      <c r="A643" s="8"/>
      <c r="B643" s="25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2.75" customHeight="1">
      <c r="A644" s="8"/>
      <c r="B644" s="25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2.75" customHeight="1">
      <c r="A645" s="8"/>
      <c r="B645" s="25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2.75" customHeight="1">
      <c r="A646" s="8"/>
      <c r="B646" s="25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2.75" customHeight="1">
      <c r="A647" s="8"/>
      <c r="B647" s="25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2.75" customHeight="1">
      <c r="A648" s="8"/>
      <c r="B648" s="25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2.75" customHeight="1">
      <c r="A649" s="8"/>
      <c r="B649" s="25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2.75" customHeight="1">
      <c r="A650" s="8"/>
      <c r="B650" s="25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2.75" customHeight="1">
      <c r="A651" s="8"/>
      <c r="B651" s="25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2.75" customHeight="1">
      <c r="A652" s="8"/>
      <c r="B652" s="25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2.75" customHeight="1">
      <c r="A653" s="8"/>
      <c r="B653" s="25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2.75" customHeight="1">
      <c r="A654" s="8"/>
      <c r="B654" s="25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2.75" customHeight="1">
      <c r="A655" s="8"/>
      <c r="B655" s="25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2.75" customHeight="1">
      <c r="A656" s="8"/>
      <c r="B656" s="25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2.75" customHeight="1">
      <c r="A657" s="8"/>
      <c r="B657" s="25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2.75" customHeight="1">
      <c r="A658" s="8"/>
      <c r="B658" s="25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2.75" customHeight="1">
      <c r="A659" s="8"/>
      <c r="B659" s="25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2.75" customHeight="1">
      <c r="A660" s="8"/>
      <c r="B660" s="25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2.75" customHeight="1">
      <c r="A661" s="8"/>
      <c r="B661" s="25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2.75" customHeight="1">
      <c r="A662" s="8"/>
      <c r="B662" s="25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2.75" customHeight="1">
      <c r="A663" s="8"/>
      <c r="B663" s="25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2.75" customHeight="1">
      <c r="A664" s="8"/>
      <c r="B664" s="25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2.75" customHeight="1">
      <c r="A665" s="8"/>
      <c r="B665" s="25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2.75" customHeight="1">
      <c r="A666" s="8"/>
      <c r="B666" s="25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2.75" customHeight="1">
      <c r="A667" s="8"/>
      <c r="B667" s="25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2.75" customHeight="1">
      <c r="A668" s="8"/>
      <c r="B668" s="25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2.75" customHeight="1">
      <c r="A669" s="8"/>
      <c r="B669" s="25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2.75" customHeight="1">
      <c r="A670" s="8"/>
      <c r="B670" s="25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2.75" customHeight="1">
      <c r="A671" s="8"/>
      <c r="B671" s="25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2.75" customHeight="1">
      <c r="A672" s="8"/>
      <c r="B672" s="25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2.75" customHeight="1">
      <c r="A673" s="8"/>
      <c r="B673" s="25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2.75" customHeight="1">
      <c r="A674" s="8"/>
      <c r="B674" s="25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2.75" customHeight="1">
      <c r="A675" s="8"/>
      <c r="B675" s="25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2.75" customHeight="1">
      <c r="A676" s="8"/>
      <c r="B676" s="25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2.75" customHeight="1">
      <c r="A677" s="8"/>
      <c r="B677" s="25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2.75" customHeight="1">
      <c r="A678" s="8"/>
      <c r="B678" s="25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2.75" customHeight="1">
      <c r="A679" s="8"/>
      <c r="B679" s="25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2.75" customHeight="1">
      <c r="A680" s="8"/>
      <c r="B680" s="25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2.75" customHeight="1">
      <c r="A681" s="8"/>
      <c r="B681" s="25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2.75" customHeight="1">
      <c r="A682" s="8"/>
      <c r="B682" s="25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2.75" customHeight="1">
      <c r="A683" s="8"/>
      <c r="B683" s="25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2.75" customHeight="1">
      <c r="A684" s="8"/>
      <c r="B684" s="25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2.75" customHeight="1">
      <c r="A685" s="8"/>
      <c r="B685" s="25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2.75" customHeight="1">
      <c r="A686" s="8"/>
      <c r="B686" s="25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2.75" customHeight="1">
      <c r="A687" s="8"/>
      <c r="B687" s="25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2.75" customHeight="1">
      <c r="A688" s="8"/>
      <c r="B688" s="25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2.75" customHeight="1">
      <c r="A689" s="8"/>
      <c r="B689" s="25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2.75" customHeight="1">
      <c r="A690" s="8"/>
      <c r="B690" s="25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2.75" customHeight="1">
      <c r="A691" s="8"/>
      <c r="B691" s="25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2.75" customHeight="1">
      <c r="A692" s="8"/>
      <c r="B692" s="25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2.75" customHeight="1">
      <c r="A693" s="8"/>
      <c r="B693" s="25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2.75" customHeight="1">
      <c r="A694" s="8"/>
      <c r="B694" s="25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2.75" customHeight="1">
      <c r="A695" s="8"/>
      <c r="B695" s="25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2.75" customHeight="1">
      <c r="A696" s="8"/>
      <c r="B696" s="25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2.75" customHeight="1">
      <c r="A697" s="8"/>
      <c r="B697" s="25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2.75" customHeight="1">
      <c r="A698" s="8"/>
      <c r="B698" s="25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2.75" customHeight="1">
      <c r="A699" s="8"/>
      <c r="B699" s="25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2.75" customHeight="1">
      <c r="A700" s="8"/>
      <c r="B700" s="25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2.75" customHeight="1">
      <c r="A701" s="8"/>
      <c r="B701" s="25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2.75" customHeight="1">
      <c r="A702" s="8"/>
      <c r="B702" s="25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2.75" customHeight="1">
      <c r="A703" s="8"/>
      <c r="B703" s="25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2.75" customHeight="1">
      <c r="A704" s="8"/>
      <c r="B704" s="25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2.75" customHeight="1">
      <c r="A705" s="8"/>
      <c r="B705" s="25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2.75" customHeight="1">
      <c r="A706" s="8"/>
      <c r="B706" s="25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2.75" customHeight="1">
      <c r="A707" s="8"/>
      <c r="B707" s="25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2.75" customHeight="1">
      <c r="A708" s="8"/>
      <c r="B708" s="25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2.75" customHeight="1">
      <c r="A709" s="8"/>
      <c r="B709" s="25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2.75" customHeight="1">
      <c r="A710" s="8"/>
      <c r="B710" s="25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2.75" customHeight="1">
      <c r="A711" s="8"/>
      <c r="B711" s="25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2.75" customHeight="1">
      <c r="A712" s="8"/>
      <c r="B712" s="25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2.75" customHeight="1">
      <c r="A713" s="8"/>
      <c r="B713" s="25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2.75" customHeight="1">
      <c r="A714" s="8"/>
      <c r="B714" s="25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2.75" customHeight="1">
      <c r="A715" s="8"/>
      <c r="B715" s="25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2.75" customHeight="1">
      <c r="A716" s="8"/>
      <c r="B716" s="25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2.75" customHeight="1">
      <c r="A717" s="8"/>
      <c r="B717" s="25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2.75" customHeight="1">
      <c r="A718" s="8"/>
      <c r="B718" s="25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2.75" customHeight="1">
      <c r="A719" s="8"/>
      <c r="B719" s="25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2.75" customHeight="1">
      <c r="A720" s="8"/>
      <c r="B720" s="25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2.75" customHeight="1">
      <c r="A721" s="8"/>
      <c r="B721" s="25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2.75" customHeight="1">
      <c r="A722" s="8"/>
      <c r="B722" s="25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2.75" customHeight="1">
      <c r="A723" s="8"/>
      <c r="B723" s="25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2.75" customHeight="1">
      <c r="A724" s="8"/>
      <c r="B724" s="25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2.75" customHeight="1">
      <c r="A725" s="8"/>
      <c r="B725" s="25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2.75" customHeight="1">
      <c r="A726" s="8"/>
      <c r="B726" s="25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2.75" customHeight="1">
      <c r="A727" s="8"/>
      <c r="B727" s="25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2.75" customHeight="1">
      <c r="A728" s="8"/>
      <c r="B728" s="25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2.75" customHeight="1">
      <c r="A729" s="8"/>
      <c r="B729" s="25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2.75" customHeight="1">
      <c r="A730" s="8"/>
      <c r="B730" s="25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2.75" customHeight="1">
      <c r="A731" s="8"/>
      <c r="B731" s="25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2.75" customHeight="1">
      <c r="A732" s="8"/>
      <c r="B732" s="25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2.75" customHeight="1">
      <c r="A733" s="8"/>
      <c r="B733" s="25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2.75" customHeight="1">
      <c r="A734" s="8"/>
      <c r="B734" s="25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2.75" customHeight="1">
      <c r="A735" s="8"/>
      <c r="B735" s="25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2.75" customHeight="1">
      <c r="A736" s="8"/>
      <c r="B736" s="25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2.75" customHeight="1">
      <c r="A737" s="8"/>
      <c r="B737" s="25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2.75" customHeight="1">
      <c r="A738" s="8"/>
      <c r="B738" s="25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2.75" customHeight="1">
      <c r="A739" s="8"/>
      <c r="B739" s="25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2.75" customHeight="1">
      <c r="A740" s="8"/>
      <c r="B740" s="25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2.75" customHeight="1">
      <c r="A741" s="8"/>
      <c r="B741" s="25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2.75" customHeight="1">
      <c r="A742" s="8"/>
      <c r="B742" s="25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2.75" customHeight="1">
      <c r="A743" s="8"/>
      <c r="B743" s="25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2.75" customHeight="1">
      <c r="A744" s="8"/>
      <c r="B744" s="25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2.75" customHeight="1">
      <c r="A745" s="8"/>
      <c r="B745" s="25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2.75" customHeight="1">
      <c r="A746" s="8"/>
      <c r="B746" s="25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2.75" customHeight="1">
      <c r="A747" s="8"/>
      <c r="B747" s="25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2.75" customHeight="1">
      <c r="A748" s="8"/>
      <c r="B748" s="25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2.75" customHeight="1">
      <c r="A749" s="8"/>
      <c r="B749" s="25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2.75" customHeight="1">
      <c r="A750" s="8"/>
      <c r="B750" s="25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2.75" customHeight="1">
      <c r="A751" s="8"/>
      <c r="B751" s="25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2.75" customHeight="1">
      <c r="A752" s="8"/>
      <c r="B752" s="25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2.75" customHeight="1">
      <c r="A753" s="8"/>
      <c r="B753" s="25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2.75" customHeight="1">
      <c r="A754" s="8"/>
      <c r="B754" s="25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2.75" customHeight="1">
      <c r="A755" s="8"/>
      <c r="B755" s="25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2.75" customHeight="1">
      <c r="A756" s="8"/>
      <c r="B756" s="25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2.75" customHeight="1">
      <c r="A757" s="8"/>
      <c r="B757" s="25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2.75" customHeight="1">
      <c r="A758" s="8"/>
      <c r="B758" s="25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2.75" customHeight="1">
      <c r="A759" s="8"/>
      <c r="B759" s="25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2.75" customHeight="1">
      <c r="A760" s="8"/>
      <c r="B760" s="25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2.75" customHeight="1">
      <c r="A761" s="8"/>
      <c r="B761" s="25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2.75" customHeight="1">
      <c r="A762" s="8"/>
      <c r="B762" s="25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2.75" customHeight="1">
      <c r="A763" s="8"/>
      <c r="B763" s="25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2.75" customHeight="1">
      <c r="A764" s="8"/>
      <c r="B764" s="25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2.75" customHeight="1">
      <c r="A765" s="8"/>
      <c r="B765" s="25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2.75" customHeight="1">
      <c r="A766" s="8"/>
      <c r="B766" s="25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2.75" customHeight="1">
      <c r="A767" s="8"/>
      <c r="B767" s="25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2.75" customHeight="1">
      <c r="A768" s="8"/>
      <c r="B768" s="25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2.75" customHeight="1">
      <c r="A769" s="8"/>
      <c r="B769" s="25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2.75" customHeight="1">
      <c r="A770" s="8"/>
      <c r="B770" s="25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2.75" customHeight="1">
      <c r="A771" s="8"/>
      <c r="B771" s="25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2.75" customHeight="1">
      <c r="A772" s="8"/>
      <c r="B772" s="25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2.75" customHeight="1">
      <c r="A773" s="8"/>
      <c r="B773" s="25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2.75" customHeight="1">
      <c r="A774" s="8"/>
      <c r="B774" s="25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2.75" customHeight="1">
      <c r="A775" s="8"/>
      <c r="B775" s="25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2.75" customHeight="1">
      <c r="A776" s="8"/>
      <c r="B776" s="25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2.75" customHeight="1">
      <c r="A777" s="8"/>
      <c r="B777" s="25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2.75" customHeight="1">
      <c r="A778" s="8"/>
      <c r="B778" s="25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2.75" customHeight="1">
      <c r="A779" s="8"/>
      <c r="B779" s="25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2.75" customHeight="1">
      <c r="A780" s="8"/>
      <c r="B780" s="25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2.75" customHeight="1">
      <c r="A781" s="8"/>
      <c r="B781" s="25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2.75" customHeight="1">
      <c r="A782" s="8"/>
      <c r="B782" s="25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2.75" customHeight="1">
      <c r="A783" s="8"/>
      <c r="B783" s="25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2.75" customHeight="1">
      <c r="A784" s="8"/>
      <c r="B784" s="25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2.75" customHeight="1">
      <c r="A785" s="8"/>
      <c r="B785" s="25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2.75" customHeight="1">
      <c r="A786" s="8"/>
      <c r="B786" s="25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2.75" customHeight="1">
      <c r="A787" s="8"/>
      <c r="B787" s="25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2.75" customHeight="1">
      <c r="A788" s="8"/>
      <c r="B788" s="25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2.75" customHeight="1">
      <c r="A789" s="8"/>
      <c r="B789" s="25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2.75" customHeight="1">
      <c r="A790" s="8"/>
      <c r="B790" s="25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2.75" customHeight="1">
      <c r="A791" s="8"/>
      <c r="B791" s="25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2.75" customHeight="1">
      <c r="A792" s="8"/>
      <c r="B792" s="25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2.75" customHeight="1">
      <c r="A793" s="8"/>
      <c r="B793" s="25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2.75" customHeight="1">
      <c r="A794" s="8"/>
      <c r="B794" s="25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2.75" customHeight="1">
      <c r="A795" s="8"/>
      <c r="B795" s="25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2.75" customHeight="1">
      <c r="A796" s="8"/>
      <c r="B796" s="25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2.75" customHeight="1">
      <c r="A797" s="8"/>
      <c r="B797" s="25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2.75" customHeight="1">
      <c r="A798" s="8"/>
      <c r="B798" s="25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2.75" customHeight="1">
      <c r="A799" s="8"/>
      <c r="B799" s="25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2.75" customHeight="1">
      <c r="A800" s="8"/>
      <c r="B800" s="25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2.75" customHeight="1">
      <c r="A801" s="8"/>
      <c r="B801" s="25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2.75" customHeight="1">
      <c r="A802" s="8"/>
      <c r="B802" s="25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2.75" customHeight="1">
      <c r="A803" s="8"/>
      <c r="B803" s="25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2.75" customHeight="1">
      <c r="A804" s="8"/>
      <c r="B804" s="25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2.75" customHeight="1">
      <c r="A805" s="8"/>
      <c r="B805" s="25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2.75" customHeight="1">
      <c r="A806" s="8"/>
      <c r="B806" s="25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2.75" customHeight="1">
      <c r="A807" s="8"/>
      <c r="B807" s="25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2.75" customHeight="1">
      <c r="A808" s="8"/>
      <c r="B808" s="25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2.75" customHeight="1">
      <c r="A809" s="8"/>
      <c r="B809" s="25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2.75" customHeight="1">
      <c r="A810" s="8"/>
      <c r="B810" s="25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2.75" customHeight="1">
      <c r="A811" s="8"/>
      <c r="B811" s="25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2.75" customHeight="1">
      <c r="A812" s="8"/>
      <c r="B812" s="25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2.75" customHeight="1">
      <c r="A813" s="8"/>
      <c r="B813" s="25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2.75" customHeight="1">
      <c r="A814" s="8"/>
      <c r="B814" s="25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2.75" customHeight="1">
      <c r="A815" s="8"/>
      <c r="B815" s="25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2.75" customHeight="1">
      <c r="A816" s="8"/>
      <c r="B816" s="25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2.75" customHeight="1">
      <c r="A817" s="8"/>
      <c r="B817" s="25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2.75" customHeight="1">
      <c r="A818" s="8"/>
      <c r="B818" s="25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2.75" customHeight="1">
      <c r="A819" s="8"/>
      <c r="B819" s="25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2.75" customHeight="1">
      <c r="A820" s="8"/>
      <c r="B820" s="25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2.75" customHeight="1">
      <c r="A821" s="8"/>
      <c r="B821" s="25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2.75" customHeight="1">
      <c r="A822" s="8"/>
      <c r="B822" s="25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2.75" customHeight="1">
      <c r="A823" s="8"/>
      <c r="B823" s="25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2.75" customHeight="1">
      <c r="A824" s="8"/>
      <c r="B824" s="25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2.75" customHeight="1">
      <c r="A825" s="8"/>
      <c r="B825" s="25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2.75" customHeight="1">
      <c r="A826" s="8"/>
      <c r="B826" s="25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2.75" customHeight="1">
      <c r="A827" s="8"/>
      <c r="B827" s="25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2.75" customHeight="1">
      <c r="A828" s="8"/>
      <c r="B828" s="25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2.75" customHeight="1">
      <c r="A829" s="8"/>
      <c r="B829" s="25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2.75" customHeight="1">
      <c r="A830" s="8"/>
      <c r="B830" s="25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2.75" customHeight="1">
      <c r="A831" s="8"/>
      <c r="B831" s="25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2.75" customHeight="1">
      <c r="A832" s="8"/>
      <c r="B832" s="25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2.75" customHeight="1">
      <c r="A833" s="8"/>
      <c r="B833" s="25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2.75" customHeight="1">
      <c r="A834" s="8"/>
      <c r="B834" s="25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2.75" customHeight="1">
      <c r="A835" s="8"/>
      <c r="B835" s="25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2.75" customHeight="1">
      <c r="A836" s="8"/>
      <c r="B836" s="25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2.75" customHeight="1">
      <c r="A837" s="8"/>
      <c r="B837" s="25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2.75" customHeight="1">
      <c r="A838" s="8"/>
      <c r="B838" s="25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2.75" customHeight="1">
      <c r="A839" s="8"/>
      <c r="B839" s="25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2.75" customHeight="1">
      <c r="A840" s="8"/>
      <c r="B840" s="25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2.75" customHeight="1">
      <c r="A841" s="8"/>
      <c r="B841" s="25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2.75" customHeight="1">
      <c r="A842" s="8"/>
      <c r="B842" s="25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2.75" customHeight="1">
      <c r="A843" s="8"/>
      <c r="B843" s="25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2.75" customHeight="1">
      <c r="A844" s="8"/>
      <c r="B844" s="25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2.75" customHeight="1">
      <c r="A845" s="8"/>
      <c r="B845" s="25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2.75" customHeight="1">
      <c r="A846" s="8"/>
      <c r="B846" s="25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2.75" customHeight="1">
      <c r="A847" s="8"/>
      <c r="B847" s="25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2.75" customHeight="1">
      <c r="A848" s="8"/>
      <c r="B848" s="25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2.75" customHeight="1">
      <c r="A849" s="8"/>
      <c r="B849" s="25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2.75" customHeight="1">
      <c r="A850" s="8"/>
      <c r="B850" s="25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2.75" customHeight="1">
      <c r="A851" s="8"/>
      <c r="B851" s="25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2.75" customHeight="1">
      <c r="A852" s="8"/>
      <c r="B852" s="25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2.75" customHeight="1">
      <c r="A853" s="8"/>
      <c r="B853" s="25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2.75" customHeight="1">
      <c r="A854" s="8"/>
      <c r="B854" s="25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2.75" customHeight="1">
      <c r="A855" s="8"/>
      <c r="B855" s="25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2.75" customHeight="1">
      <c r="A856" s="8"/>
      <c r="B856" s="25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2.75" customHeight="1">
      <c r="A857" s="8"/>
      <c r="B857" s="25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2.75" customHeight="1">
      <c r="A858" s="8"/>
      <c r="B858" s="25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2.75" customHeight="1">
      <c r="A859" s="8"/>
      <c r="B859" s="25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2.75" customHeight="1">
      <c r="A860" s="8"/>
      <c r="B860" s="25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2.75" customHeight="1">
      <c r="A861" s="8"/>
      <c r="B861" s="25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2.75" customHeight="1">
      <c r="A862" s="8"/>
      <c r="B862" s="25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2.75" customHeight="1">
      <c r="A863" s="8"/>
      <c r="B863" s="25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2.75" customHeight="1">
      <c r="A864" s="8"/>
      <c r="B864" s="25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2.75" customHeight="1">
      <c r="A865" s="8"/>
      <c r="B865" s="25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2.75" customHeight="1">
      <c r="A866" s="8"/>
      <c r="B866" s="25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2.75" customHeight="1">
      <c r="A867" s="8"/>
      <c r="B867" s="25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2.75" customHeight="1">
      <c r="A868" s="8"/>
      <c r="B868" s="25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2.75" customHeight="1">
      <c r="A869" s="8"/>
      <c r="B869" s="25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2.75" customHeight="1">
      <c r="A870" s="8"/>
      <c r="B870" s="25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2.75" customHeight="1">
      <c r="A871" s="8"/>
      <c r="B871" s="25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2.75" customHeight="1">
      <c r="A872" s="8"/>
      <c r="B872" s="25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2.75" customHeight="1">
      <c r="A873" s="8"/>
      <c r="B873" s="25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2.75" customHeight="1">
      <c r="A874" s="8"/>
      <c r="B874" s="25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2.75" customHeight="1">
      <c r="A875" s="8"/>
      <c r="B875" s="25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2.75" customHeight="1">
      <c r="A876" s="8"/>
      <c r="B876" s="25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2.75" customHeight="1">
      <c r="A877" s="8"/>
      <c r="B877" s="25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2.75" customHeight="1">
      <c r="A878" s="8"/>
      <c r="B878" s="25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2.75" customHeight="1">
      <c r="A879" s="8"/>
      <c r="B879" s="25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2.75" customHeight="1">
      <c r="A880" s="8"/>
      <c r="B880" s="25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2.75" customHeight="1">
      <c r="A881" s="8"/>
      <c r="B881" s="25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2.75" customHeight="1">
      <c r="A882" s="8"/>
      <c r="B882" s="25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2.75" customHeight="1">
      <c r="A883" s="8"/>
      <c r="B883" s="25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2.75" customHeight="1">
      <c r="A884" s="8"/>
      <c r="B884" s="25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2.75" customHeight="1">
      <c r="A885" s="8"/>
      <c r="B885" s="25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2.75" customHeight="1">
      <c r="A886" s="8"/>
      <c r="B886" s="25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2.75" customHeight="1">
      <c r="A887" s="8"/>
      <c r="B887" s="25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2.75" customHeight="1">
      <c r="A888" s="8"/>
      <c r="B888" s="25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2.75" customHeight="1">
      <c r="A889" s="8"/>
      <c r="B889" s="25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2.75" customHeight="1">
      <c r="A890" s="8"/>
      <c r="B890" s="25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2.75" customHeight="1">
      <c r="A891" s="8"/>
      <c r="B891" s="25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2.75" customHeight="1">
      <c r="A892" s="8"/>
      <c r="B892" s="25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2.75" customHeight="1">
      <c r="A893" s="8"/>
      <c r="B893" s="25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2.75" customHeight="1">
      <c r="A894" s="8"/>
      <c r="B894" s="25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2.75" customHeight="1">
      <c r="A895" s="8"/>
      <c r="B895" s="25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2.75" customHeight="1">
      <c r="A896" s="8"/>
      <c r="B896" s="25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2.75" customHeight="1">
      <c r="A897" s="8"/>
      <c r="B897" s="25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2.75" customHeight="1">
      <c r="A898" s="8"/>
      <c r="B898" s="25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2.75" customHeight="1">
      <c r="A899" s="8"/>
      <c r="B899" s="25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2.75" customHeight="1">
      <c r="A900" s="8"/>
      <c r="B900" s="25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2.75" customHeight="1">
      <c r="A901" s="8"/>
      <c r="B901" s="25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2.75" customHeight="1">
      <c r="A902" s="8"/>
      <c r="B902" s="25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2.75" customHeight="1">
      <c r="A903" s="8"/>
      <c r="B903" s="25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2.75" customHeight="1">
      <c r="A904" s="8"/>
      <c r="B904" s="25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2.75" customHeight="1">
      <c r="A905" s="8"/>
      <c r="B905" s="25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2.75" customHeight="1">
      <c r="A906" s="8"/>
      <c r="B906" s="25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2.75" customHeight="1">
      <c r="A907" s="8"/>
      <c r="B907" s="25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2.75" customHeight="1">
      <c r="A908" s="8"/>
      <c r="B908" s="25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2.75" customHeight="1">
      <c r="A909" s="8"/>
      <c r="B909" s="25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2.75" customHeight="1">
      <c r="A910" s="8"/>
      <c r="B910" s="25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2.75" customHeight="1">
      <c r="A911" s="8"/>
      <c r="B911" s="25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2.75" customHeight="1">
      <c r="A912" s="8"/>
      <c r="B912" s="25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2.75" customHeight="1">
      <c r="A913" s="8"/>
      <c r="B913" s="25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2.75" customHeight="1">
      <c r="A914" s="8"/>
      <c r="B914" s="25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2.75" customHeight="1">
      <c r="A915" s="8"/>
      <c r="B915" s="25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2.75" customHeight="1">
      <c r="A916" s="8"/>
      <c r="B916" s="25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2.75" customHeight="1">
      <c r="A917" s="8"/>
      <c r="B917" s="25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2.75" customHeight="1">
      <c r="A918" s="8"/>
      <c r="B918" s="25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2.75" customHeight="1">
      <c r="A919" s="8"/>
      <c r="B919" s="25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2.75" customHeight="1">
      <c r="A920" s="8"/>
      <c r="B920" s="25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2.75" customHeight="1">
      <c r="A921" s="8"/>
      <c r="B921" s="25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2.75" customHeight="1">
      <c r="A922" s="8"/>
      <c r="B922" s="25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2.75" customHeight="1">
      <c r="A923" s="8"/>
      <c r="B923" s="25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2.75" customHeight="1">
      <c r="A924" s="8"/>
      <c r="B924" s="25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2.75" customHeight="1">
      <c r="A925" s="8"/>
      <c r="B925" s="25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2.75" customHeight="1">
      <c r="A926" s="8"/>
      <c r="B926" s="25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2.75" customHeight="1">
      <c r="A927" s="8"/>
      <c r="B927" s="25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2.75" customHeight="1">
      <c r="A928" s="8"/>
      <c r="B928" s="25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2.75" customHeight="1">
      <c r="A929" s="8"/>
      <c r="B929" s="25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2.75" customHeight="1">
      <c r="A930" s="8"/>
      <c r="B930" s="25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2.75" customHeight="1">
      <c r="A931" s="8"/>
      <c r="B931" s="25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2.75" customHeight="1">
      <c r="A932" s="8"/>
      <c r="B932" s="25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2.75" customHeight="1">
      <c r="A933" s="8"/>
      <c r="B933" s="25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2.75" customHeight="1">
      <c r="A934" s="8"/>
      <c r="B934" s="25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2.75" customHeight="1">
      <c r="A935" s="8"/>
      <c r="B935" s="25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2.75" customHeight="1">
      <c r="A936" s="8"/>
      <c r="B936" s="25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2.75" customHeight="1">
      <c r="A937" s="8"/>
      <c r="B937" s="25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2.75" customHeight="1">
      <c r="A938" s="8"/>
      <c r="B938" s="25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2.75" customHeight="1">
      <c r="A939" s="8"/>
      <c r="B939" s="25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2.75" customHeight="1">
      <c r="A940" s="8"/>
      <c r="B940" s="25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2.75" customHeight="1">
      <c r="A941" s="8"/>
      <c r="B941" s="25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2.75" customHeight="1">
      <c r="A942" s="8"/>
      <c r="B942" s="25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2.75" customHeight="1">
      <c r="A943" s="8"/>
      <c r="B943" s="25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2.75" customHeight="1">
      <c r="A944" s="8"/>
      <c r="B944" s="25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2.75" customHeight="1">
      <c r="A945" s="8"/>
      <c r="B945" s="25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2.75" customHeight="1">
      <c r="A946" s="8"/>
      <c r="B946" s="25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2.75" customHeight="1">
      <c r="A947" s="8"/>
      <c r="B947" s="25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2.75" customHeight="1">
      <c r="A948" s="8"/>
      <c r="B948" s="25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2.75" customHeight="1">
      <c r="A949" s="8"/>
      <c r="B949" s="25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2.75" customHeight="1">
      <c r="A950" s="8"/>
      <c r="B950" s="25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2.75" customHeight="1">
      <c r="A951" s="8"/>
      <c r="B951" s="25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2.75" customHeight="1">
      <c r="A952" s="8"/>
      <c r="B952" s="25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2.75" customHeight="1">
      <c r="A953" s="8"/>
      <c r="B953" s="25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2.75" customHeight="1">
      <c r="A954" s="8"/>
      <c r="B954" s="25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2.75" customHeight="1">
      <c r="A955" s="8"/>
      <c r="B955" s="25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2.75" customHeight="1">
      <c r="A956" s="8"/>
      <c r="B956" s="25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2.75" customHeight="1">
      <c r="A957" s="8"/>
      <c r="B957" s="25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2.75" customHeight="1">
      <c r="A958" s="8"/>
      <c r="B958" s="25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2.75" customHeight="1">
      <c r="A959" s="8"/>
      <c r="B959" s="25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2.75" customHeight="1">
      <c r="A960" s="8"/>
      <c r="B960" s="25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2.75" customHeight="1">
      <c r="A961" s="8"/>
      <c r="B961" s="25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2.75" customHeight="1">
      <c r="A962" s="8"/>
      <c r="B962" s="25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2.75" customHeight="1">
      <c r="A963" s="8"/>
      <c r="B963" s="25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2.75" customHeight="1">
      <c r="A964" s="8"/>
      <c r="B964" s="25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2.75" customHeight="1">
      <c r="A965" s="8"/>
      <c r="B965" s="25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2.75" customHeight="1">
      <c r="A966" s="8"/>
      <c r="B966" s="25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2.75" customHeight="1">
      <c r="A967" s="8"/>
      <c r="B967" s="25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2.75" customHeight="1">
      <c r="A968" s="8"/>
      <c r="B968" s="25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2.75" customHeight="1">
      <c r="A969" s="8"/>
      <c r="B969" s="25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2.75" customHeight="1">
      <c r="A970" s="8"/>
      <c r="B970" s="25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2.75" customHeight="1">
      <c r="A971" s="8"/>
      <c r="B971" s="25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2.75" customHeight="1">
      <c r="A972" s="8"/>
      <c r="B972" s="25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2.75" customHeight="1">
      <c r="A973" s="8"/>
      <c r="B973" s="25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2.75" customHeight="1">
      <c r="A974" s="8"/>
      <c r="B974" s="25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2.75" customHeight="1">
      <c r="A975" s="8"/>
      <c r="B975" s="25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2.75" customHeight="1">
      <c r="A976" s="8"/>
      <c r="B976" s="25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2.75" customHeight="1">
      <c r="A977" s="8"/>
      <c r="B977" s="25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2.75" customHeight="1">
      <c r="A978" s="8"/>
      <c r="B978" s="25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2.75" customHeight="1">
      <c r="A979" s="8"/>
      <c r="B979" s="25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2.75" customHeight="1">
      <c r="A980" s="8"/>
      <c r="B980" s="25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2.75" customHeight="1">
      <c r="A981" s="8"/>
      <c r="B981" s="25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2.75" customHeight="1">
      <c r="A982" s="8"/>
      <c r="B982" s="25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2.75" customHeight="1">
      <c r="A983" s="8"/>
      <c r="B983" s="25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2.75" customHeight="1">
      <c r="A984" s="8"/>
      <c r="B984" s="25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2.75" customHeight="1">
      <c r="A985" s="8"/>
      <c r="B985" s="25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2.75" customHeight="1">
      <c r="A986" s="8"/>
      <c r="B986" s="25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2.75" customHeight="1">
      <c r="A987" s="8"/>
      <c r="B987" s="25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2.75" customHeight="1">
      <c r="A988" s="8"/>
      <c r="B988" s="25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2.75" customHeight="1">
      <c r="A989" s="8"/>
      <c r="B989" s="25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2.75" customHeight="1">
      <c r="A990" s="8"/>
      <c r="B990" s="25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2.75" customHeight="1">
      <c r="A991" s="8"/>
      <c r="B991" s="25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2.75" customHeight="1">
      <c r="A992" s="8"/>
      <c r="B992" s="25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2.75" customHeight="1">
      <c r="A993" s="8"/>
      <c r="B993" s="25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2.75" customHeight="1">
      <c r="A994" s="8"/>
      <c r="B994" s="25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2.75" customHeight="1">
      <c r="A995" s="8"/>
      <c r="B995" s="25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2.75" customHeight="1">
      <c r="A996" s="8"/>
      <c r="B996" s="25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2.75" customHeight="1">
      <c r="A997" s="8"/>
      <c r="B997" s="25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2.75" customHeight="1">
      <c r="A998" s="8"/>
      <c r="B998" s="25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2.75" customHeight="1">
      <c r="A999" s="8"/>
      <c r="B999" s="25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2.75" customHeight="1">
      <c r="A1000" s="8"/>
      <c r="B1000" s="25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2">
    <mergeCell ref="A1:B1"/>
    <mergeCell ref="A8:B8"/>
  </mergeCells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5"/>
    <col customWidth="1" min="2" max="2" width="19.5"/>
    <col customWidth="1" min="3" max="26" width="11.5"/>
  </cols>
  <sheetData>
    <row r="1" ht="48.0" customHeight="1">
      <c r="A1" s="34" t="s">
        <v>55</v>
      </c>
      <c r="B1" s="35"/>
    </row>
    <row r="2" ht="12.75" customHeight="1">
      <c r="A2" s="36"/>
      <c r="B2" s="36"/>
    </row>
    <row r="3" ht="12.75" customHeight="1">
      <c r="A3" s="37" t="s">
        <v>56</v>
      </c>
      <c r="B3" s="37" t="s">
        <v>46</v>
      </c>
    </row>
    <row r="4" ht="12.75" customHeight="1">
      <c r="A4" s="37" t="s">
        <v>44</v>
      </c>
      <c r="B4" s="37" t="s">
        <v>57</v>
      </c>
    </row>
    <row r="5" ht="12.75" customHeight="1">
      <c r="A5" s="37" t="s">
        <v>58</v>
      </c>
      <c r="B5" s="37" t="s">
        <v>59</v>
      </c>
    </row>
    <row r="6" ht="12.75" customHeight="1">
      <c r="A6" s="37" t="s">
        <v>60</v>
      </c>
      <c r="B6" s="37" t="s">
        <v>57</v>
      </c>
    </row>
    <row r="7" ht="12.75" customHeight="1">
      <c r="A7" s="36"/>
      <c r="B7" s="36"/>
    </row>
    <row r="8" ht="12.75" customHeight="1">
      <c r="A8" s="37" t="s">
        <v>61</v>
      </c>
      <c r="B8" s="37" t="s">
        <v>62</v>
      </c>
    </row>
    <row r="9" ht="12.75" customHeight="1">
      <c r="A9" s="8"/>
      <c r="B9" s="8"/>
    </row>
    <row r="10" ht="12.75" customHeight="1">
      <c r="A10" s="36" t="s">
        <v>63</v>
      </c>
      <c r="B10" s="36">
        <v>58.304</v>
      </c>
    </row>
    <row r="11" ht="12.75" customHeight="1">
      <c r="A11" s="36" t="s">
        <v>64</v>
      </c>
      <c r="B11" s="36">
        <v>226.0</v>
      </c>
    </row>
    <row r="12" ht="12.75" customHeight="1">
      <c r="A12" s="36" t="s">
        <v>65</v>
      </c>
      <c r="B12" s="36">
        <v>434.0</v>
      </c>
    </row>
    <row r="13" ht="12.75" customHeight="1">
      <c r="A13" s="36" t="s">
        <v>66</v>
      </c>
      <c r="B13" s="36">
        <v>340.0</v>
      </c>
    </row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1:B1"/>
  </mergeCells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5" width="11.5"/>
    <col customWidth="1" min="6" max="6" width="14.25"/>
    <col customWidth="1" min="7" max="7" width="11.5"/>
    <col customWidth="1" min="8" max="8" width="17.25"/>
    <col customWidth="1" min="9" max="11" width="11.5"/>
    <col customWidth="1" min="12" max="12" width="16.0"/>
    <col customWidth="1" min="13" max="13" width="16.75"/>
    <col customWidth="1" min="14" max="14" width="18.75"/>
    <col customWidth="1" min="15" max="15" width="21.5"/>
    <col customWidth="1" min="16" max="16" width="18.25"/>
    <col customWidth="1" min="17" max="17" width="16.13"/>
    <col customWidth="1" min="18" max="18" width="17.88"/>
    <col customWidth="1" min="19" max="19" width="23.38"/>
    <col customWidth="1" min="20" max="20" width="19.13"/>
    <col customWidth="1" min="21" max="26" width="11.5"/>
  </cols>
  <sheetData>
    <row r="1" ht="12.75" customHeight="1">
      <c r="A1" s="5" t="s">
        <v>0</v>
      </c>
      <c r="B1" s="5" t="s">
        <v>1</v>
      </c>
      <c r="C1" s="5" t="s">
        <v>5</v>
      </c>
      <c r="D1" s="5" t="s">
        <v>7</v>
      </c>
      <c r="E1" s="5" t="s">
        <v>6</v>
      </c>
      <c r="F1" s="5" t="s">
        <v>67</v>
      </c>
      <c r="G1" s="5" t="s">
        <v>68</v>
      </c>
      <c r="H1" s="5" t="s">
        <v>69</v>
      </c>
      <c r="I1" s="5" t="s">
        <v>70</v>
      </c>
      <c r="J1" s="5" t="s">
        <v>71</v>
      </c>
      <c r="K1" s="5" t="s">
        <v>13</v>
      </c>
      <c r="L1" s="5" t="s">
        <v>14</v>
      </c>
      <c r="M1" s="5" t="s">
        <v>72</v>
      </c>
      <c r="N1" s="5" t="s">
        <v>73</v>
      </c>
      <c r="O1" s="5" t="s">
        <v>74</v>
      </c>
      <c r="P1" s="5" t="s">
        <v>75</v>
      </c>
      <c r="Q1" s="5" t="s">
        <v>76</v>
      </c>
      <c r="R1" s="5" t="s">
        <v>77</v>
      </c>
      <c r="S1" s="5" t="s">
        <v>78</v>
      </c>
      <c r="T1" s="5" t="s">
        <v>79</v>
      </c>
      <c r="U1" s="5"/>
      <c r="V1" s="5"/>
      <c r="W1" s="5"/>
      <c r="X1" s="5"/>
      <c r="Y1" s="5"/>
      <c r="Z1" s="5"/>
    </row>
    <row r="2" ht="12.75" customHeight="1">
      <c r="A2" s="38">
        <f>dataset_A!A2</f>
        <v>440</v>
      </c>
      <c r="B2" s="39">
        <f>dataset_A!B2</f>
        <v>40563</v>
      </c>
      <c r="C2" s="38">
        <f>dataset_A!F2</f>
        <v>8</v>
      </c>
      <c r="D2" s="38">
        <f>dataset_A!H2</f>
        <v>4</v>
      </c>
      <c r="E2" s="38" t="b">
        <f>dataset_A!G2</f>
        <v>0</v>
      </c>
      <c r="F2" s="38" t="b">
        <f>dataset_A!G2</f>
        <v>0</v>
      </c>
      <c r="G2" s="38" t="str">
        <f t="shared" ref="G2:G1001" si="1">IF(OR(D2=0,D2=6),"Weekend","Weekday")</f>
        <v>Weekday</v>
      </c>
      <c r="H2" s="38" t="str">
        <f t="shared" ref="H2:H1001" si="2">IF(C2&lt;6,"Night",IF(C2&lt;12,"Morning",IF(C2&lt;18,"Afternoon","Evening")))</f>
        <v>Morning</v>
      </c>
      <c r="I2" s="38" t="str">
        <f>IF(dataset_A!C2=1,"Spring",IF(dataset_A!C2=2,"Summer",IF(dataset_A!C2=3,"Fail","Winter")))</f>
        <v>Spring</v>
      </c>
      <c r="J2" s="38" t="str">
        <f>IF(dataset_A!I2=1,"Clear",IF(dataset_A!I2,"Mist/Cloudy",IF(dataset_A!I2=3,"Light Rain/Snow","Heavy Rain/Snow")))</f>
        <v>Clear</v>
      </c>
      <c r="K2" s="38">
        <f>dataset_A!N2</f>
        <v>2</v>
      </c>
      <c r="L2" s="38">
        <f>dataset_A!O2</f>
        <v>247</v>
      </c>
      <c r="M2" s="38">
        <f>dataset_A!P2</f>
        <v>249</v>
      </c>
      <c r="N2" s="38" t="str">
        <f t="shared" ref="N2:N1001" si="3">IF(K2+L2=M2,"Ok","Error")</f>
        <v>Ok</v>
      </c>
      <c r="O2" s="38" t="str">
        <f>IF(M2&gt;Analysis!$B$3*1.5,"High",IF(M2&lt;Analysis!$B$3*0.5,"Low","Medium"))</f>
        <v>High</v>
      </c>
      <c r="P2" s="38" t="str">
        <f>VLOOKUP(dataset_A!C2,$Q$2:$R$5,2,0)</f>
        <v>Spring</v>
      </c>
      <c r="Q2" s="38">
        <v>1.0</v>
      </c>
      <c r="R2" s="38" t="s">
        <v>80</v>
      </c>
      <c r="S2" s="38" t="str">
        <f t="array" ref="S2">INDEX($R$2:$R$5,MATCH(dataset_A!C2,$Q$2:$Q$5,0))</f>
        <v>Spring</v>
      </c>
      <c r="T2" s="38" t="str">
        <f t="shared" ref="T2:T1001" si="4">IF(P2=S2,"Match","Check")</f>
        <v>Match</v>
      </c>
    </row>
    <row r="3" ht="12.75" customHeight="1">
      <c r="A3" s="38">
        <f>dataset_A!A3</f>
        <v>862</v>
      </c>
      <c r="B3" s="39">
        <f>dataset_A!B3</f>
        <v>40582</v>
      </c>
      <c r="C3" s="38">
        <f>dataset_A!F3</f>
        <v>8</v>
      </c>
      <c r="D3" s="38">
        <f>dataset_A!H3</f>
        <v>2</v>
      </c>
      <c r="E3" s="38" t="b">
        <f>dataset_A!G3</f>
        <v>0</v>
      </c>
      <c r="F3" s="38" t="b">
        <f>dataset_A!G3</f>
        <v>0</v>
      </c>
      <c r="G3" s="38" t="str">
        <f t="shared" si="1"/>
        <v>Weekday</v>
      </c>
      <c r="H3" s="38" t="str">
        <f t="shared" si="2"/>
        <v>Morning</v>
      </c>
      <c r="I3" s="38" t="str">
        <f>IF(dataset_A!C3=1,"Spring",IF(dataset_A!C3=2,"Summer",IF(dataset_A!C3=3,"Fail","Winter")))</f>
        <v>Spring</v>
      </c>
      <c r="J3" s="38" t="str">
        <f>IF(dataset_A!I3=1,"Clear",IF(dataset_A!I3,"Mist/Cloudy",IF(dataset_A!I3=3,"Light Rain/Snow","Heavy Rain/Snow")))</f>
        <v>Clear</v>
      </c>
      <c r="K3" s="38">
        <f>dataset_A!N3</f>
        <v>7</v>
      </c>
      <c r="L3" s="38">
        <f>dataset_A!O3</f>
        <v>236</v>
      </c>
      <c r="M3" s="38">
        <f>dataset_A!P3</f>
        <v>243</v>
      </c>
      <c r="N3" s="38" t="str">
        <f t="shared" si="3"/>
        <v>Ok</v>
      </c>
      <c r="O3" s="38" t="str">
        <f>IF(M3&gt;Analysis!$B$3*1.5,"High",IF(M3&lt;Analysis!$B$3*0.5,"Low","Medium"))</f>
        <v>High</v>
      </c>
      <c r="P3" s="38" t="str">
        <f>VLOOKUP(dataset_A!C3,$Q$2:$R$5,2,0)</f>
        <v>Spring</v>
      </c>
      <c r="Q3" s="38">
        <v>2.0</v>
      </c>
      <c r="R3" s="38" t="s">
        <v>81</v>
      </c>
      <c r="S3" s="38" t="str">
        <f t="array" ref="S3">INDEX($R$2:$R$5,MATCH(dataset_A!C3,$Q$2:$Q$5,0))</f>
        <v>Spring</v>
      </c>
      <c r="T3" s="38" t="str">
        <f t="shared" si="4"/>
        <v>Match</v>
      </c>
    </row>
    <row r="4" ht="12.75" customHeight="1">
      <c r="A4" s="38">
        <f>dataset_A!A4</f>
        <v>556</v>
      </c>
      <c r="B4" s="39">
        <f>dataset_A!B4</f>
        <v>40568</v>
      </c>
      <c r="C4" s="38">
        <f>dataset_A!F4</f>
        <v>8</v>
      </c>
      <c r="D4" s="38">
        <f>dataset_A!H4</f>
        <v>2</v>
      </c>
      <c r="E4" s="38" t="b">
        <f>dataset_A!G4</f>
        <v>0</v>
      </c>
      <c r="F4" s="38" t="b">
        <f>dataset_A!G4</f>
        <v>0</v>
      </c>
      <c r="G4" s="38" t="str">
        <f t="shared" si="1"/>
        <v>Weekday</v>
      </c>
      <c r="H4" s="38" t="str">
        <f t="shared" si="2"/>
        <v>Morning</v>
      </c>
      <c r="I4" s="38" t="str">
        <f>IF(dataset_A!C4=1,"Spring",IF(dataset_A!C4=2,"Summer",IF(dataset_A!C4=3,"Fail","Winter")))</f>
        <v>Spring</v>
      </c>
      <c r="J4" s="38" t="str">
        <f>IF(dataset_A!I4=1,"Clear",IF(dataset_A!I4,"Mist/Cloudy",IF(dataset_A!I4=3,"Light Rain/Snow","Heavy Rain/Snow")))</f>
        <v>Mist/Cloudy</v>
      </c>
      <c r="K4" s="38">
        <f>dataset_A!N4</f>
        <v>5</v>
      </c>
      <c r="L4" s="38">
        <f>dataset_A!O4</f>
        <v>233</v>
      </c>
      <c r="M4" s="38">
        <f>dataset_A!P4</f>
        <v>238</v>
      </c>
      <c r="N4" s="38" t="str">
        <f t="shared" si="3"/>
        <v>Ok</v>
      </c>
      <c r="O4" s="38" t="str">
        <f>IF(M4&gt;Analysis!$B$3*1.5,"High",IF(M4&lt;Analysis!$B$3*0.5,"Low","Medium"))</f>
        <v>High</v>
      </c>
      <c r="P4" s="38" t="str">
        <f>VLOOKUP(dataset_A!C4,$Q$2:$R$5,2,0)</f>
        <v>Spring</v>
      </c>
      <c r="Q4" s="38">
        <v>3.0</v>
      </c>
      <c r="R4" s="38" t="s">
        <v>82</v>
      </c>
      <c r="S4" s="38" t="str">
        <f t="array" ref="S4">INDEX($R$2:$R$5,MATCH(dataset_A!C4,$Q$2:$Q$5,0))</f>
        <v>Spring</v>
      </c>
      <c r="T4" s="38" t="str">
        <f t="shared" si="4"/>
        <v>Match</v>
      </c>
    </row>
    <row r="5" ht="12.75" customHeight="1">
      <c r="A5" s="38">
        <f>dataset_A!A5</f>
        <v>838</v>
      </c>
      <c r="B5" s="39">
        <f>dataset_A!B5</f>
        <v>40581</v>
      </c>
      <c r="C5" s="38">
        <f>dataset_A!F5</f>
        <v>8</v>
      </c>
      <c r="D5" s="38">
        <f>dataset_A!H5</f>
        <v>1</v>
      </c>
      <c r="E5" s="38" t="b">
        <f>dataset_A!G5</f>
        <v>0</v>
      </c>
      <c r="F5" s="38" t="b">
        <f>dataset_A!G5</f>
        <v>0</v>
      </c>
      <c r="G5" s="38" t="str">
        <f t="shared" si="1"/>
        <v>Weekday</v>
      </c>
      <c r="H5" s="38" t="str">
        <f t="shared" si="2"/>
        <v>Morning</v>
      </c>
      <c r="I5" s="38" t="str">
        <f>IF(dataset_A!C5=1,"Spring",IF(dataset_A!C5=2,"Summer",IF(dataset_A!C5=3,"Fail","Winter")))</f>
        <v>Spring</v>
      </c>
      <c r="J5" s="38" t="str">
        <f>IF(dataset_A!I5=1,"Clear",IF(dataset_A!I5,"Mist/Cloudy",IF(dataset_A!I5=3,"Light Rain/Snow","Heavy Rain/Snow")))</f>
        <v>Mist/Cloudy</v>
      </c>
      <c r="K5" s="38">
        <f>dataset_A!N5</f>
        <v>7</v>
      </c>
      <c r="L5" s="38">
        <f>dataset_A!O5</f>
        <v>223</v>
      </c>
      <c r="M5" s="38">
        <f>dataset_A!P5</f>
        <v>230</v>
      </c>
      <c r="N5" s="38" t="str">
        <f t="shared" si="3"/>
        <v>Ok</v>
      </c>
      <c r="O5" s="38" t="str">
        <f>IF(M5&gt;Analysis!$B$3*1.5,"High",IF(M5&lt;Analysis!$B$3*0.5,"Low","Medium"))</f>
        <v>High</v>
      </c>
      <c r="P5" s="38" t="str">
        <f>VLOOKUP(dataset_A!C5,$Q$2:$R$5,2,0)</f>
        <v>Spring</v>
      </c>
      <c r="Q5" s="38">
        <v>4.0</v>
      </c>
      <c r="R5" s="38" t="s">
        <v>83</v>
      </c>
      <c r="S5" s="38" t="str">
        <f t="array" ref="S5">INDEX($R$2:$R$5,MATCH(dataset_A!C5,$Q$2:$Q$5,0))</f>
        <v>Spring</v>
      </c>
      <c r="T5" s="38" t="str">
        <f t="shared" si="4"/>
        <v>Match</v>
      </c>
    </row>
    <row r="6" ht="12.75" customHeight="1">
      <c r="A6" s="38">
        <f>dataset_A!A6</f>
        <v>566</v>
      </c>
      <c r="B6" s="39">
        <f>dataset_A!B6</f>
        <v>40568</v>
      </c>
      <c r="C6" s="38">
        <f>dataset_A!F6</f>
        <v>18</v>
      </c>
      <c r="D6" s="38">
        <f>dataset_A!H6</f>
        <v>2</v>
      </c>
      <c r="E6" s="38" t="b">
        <f>dataset_A!G6</f>
        <v>0</v>
      </c>
      <c r="F6" s="38" t="b">
        <f>dataset_A!G6</f>
        <v>0</v>
      </c>
      <c r="G6" s="38" t="str">
        <f t="shared" si="1"/>
        <v>Weekday</v>
      </c>
      <c r="H6" s="38" t="str">
        <f t="shared" si="2"/>
        <v>Evening</v>
      </c>
      <c r="I6" s="38" t="str">
        <f>IF(dataset_A!C6=1,"Spring",IF(dataset_A!C6=2,"Summer",IF(dataset_A!C6=3,"Fail","Winter")))</f>
        <v>Spring</v>
      </c>
      <c r="J6" s="38" t="str">
        <f>IF(dataset_A!I6=1,"Clear",IF(dataset_A!I6,"Mist/Cloudy",IF(dataset_A!I6=3,"Light Rain/Snow","Heavy Rain/Snow")))</f>
        <v>Mist/Cloudy</v>
      </c>
      <c r="K6" s="38">
        <f>dataset_A!N6</f>
        <v>7</v>
      </c>
      <c r="L6" s="38">
        <f>dataset_A!O6</f>
        <v>218</v>
      </c>
      <c r="M6" s="38">
        <f>dataset_A!P6</f>
        <v>225</v>
      </c>
      <c r="N6" s="38" t="str">
        <f t="shared" si="3"/>
        <v>Ok</v>
      </c>
      <c r="O6" s="38" t="str">
        <f>IF(M6&gt;Analysis!$B$3*1.5,"High",IF(M6&lt;Analysis!$B$3*0.5,"Low","Medium"))</f>
        <v>High</v>
      </c>
      <c r="P6" s="38" t="str">
        <f>VLOOKUP(dataset_A!C6,$Q$2:$R$5,2,0)</f>
        <v>Spring</v>
      </c>
      <c r="S6" s="38" t="str">
        <f t="array" ref="S6">INDEX($R$2:$R$5,MATCH(dataset_A!C6,$Q$2:$Q$5,0))</f>
        <v>Spring</v>
      </c>
      <c r="T6" s="38" t="str">
        <f t="shared" si="4"/>
        <v>Match</v>
      </c>
    </row>
    <row r="7" ht="12.75" customHeight="1">
      <c r="A7" s="38">
        <f>dataset_A!A7</f>
        <v>565</v>
      </c>
      <c r="B7" s="39">
        <f>dataset_A!B7</f>
        <v>40568</v>
      </c>
      <c r="C7" s="38">
        <f>dataset_A!F7</f>
        <v>17</v>
      </c>
      <c r="D7" s="38">
        <f>dataset_A!H7</f>
        <v>2</v>
      </c>
      <c r="E7" s="38" t="b">
        <f>dataset_A!G7</f>
        <v>0</v>
      </c>
      <c r="F7" s="38" t="b">
        <f>dataset_A!G7</f>
        <v>0</v>
      </c>
      <c r="G7" s="38" t="str">
        <f t="shared" si="1"/>
        <v>Weekday</v>
      </c>
      <c r="H7" s="38" t="str">
        <f t="shared" si="2"/>
        <v>Afternoon</v>
      </c>
      <c r="I7" s="38" t="str">
        <f>IF(dataset_A!C7=1,"Spring",IF(dataset_A!C7=2,"Summer",IF(dataset_A!C7=3,"Fail","Winter")))</f>
        <v>Spring</v>
      </c>
      <c r="J7" s="38" t="str">
        <f>IF(dataset_A!I7=1,"Clear",IF(dataset_A!I7,"Mist/Cloudy",IF(dataset_A!I7=3,"Light Rain/Snow","Heavy Rain/Snow")))</f>
        <v>Clear</v>
      </c>
      <c r="K7" s="38">
        <f>dataset_A!N7</f>
        <v>14</v>
      </c>
      <c r="L7" s="38">
        <f>dataset_A!O7</f>
        <v>208</v>
      </c>
      <c r="M7" s="38">
        <f>dataset_A!P7</f>
        <v>222</v>
      </c>
      <c r="N7" s="38" t="str">
        <f t="shared" si="3"/>
        <v>Ok</v>
      </c>
      <c r="O7" s="38" t="str">
        <f>IF(M7&gt;Analysis!$B$3*1.5,"High",IF(M7&lt;Analysis!$B$3*0.5,"Low","Medium"))</f>
        <v>High</v>
      </c>
      <c r="P7" s="38" t="str">
        <f>VLOOKUP(dataset_A!C7,$Q$2:$R$5,2,0)</f>
        <v>Spring</v>
      </c>
      <c r="S7" s="38" t="str">
        <f t="array" ref="S7">INDEX($R$2:$R$5,MATCH(dataset_A!C7,$Q$2:$Q$5,0))</f>
        <v>Spring</v>
      </c>
      <c r="T7" s="38" t="str">
        <f t="shared" si="4"/>
        <v>Match</v>
      </c>
    </row>
    <row r="8" ht="12.75" customHeight="1">
      <c r="A8" s="38">
        <f>dataset_A!A8</f>
        <v>766</v>
      </c>
      <c r="B8" s="39">
        <f>dataset_A!B8</f>
        <v>40578</v>
      </c>
      <c r="C8" s="38">
        <f>dataset_A!F8</f>
        <v>8</v>
      </c>
      <c r="D8" s="38">
        <f>dataset_A!H8</f>
        <v>5</v>
      </c>
      <c r="E8" s="38" t="b">
        <f>dataset_A!G8</f>
        <v>0</v>
      </c>
      <c r="F8" s="38" t="b">
        <f>dataset_A!G8</f>
        <v>0</v>
      </c>
      <c r="G8" s="38" t="str">
        <f t="shared" si="1"/>
        <v>Weekday</v>
      </c>
      <c r="H8" s="38" t="str">
        <f t="shared" si="2"/>
        <v>Morning</v>
      </c>
      <c r="I8" s="38" t="str">
        <f>IF(dataset_A!C8=1,"Spring",IF(dataset_A!C8=2,"Summer",IF(dataset_A!C8=3,"Fail","Winter")))</f>
        <v>Spring</v>
      </c>
      <c r="J8" s="38" t="str">
        <f>IF(dataset_A!I8=1,"Clear",IF(dataset_A!I8,"Mist/Cloudy",IF(dataset_A!I8=3,"Light Rain/Snow","Heavy Rain/Snow")))</f>
        <v>Clear</v>
      </c>
      <c r="K8" s="38">
        <f>dataset_A!N8</f>
        <v>3</v>
      </c>
      <c r="L8" s="38">
        <f>dataset_A!O8</f>
        <v>217</v>
      </c>
      <c r="M8" s="38">
        <f>dataset_A!P8</f>
        <v>220</v>
      </c>
      <c r="N8" s="38" t="str">
        <f t="shared" si="3"/>
        <v>Ok</v>
      </c>
      <c r="O8" s="38" t="str">
        <f>IF(M8&gt;Analysis!$B$3*1.5,"High",IF(M8&lt;Analysis!$B$3*0.5,"Low","Medium"))</f>
        <v>High</v>
      </c>
      <c r="P8" s="38" t="str">
        <f>VLOOKUP(dataset_A!C8,$Q$2:$R$5,2,0)</f>
        <v>Spring</v>
      </c>
      <c r="S8" s="38" t="str">
        <f t="array" ref="S8">INDEX($R$2:$R$5,MATCH(dataset_A!C8,$Q$2:$Q$5,0))</f>
        <v>Spring</v>
      </c>
      <c r="T8" s="38" t="str">
        <f t="shared" si="4"/>
        <v>Match</v>
      </c>
    </row>
    <row r="9" ht="12.75" customHeight="1">
      <c r="A9" s="38">
        <f>dataset_A!A9</f>
        <v>123</v>
      </c>
      <c r="B9" s="39">
        <f>dataset_A!B9</f>
        <v>40549</v>
      </c>
      <c r="C9" s="38">
        <f>dataset_A!F9</f>
        <v>8</v>
      </c>
      <c r="D9" s="38">
        <f>dataset_A!H9</f>
        <v>4</v>
      </c>
      <c r="E9" s="38" t="b">
        <f>dataset_A!G9</f>
        <v>0</v>
      </c>
      <c r="F9" s="38" t="b">
        <f>dataset_A!G9</f>
        <v>0</v>
      </c>
      <c r="G9" s="38" t="str">
        <f t="shared" si="1"/>
        <v>Weekday</v>
      </c>
      <c r="H9" s="38" t="str">
        <f t="shared" si="2"/>
        <v>Morning</v>
      </c>
      <c r="I9" s="38" t="str">
        <f>IF(dataset_A!C9=1,"Spring",IF(dataset_A!C9=2,"Summer",IF(dataset_A!C9=3,"Fail","Winter")))</f>
        <v>Spring</v>
      </c>
      <c r="J9" s="38" t="str">
        <f>IF(dataset_A!I9=1,"Clear",IF(dataset_A!I9,"Mist/Cloudy",IF(dataset_A!I9=3,"Light Rain/Snow","Heavy Rain/Snow")))</f>
        <v>Clear</v>
      </c>
      <c r="K9" s="38">
        <f>dataset_A!N9</f>
        <v>3</v>
      </c>
      <c r="L9" s="38">
        <f>dataset_A!O9</f>
        <v>216</v>
      </c>
      <c r="M9" s="38">
        <f>dataset_A!P9</f>
        <v>219</v>
      </c>
      <c r="N9" s="38" t="str">
        <f t="shared" si="3"/>
        <v>Ok</v>
      </c>
      <c r="O9" s="38" t="str">
        <f>IF(M9&gt;Analysis!$B$3*1.5,"High",IF(M9&lt;Analysis!$B$3*0.5,"Low","Medium"))</f>
        <v>High</v>
      </c>
      <c r="P9" s="38" t="str">
        <f>VLOOKUP(dataset_A!C9,$Q$2:$R$5,2,0)</f>
        <v>Spring</v>
      </c>
      <c r="S9" s="38" t="str">
        <f t="array" ref="S9">INDEX($R$2:$R$5,MATCH(dataset_A!C9,$Q$2:$Q$5,0))</f>
        <v>Spring</v>
      </c>
      <c r="T9" s="38" t="str">
        <f t="shared" si="4"/>
        <v>Match</v>
      </c>
    </row>
    <row r="10" ht="12.75" customHeight="1">
      <c r="A10" s="38">
        <f>dataset_A!A10</f>
        <v>240</v>
      </c>
      <c r="B10" s="39">
        <f>dataset_A!B10</f>
        <v>40554</v>
      </c>
      <c r="C10" s="38">
        <f>dataset_A!F10</f>
        <v>8</v>
      </c>
      <c r="D10" s="38">
        <f>dataset_A!H10</f>
        <v>2</v>
      </c>
      <c r="E10" s="38" t="b">
        <f>dataset_A!G10</f>
        <v>0</v>
      </c>
      <c r="F10" s="38" t="b">
        <f>dataset_A!G10</f>
        <v>0</v>
      </c>
      <c r="G10" s="38" t="str">
        <f t="shared" si="1"/>
        <v>Weekday</v>
      </c>
      <c r="H10" s="38" t="str">
        <f t="shared" si="2"/>
        <v>Morning</v>
      </c>
      <c r="I10" s="38" t="str">
        <f>IF(dataset_A!C10=1,"Spring",IF(dataset_A!C10=2,"Summer",IF(dataset_A!C10=3,"Fail","Winter")))</f>
        <v>Spring</v>
      </c>
      <c r="J10" s="38" t="str">
        <f>IF(dataset_A!I10=1,"Clear",IF(dataset_A!I10,"Mist/Cloudy",IF(dataset_A!I10=3,"Light Rain/Snow","Heavy Rain/Snow")))</f>
        <v>Mist/Cloudy</v>
      </c>
      <c r="K10" s="38">
        <f>dataset_A!N10</f>
        <v>3</v>
      </c>
      <c r="L10" s="38">
        <f>dataset_A!O10</f>
        <v>214</v>
      </c>
      <c r="M10" s="38">
        <f>dataset_A!P10</f>
        <v>217</v>
      </c>
      <c r="N10" s="38" t="str">
        <f t="shared" si="3"/>
        <v>Ok</v>
      </c>
      <c r="O10" s="38" t="str">
        <f>IF(M10&gt;Analysis!$B$3*1.5,"High",IF(M10&lt;Analysis!$B$3*0.5,"Low","Medium"))</f>
        <v>High</v>
      </c>
      <c r="P10" s="38" t="str">
        <f>VLOOKUP(dataset_A!C10,$Q$2:$R$5,2,0)</f>
        <v>Spring</v>
      </c>
      <c r="S10" s="38" t="str">
        <f t="array" ref="S10">INDEX($R$2:$R$5,MATCH(dataset_A!C10,$Q$2:$Q$5,0))</f>
        <v>Spring</v>
      </c>
      <c r="T10" s="38" t="str">
        <f t="shared" si="4"/>
        <v>Match</v>
      </c>
    </row>
    <row r="11" ht="12.75" customHeight="1">
      <c r="A11" s="38">
        <f>dataset_A!A11</f>
        <v>464</v>
      </c>
      <c r="B11" s="39">
        <f>dataset_A!B11</f>
        <v>40564</v>
      </c>
      <c r="C11" s="38">
        <f>dataset_A!F11</f>
        <v>8</v>
      </c>
      <c r="D11" s="38">
        <f>dataset_A!H11</f>
        <v>5</v>
      </c>
      <c r="E11" s="38" t="b">
        <f>dataset_A!G11</f>
        <v>0</v>
      </c>
      <c r="F11" s="38" t="b">
        <f>dataset_A!G11</f>
        <v>0</v>
      </c>
      <c r="G11" s="38" t="str">
        <f t="shared" si="1"/>
        <v>Weekday</v>
      </c>
      <c r="H11" s="38" t="str">
        <f t="shared" si="2"/>
        <v>Morning</v>
      </c>
      <c r="I11" s="38" t="str">
        <f>IF(dataset_A!C11=1,"Spring",IF(dataset_A!C11=2,"Summer",IF(dataset_A!C11=3,"Fail","Winter")))</f>
        <v>Spring</v>
      </c>
      <c r="J11" s="38" t="str">
        <f>IF(dataset_A!I11=1,"Clear",IF(dataset_A!I11,"Mist/Cloudy",IF(dataset_A!I11=3,"Light Rain/Snow","Heavy Rain/Snow")))</f>
        <v>Clear</v>
      </c>
      <c r="K11" s="38">
        <f>dataset_A!N11</f>
        <v>7</v>
      </c>
      <c r="L11" s="38">
        <f>dataset_A!O11</f>
        <v>210</v>
      </c>
      <c r="M11" s="38">
        <f>dataset_A!P11</f>
        <v>217</v>
      </c>
      <c r="N11" s="38" t="str">
        <f t="shared" si="3"/>
        <v>Ok</v>
      </c>
      <c r="O11" s="38" t="str">
        <f>IF(M11&gt;Analysis!$B$3*1.5,"High",IF(M11&lt;Analysis!$B$3*0.5,"Low","Medium"))</f>
        <v>High</v>
      </c>
      <c r="P11" s="38" t="str">
        <f>VLOOKUP(dataset_A!C11,$Q$2:$R$5,2,0)</f>
        <v>Spring</v>
      </c>
      <c r="S11" s="38" t="str">
        <f t="array" ref="S11">INDEX($R$2:$R$5,MATCH(dataset_A!C11,$Q$2:$Q$5,0))</f>
        <v>Spring</v>
      </c>
      <c r="T11" s="38" t="str">
        <f t="shared" si="4"/>
        <v>Match</v>
      </c>
    </row>
    <row r="12" ht="12.75" customHeight="1">
      <c r="A12" s="38">
        <f>dataset_A!A12</f>
        <v>847</v>
      </c>
      <c r="B12" s="39">
        <f>dataset_A!B12</f>
        <v>40581</v>
      </c>
      <c r="C12" s="38">
        <f>dataset_A!F12</f>
        <v>17</v>
      </c>
      <c r="D12" s="38">
        <f>dataset_A!H12</f>
        <v>1</v>
      </c>
      <c r="E12" s="38" t="b">
        <f>dataset_A!G12</f>
        <v>0</v>
      </c>
      <c r="F12" s="38" t="b">
        <f>dataset_A!G12</f>
        <v>0</v>
      </c>
      <c r="G12" s="38" t="str">
        <f t="shared" si="1"/>
        <v>Weekday</v>
      </c>
      <c r="H12" s="38" t="str">
        <f t="shared" si="2"/>
        <v>Afternoon</v>
      </c>
      <c r="I12" s="38" t="str">
        <f>IF(dataset_A!C12=1,"Spring",IF(dataset_A!C12=2,"Summer",IF(dataset_A!C12=3,"Fail","Winter")))</f>
        <v>Spring</v>
      </c>
      <c r="J12" s="38" t="str">
        <f>IF(dataset_A!I12=1,"Clear",IF(dataset_A!I12,"Mist/Cloudy",IF(dataset_A!I12=3,"Light Rain/Snow","Heavy Rain/Snow")))</f>
        <v>Mist/Cloudy</v>
      </c>
      <c r="K12" s="38">
        <f>dataset_A!N12</f>
        <v>9</v>
      </c>
      <c r="L12" s="38">
        <f>dataset_A!O12</f>
        <v>207</v>
      </c>
      <c r="M12" s="38">
        <f>dataset_A!P12</f>
        <v>216</v>
      </c>
      <c r="N12" s="38" t="str">
        <f t="shared" si="3"/>
        <v>Ok</v>
      </c>
      <c r="O12" s="38" t="str">
        <f>IF(M12&gt;Analysis!$B$3*1.5,"High",IF(M12&lt;Analysis!$B$3*0.5,"Low","Medium"))</f>
        <v>High</v>
      </c>
      <c r="P12" s="38" t="str">
        <f>VLOOKUP(dataset_A!C12,$Q$2:$R$5,2,0)</f>
        <v>Spring</v>
      </c>
      <c r="S12" s="38" t="str">
        <f t="array" ref="S12">INDEX($R$2:$R$5,MATCH(dataset_A!C12,$Q$2:$Q$5,0))</f>
        <v>Spring</v>
      </c>
      <c r="T12" s="38" t="str">
        <f t="shared" si="4"/>
        <v>Match</v>
      </c>
    </row>
    <row r="13" ht="12.75" customHeight="1">
      <c r="A13" s="38">
        <f>dataset_A!A13</f>
        <v>930</v>
      </c>
      <c r="B13" s="39">
        <f>dataset_A!B13</f>
        <v>40585</v>
      </c>
      <c r="C13" s="38">
        <f>dataset_A!F13</f>
        <v>8</v>
      </c>
      <c r="D13" s="38">
        <f>dataset_A!H13</f>
        <v>5</v>
      </c>
      <c r="E13" s="38" t="b">
        <f>dataset_A!G13</f>
        <v>0</v>
      </c>
      <c r="F13" s="38" t="b">
        <f>dataset_A!G13</f>
        <v>0</v>
      </c>
      <c r="G13" s="38" t="str">
        <f t="shared" si="1"/>
        <v>Weekday</v>
      </c>
      <c r="H13" s="38" t="str">
        <f t="shared" si="2"/>
        <v>Morning</v>
      </c>
      <c r="I13" s="38" t="str">
        <f>IF(dataset_A!C13=1,"Spring",IF(dataset_A!C13=2,"Summer",IF(dataset_A!C13=3,"Fail","Winter")))</f>
        <v>Spring</v>
      </c>
      <c r="J13" s="38" t="str">
        <f>IF(dataset_A!I13=1,"Clear",IF(dataset_A!I13,"Mist/Cloudy",IF(dataset_A!I13=3,"Light Rain/Snow","Heavy Rain/Snow")))</f>
        <v>Clear</v>
      </c>
      <c r="K13" s="38">
        <f>dataset_A!N13</f>
        <v>4</v>
      </c>
      <c r="L13" s="38">
        <f>dataset_A!O13</f>
        <v>212</v>
      </c>
      <c r="M13" s="38">
        <f>dataset_A!P13</f>
        <v>216</v>
      </c>
      <c r="N13" s="38" t="str">
        <f t="shared" si="3"/>
        <v>Ok</v>
      </c>
      <c r="O13" s="38" t="str">
        <f>IF(M13&gt;Analysis!$B$3*1.5,"High",IF(M13&lt;Analysis!$B$3*0.5,"Low","Medium"))</f>
        <v>High</v>
      </c>
      <c r="P13" s="38" t="str">
        <f>VLOOKUP(dataset_A!C13,$Q$2:$R$5,2,0)</f>
        <v>Spring</v>
      </c>
      <c r="S13" s="38" t="str">
        <f t="array" ref="S13">INDEX($R$2:$R$5,MATCH(dataset_A!C13,$Q$2:$Q$5,0))</f>
        <v>Spring</v>
      </c>
      <c r="T13" s="38" t="str">
        <f t="shared" si="4"/>
        <v>Match</v>
      </c>
    </row>
    <row r="14" ht="12.75" customHeight="1">
      <c r="A14" s="38">
        <f>dataset_A!A14</f>
        <v>449</v>
      </c>
      <c r="B14" s="39">
        <f>dataset_A!B14</f>
        <v>40563</v>
      </c>
      <c r="C14" s="38">
        <f>dataset_A!F14</f>
        <v>17</v>
      </c>
      <c r="D14" s="38">
        <f>dataset_A!H14</f>
        <v>4</v>
      </c>
      <c r="E14" s="38" t="b">
        <f>dataset_A!G14</f>
        <v>0</v>
      </c>
      <c r="F14" s="38" t="b">
        <f>dataset_A!G14</f>
        <v>0</v>
      </c>
      <c r="G14" s="38" t="str">
        <f t="shared" si="1"/>
        <v>Weekday</v>
      </c>
      <c r="H14" s="38" t="str">
        <f t="shared" si="2"/>
        <v>Afternoon</v>
      </c>
      <c r="I14" s="38" t="str">
        <f>IF(dataset_A!C14=1,"Spring",IF(dataset_A!C14=2,"Summer",IF(dataset_A!C14=3,"Fail","Winter")))</f>
        <v>Spring</v>
      </c>
      <c r="J14" s="38" t="str">
        <f>IF(dataset_A!I14=1,"Clear",IF(dataset_A!I14,"Mist/Cloudy",IF(dataset_A!I14=3,"Light Rain/Snow","Heavy Rain/Snow")))</f>
        <v>Mist/Cloudy</v>
      </c>
      <c r="K14" s="38">
        <f>dataset_A!N14</f>
        <v>8</v>
      </c>
      <c r="L14" s="38">
        <f>dataset_A!O14</f>
        <v>207</v>
      </c>
      <c r="M14" s="38">
        <f>dataset_A!P14</f>
        <v>215</v>
      </c>
      <c r="N14" s="38" t="str">
        <f t="shared" si="3"/>
        <v>Ok</v>
      </c>
      <c r="O14" s="38" t="str">
        <f>IF(M14&gt;Analysis!$B$3*1.5,"High",IF(M14&lt;Analysis!$B$3*0.5,"Low","Medium"))</f>
        <v>High</v>
      </c>
      <c r="P14" s="38" t="str">
        <f>VLOOKUP(dataset_A!C14,$Q$2:$R$5,2,0)</f>
        <v>Spring</v>
      </c>
      <c r="S14" s="38" t="str">
        <f t="array" ref="S14">INDEX($R$2:$R$5,MATCH(dataset_A!C14,$Q$2:$Q$5,0))</f>
        <v>Spring</v>
      </c>
      <c r="T14" s="38" t="str">
        <f t="shared" si="4"/>
        <v>Match</v>
      </c>
    </row>
    <row r="15" ht="12.75" customHeight="1">
      <c r="A15" s="38">
        <f>dataset_A!A15</f>
        <v>86</v>
      </c>
      <c r="B15" s="39">
        <f>dataset_A!B15</f>
        <v>40547</v>
      </c>
      <c r="C15" s="38">
        <f>dataset_A!F15</f>
        <v>17</v>
      </c>
      <c r="D15" s="38">
        <f>dataset_A!H15</f>
        <v>2</v>
      </c>
      <c r="E15" s="38" t="b">
        <f>dataset_A!G15</f>
        <v>0</v>
      </c>
      <c r="F15" s="38" t="b">
        <f>dataset_A!G15</f>
        <v>0</v>
      </c>
      <c r="G15" s="38" t="str">
        <f t="shared" si="1"/>
        <v>Weekday</v>
      </c>
      <c r="H15" s="38" t="str">
        <f t="shared" si="2"/>
        <v>Afternoon</v>
      </c>
      <c r="I15" s="38" t="str">
        <f>IF(dataset_A!C15=1,"Spring",IF(dataset_A!C15=2,"Summer",IF(dataset_A!C15=3,"Fail","Winter")))</f>
        <v>Spring</v>
      </c>
      <c r="J15" s="38" t="str">
        <f>IF(dataset_A!I15=1,"Clear",IF(dataset_A!I15,"Mist/Cloudy",IF(dataset_A!I15=3,"Light Rain/Snow","Heavy Rain/Snow")))</f>
        <v>Clear</v>
      </c>
      <c r="K15" s="38">
        <f>dataset_A!N15</f>
        <v>10</v>
      </c>
      <c r="L15" s="38">
        <f>dataset_A!O15</f>
        <v>202</v>
      </c>
      <c r="M15" s="38">
        <f>dataset_A!P15</f>
        <v>212</v>
      </c>
      <c r="N15" s="38" t="str">
        <f t="shared" si="3"/>
        <v>Ok</v>
      </c>
      <c r="O15" s="38" t="str">
        <f>IF(M15&gt;Analysis!$B$3*1.5,"High",IF(M15&lt;Analysis!$B$3*0.5,"Low","Medium"))</f>
        <v>High</v>
      </c>
      <c r="P15" s="38" t="str">
        <f>VLOOKUP(dataset_A!C15,$Q$2:$R$5,2,0)</f>
        <v>Spring</v>
      </c>
      <c r="S15" s="38" t="str">
        <f t="array" ref="S15">INDEX($R$2:$R$5,MATCH(dataset_A!C15,$Q$2:$Q$5,0))</f>
        <v>Spring</v>
      </c>
      <c r="T15" s="38" t="str">
        <f t="shared" si="4"/>
        <v>Match</v>
      </c>
    </row>
    <row r="16" ht="12.75" customHeight="1">
      <c r="A16" s="38">
        <f>dataset_A!A16</f>
        <v>939</v>
      </c>
      <c r="B16" s="39">
        <f>dataset_A!B16</f>
        <v>40585</v>
      </c>
      <c r="C16" s="38">
        <f>dataset_A!F16</f>
        <v>17</v>
      </c>
      <c r="D16" s="38">
        <f>dataset_A!H16</f>
        <v>5</v>
      </c>
      <c r="E16" s="38" t="b">
        <f>dataset_A!G16</f>
        <v>0</v>
      </c>
      <c r="F16" s="38" t="b">
        <f>dataset_A!G16</f>
        <v>0</v>
      </c>
      <c r="G16" s="38" t="str">
        <f t="shared" si="1"/>
        <v>Weekday</v>
      </c>
      <c r="H16" s="38" t="str">
        <f t="shared" si="2"/>
        <v>Afternoon</v>
      </c>
      <c r="I16" s="38" t="str">
        <f>IF(dataset_A!C16=1,"Spring",IF(dataset_A!C16=2,"Summer",IF(dataset_A!C16=3,"Fail","Winter")))</f>
        <v>Spring</v>
      </c>
      <c r="J16" s="38" t="str">
        <f>IF(dataset_A!I16=1,"Clear",IF(dataset_A!I16,"Mist/Cloudy",IF(dataset_A!I16=3,"Light Rain/Snow","Heavy Rain/Snow")))</f>
        <v>Clear</v>
      </c>
      <c r="K16" s="38">
        <f>dataset_A!N16</f>
        <v>18</v>
      </c>
      <c r="L16" s="38">
        <f>dataset_A!O16</f>
        <v>193</v>
      </c>
      <c r="M16" s="38">
        <f>dataset_A!P16</f>
        <v>211</v>
      </c>
      <c r="N16" s="38" t="str">
        <f t="shared" si="3"/>
        <v>Ok</v>
      </c>
      <c r="O16" s="38" t="str">
        <f>IF(M16&gt;Analysis!$B$3*1.5,"High",IF(M16&lt;Analysis!$B$3*0.5,"Low","Medium"))</f>
        <v>High</v>
      </c>
      <c r="P16" s="38" t="str">
        <f>VLOOKUP(dataset_A!C16,$Q$2:$R$5,2,0)</f>
        <v>Spring</v>
      </c>
      <c r="S16" s="38" t="str">
        <f t="array" ref="S16">INDEX($R$2:$R$5,MATCH(dataset_A!C16,$Q$2:$Q$5,0))</f>
        <v>Spring</v>
      </c>
      <c r="T16" s="38" t="str">
        <f t="shared" si="4"/>
        <v>Match</v>
      </c>
    </row>
    <row r="17" ht="12.75" customHeight="1">
      <c r="A17" s="38">
        <f>dataset_A!A17</f>
        <v>146</v>
      </c>
      <c r="B17" s="39">
        <f>dataset_A!B17</f>
        <v>40550</v>
      </c>
      <c r="C17" s="38">
        <f>dataset_A!F17</f>
        <v>8</v>
      </c>
      <c r="D17" s="38">
        <f>dataset_A!H17</f>
        <v>5</v>
      </c>
      <c r="E17" s="38" t="b">
        <f>dataset_A!G17</f>
        <v>0</v>
      </c>
      <c r="F17" s="38" t="b">
        <f>dataset_A!G17</f>
        <v>0</v>
      </c>
      <c r="G17" s="38" t="str">
        <f t="shared" si="1"/>
        <v>Weekday</v>
      </c>
      <c r="H17" s="38" t="str">
        <f t="shared" si="2"/>
        <v>Morning</v>
      </c>
      <c r="I17" s="38" t="str">
        <f>IF(dataset_A!C17=1,"Spring",IF(dataset_A!C17=2,"Summer",IF(dataset_A!C17=3,"Fail","Winter")))</f>
        <v>Spring</v>
      </c>
      <c r="J17" s="38" t="str">
        <f>IF(dataset_A!I17=1,"Clear",IF(dataset_A!I17,"Mist/Cloudy",IF(dataset_A!I17=3,"Light Rain/Snow","Heavy Rain/Snow")))</f>
        <v>Clear</v>
      </c>
      <c r="K17" s="38">
        <f>dataset_A!N17</f>
        <v>20</v>
      </c>
      <c r="L17" s="38">
        <f>dataset_A!O17</f>
        <v>190</v>
      </c>
      <c r="M17" s="38">
        <f>dataset_A!P17</f>
        <v>210</v>
      </c>
      <c r="N17" s="38" t="str">
        <f t="shared" si="3"/>
        <v>Ok</v>
      </c>
      <c r="O17" s="38" t="str">
        <f>IF(M17&gt;Analysis!$B$3*1.5,"High",IF(M17&lt;Analysis!$B$3*0.5,"Low","Medium"))</f>
        <v>High</v>
      </c>
      <c r="P17" s="38" t="str">
        <f>VLOOKUP(dataset_A!C17,$Q$2:$R$5,2,0)</f>
        <v>Spring</v>
      </c>
      <c r="S17" s="38" t="str">
        <f t="array" ref="S17">INDEX($R$2:$R$5,MATCH(dataset_A!C17,$Q$2:$Q$5,0))</f>
        <v>Spring</v>
      </c>
      <c r="T17" s="38" t="str">
        <f t="shared" si="4"/>
        <v>Match</v>
      </c>
    </row>
    <row r="18" ht="12.75" customHeight="1">
      <c r="A18" s="38">
        <f>dataset_A!A18</f>
        <v>775</v>
      </c>
      <c r="B18" s="39">
        <f>dataset_A!B18</f>
        <v>40578</v>
      </c>
      <c r="C18" s="38">
        <f>dataset_A!F18</f>
        <v>17</v>
      </c>
      <c r="D18" s="38">
        <f>dataset_A!H18</f>
        <v>5</v>
      </c>
      <c r="E18" s="38" t="b">
        <f>dataset_A!G18</f>
        <v>0</v>
      </c>
      <c r="F18" s="38" t="b">
        <f>dataset_A!G18</f>
        <v>0</v>
      </c>
      <c r="G18" s="38" t="str">
        <f t="shared" si="1"/>
        <v>Weekday</v>
      </c>
      <c r="H18" s="38" t="str">
        <f t="shared" si="2"/>
        <v>Afternoon</v>
      </c>
      <c r="I18" s="38" t="str">
        <f>IF(dataset_A!C18=1,"Spring",IF(dataset_A!C18=2,"Summer",IF(dataset_A!C18=3,"Fail","Winter")))</f>
        <v>Spring</v>
      </c>
      <c r="J18" s="38" t="str">
        <f>IF(dataset_A!I18=1,"Clear",IF(dataset_A!I18,"Mist/Cloudy",IF(dataset_A!I18=3,"Light Rain/Snow","Heavy Rain/Snow")))</f>
        <v>Mist/Cloudy</v>
      </c>
      <c r="K18" s="38">
        <f>dataset_A!N18</f>
        <v>10</v>
      </c>
      <c r="L18" s="38">
        <f>dataset_A!O18</f>
        <v>195</v>
      </c>
      <c r="M18" s="38">
        <f>dataset_A!P18</f>
        <v>205</v>
      </c>
      <c r="N18" s="38" t="str">
        <f t="shared" si="3"/>
        <v>Ok</v>
      </c>
      <c r="O18" s="38" t="str">
        <f>IF(M18&gt;Analysis!$B$3*1.5,"High",IF(M18&lt;Analysis!$B$3*0.5,"Low","Medium"))</f>
        <v>High</v>
      </c>
      <c r="P18" s="38" t="str">
        <f>VLOOKUP(dataset_A!C18,$Q$2:$R$5,2,0)</f>
        <v>Spring</v>
      </c>
      <c r="S18" s="38" t="str">
        <f t="array" ref="S18">INDEX($R$2:$R$5,MATCH(dataset_A!C18,$Q$2:$Q$5,0))</f>
        <v>Spring</v>
      </c>
      <c r="T18" s="38" t="str">
        <f t="shared" si="4"/>
        <v>Match</v>
      </c>
    </row>
    <row r="19" ht="12.75" customHeight="1">
      <c r="A19" s="38">
        <f>dataset_A!A19</f>
        <v>286</v>
      </c>
      <c r="B19" s="39">
        <f>dataset_A!B19</f>
        <v>40556</v>
      </c>
      <c r="C19" s="38">
        <f>dataset_A!F19</f>
        <v>8</v>
      </c>
      <c r="D19" s="38">
        <f>dataset_A!H19</f>
        <v>4</v>
      </c>
      <c r="E19" s="38" t="b">
        <f>dataset_A!G19</f>
        <v>0</v>
      </c>
      <c r="F19" s="38" t="b">
        <f>dataset_A!G19</f>
        <v>0</v>
      </c>
      <c r="G19" s="38" t="str">
        <f t="shared" si="1"/>
        <v>Weekday</v>
      </c>
      <c r="H19" s="38" t="str">
        <f t="shared" si="2"/>
        <v>Morning</v>
      </c>
      <c r="I19" s="38" t="str">
        <f>IF(dataset_A!C19=1,"Spring",IF(dataset_A!C19=2,"Summer",IF(dataset_A!C19=3,"Fail","Winter")))</f>
        <v>Spring</v>
      </c>
      <c r="J19" s="38" t="str">
        <f>IF(dataset_A!I19=1,"Clear",IF(dataset_A!I19,"Mist/Cloudy",IF(dataset_A!I19=3,"Light Rain/Snow","Heavy Rain/Snow")))</f>
        <v>Clear</v>
      </c>
      <c r="K19" s="38">
        <f>dataset_A!N19</f>
        <v>5</v>
      </c>
      <c r="L19" s="38">
        <f>dataset_A!O19</f>
        <v>197</v>
      </c>
      <c r="M19" s="38">
        <f>dataset_A!P19</f>
        <v>202</v>
      </c>
      <c r="N19" s="38" t="str">
        <f t="shared" si="3"/>
        <v>Ok</v>
      </c>
      <c r="O19" s="38" t="str">
        <f>IF(M19&gt;Analysis!$B$3*1.5,"High",IF(M19&lt;Analysis!$B$3*0.5,"Low","Medium"))</f>
        <v>High</v>
      </c>
      <c r="P19" s="38" t="str">
        <f>VLOOKUP(dataset_A!C19,$Q$2:$R$5,2,0)</f>
        <v>Spring</v>
      </c>
      <c r="S19" s="38" t="str">
        <f t="array" ref="S19">INDEX($R$2:$R$5,MATCH(dataset_A!C19,$Q$2:$Q$5,0))</f>
        <v>Spring</v>
      </c>
      <c r="T19" s="38" t="str">
        <f t="shared" si="4"/>
        <v>Match</v>
      </c>
    </row>
    <row r="20" ht="12.75" customHeight="1">
      <c r="A20" s="38">
        <f>dataset_A!A20</f>
        <v>885</v>
      </c>
      <c r="B20" s="39">
        <f>dataset_A!B20</f>
        <v>40583</v>
      </c>
      <c r="C20" s="38">
        <f>dataset_A!F20</f>
        <v>8</v>
      </c>
      <c r="D20" s="38">
        <f>dataset_A!H20</f>
        <v>3</v>
      </c>
      <c r="E20" s="38" t="b">
        <f>dataset_A!G20</f>
        <v>0</v>
      </c>
      <c r="F20" s="38" t="b">
        <f>dataset_A!G20</f>
        <v>0</v>
      </c>
      <c r="G20" s="38" t="str">
        <f t="shared" si="1"/>
        <v>Weekday</v>
      </c>
      <c r="H20" s="38" t="str">
        <f t="shared" si="2"/>
        <v>Morning</v>
      </c>
      <c r="I20" s="38" t="str">
        <f>IF(dataset_A!C20=1,"Spring",IF(dataset_A!C20=2,"Summer",IF(dataset_A!C20=3,"Fail","Winter")))</f>
        <v>Spring</v>
      </c>
      <c r="J20" s="38" t="str">
        <f>IF(dataset_A!I20=1,"Clear",IF(dataset_A!I20,"Mist/Cloudy",IF(dataset_A!I20=3,"Light Rain/Snow","Heavy Rain/Snow")))</f>
        <v>Clear</v>
      </c>
      <c r="K20" s="38">
        <f>dataset_A!N20</f>
        <v>1</v>
      </c>
      <c r="L20" s="38">
        <f>dataset_A!O20</f>
        <v>198</v>
      </c>
      <c r="M20" s="38">
        <f>dataset_A!P20</f>
        <v>199</v>
      </c>
      <c r="N20" s="38" t="str">
        <f t="shared" si="3"/>
        <v>Ok</v>
      </c>
      <c r="O20" s="38" t="str">
        <f>IF(M20&gt;Analysis!$B$3*1.5,"High",IF(M20&lt;Analysis!$B$3*0.5,"Low","Medium"))</f>
        <v>High</v>
      </c>
      <c r="P20" s="38" t="str">
        <f>VLOOKUP(dataset_A!C20,$Q$2:$R$5,2,0)</f>
        <v>Spring</v>
      </c>
      <c r="S20" s="38" t="str">
        <f t="array" ref="S20">INDEX($R$2:$R$5,MATCH(dataset_A!C20,$Q$2:$Q$5,0))</f>
        <v>Spring</v>
      </c>
      <c r="T20" s="38" t="str">
        <f t="shared" si="4"/>
        <v>Match</v>
      </c>
    </row>
    <row r="21" ht="12.75" customHeight="1">
      <c r="A21" s="38">
        <f>dataset_A!A21</f>
        <v>416</v>
      </c>
      <c r="B21" s="39">
        <f>dataset_A!B21</f>
        <v>40562</v>
      </c>
      <c r="C21" s="38">
        <f>dataset_A!F21</f>
        <v>8</v>
      </c>
      <c r="D21" s="38">
        <f>dataset_A!H21</f>
        <v>3</v>
      </c>
      <c r="E21" s="38" t="b">
        <f>dataset_A!G21</f>
        <v>0</v>
      </c>
      <c r="F21" s="38" t="b">
        <f>dataset_A!G21</f>
        <v>0</v>
      </c>
      <c r="G21" s="38" t="str">
        <f t="shared" si="1"/>
        <v>Weekday</v>
      </c>
      <c r="H21" s="38" t="str">
        <f t="shared" si="2"/>
        <v>Morning</v>
      </c>
      <c r="I21" s="38" t="str">
        <f>IF(dataset_A!C21=1,"Spring",IF(dataset_A!C21=2,"Summer",IF(dataset_A!C21=3,"Fail","Winter")))</f>
        <v>Spring</v>
      </c>
      <c r="J21" s="38" t="str">
        <f>IF(dataset_A!I21=1,"Clear",IF(dataset_A!I21,"Mist/Cloudy",IF(dataset_A!I21=3,"Light Rain/Snow","Heavy Rain/Snow")))</f>
        <v>Mist/Cloudy</v>
      </c>
      <c r="K21" s="38">
        <f>dataset_A!N21</f>
        <v>1</v>
      </c>
      <c r="L21" s="38">
        <f>dataset_A!O21</f>
        <v>196</v>
      </c>
      <c r="M21" s="38">
        <f>dataset_A!P21</f>
        <v>197</v>
      </c>
      <c r="N21" s="38" t="str">
        <f t="shared" si="3"/>
        <v>Ok</v>
      </c>
      <c r="O21" s="38" t="str">
        <f>IF(M21&gt;Analysis!$B$3*1.5,"High",IF(M21&lt;Analysis!$B$3*0.5,"Low","Medium"))</f>
        <v>High</v>
      </c>
      <c r="P21" s="38" t="str">
        <f>VLOOKUP(dataset_A!C21,$Q$2:$R$5,2,0)</f>
        <v>Spring</v>
      </c>
      <c r="S21" s="38" t="str">
        <f t="array" ref="S21">INDEX($R$2:$R$5,MATCH(dataset_A!C21,$Q$2:$Q$5,0))</f>
        <v>Spring</v>
      </c>
      <c r="T21" s="38" t="str">
        <f t="shared" si="4"/>
        <v>Match</v>
      </c>
    </row>
    <row r="22" ht="12.75" customHeight="1">
      <c r="A22" s="38">
        <f>dataset_A!A22</f>
        <v>425</v>
      </c>
      <c r="B22" s="39">
        <f>dataset_A!B22</f>
        <v>40562</v>
      </c>
      <c r="C22" s="38">
        <f>dataset_A!F22</f>
        <v>17</v>
      </c>
      <c r="D22" s="38">
        <f>dataset_A!H22</f>
        <v>3</v>
      </c>
      <c r="E22" s="38" t="b">
        <f>dataset_A!G22</f>
        <v>0</v>
      </c>
      <c r="F22" s="38" t="b">
        <f>dataset_A!G22</f>
        <v>0</v>
      </c>
      <c r="G22" s="38" t="str">
        <f t="shared" si="1"/>
        <v>Weekday</v>
      </c>
      <c r="H22" s="38" t="str">
        <f t="shared" si="2"/>
        <v>Afternoon</v>
      </c>
      <c r="I22" s="38" t="str">
        <f>IF(dataset_A!C22=1,"Spring",IF(dataset_A!C22=2,"Summer",IF(dataset_A!C22=3,"Fail","Winter")))</f>
        <v>Spring</v>
      </c>
      <c r="J22" s="38" t="str">
        <f>IF(dataset_A!I22=1,"Clear",IF(dataset_A!I22,"Mist/Cloudy",IF(dataset_A!I22=3,"Light Rain/Snow","Heavy Rain/Snow")))</f>
        <v>Clear</v>
      </c>
      <c r="K22" s="38">
        <f>dataset_A!N22</f>
        <v>7</v>
      </c>
      <c r="L22" s="38">
        <f>dataset_A!O22</f>
        <v>190</v>
      </c>
      <c r="M22" s="38">
        <f>dataset_A!P22</f>
        <v>197</v>
      </c>
      <c r="N22" s="38" t="str">
        <f t="shared" si="3"/>
        <v>Ok</v>
      </c>
      <c r="O22" s="38" t="str">
        <f>IF(M22&gt;Analysis!$B$3*1.5,"High",IF(M22&lt;Analysis!$B$3*0.5,"Low","Medium"))</f>
        <v>High</v>
      </c>
      <c r="P22" s="38" t="str">
        <f>VLOOKUP(dataset_A!C22,$Q$2:$R$5,2,0)</f>
        <v>Spring</v>
      </c>
      <c r="S22" s="38" t="str">
        <f t="array" ref="S22">INDEX($R$2:$R$5,MATCH(dataset_A!C22,$Q$2:$Q$5,0))</f>
        <v>Spring</v>
      </c>
      <c r="T22" s="38" t="str">
        <f t="shared" si="4"/>
        <v>Match</v>
      </c>
    </row>
    <row r="23" ht="12.75" customHeight="1">
      <c r="A23" s="38">
        <f>dataset_A!A23</f>
        <v>100</v>
      </c>
      <c r="B23" s="39">
        <f>dataset_A!B23</f>
        <v>40548</v>
      </c>
      <c r="C23" s="38">
        <f>dataset_A!F23</f>
        <v>8</v>
      </c>
      <c r="D23" s="38">
        <f>dataset_A!H23</f>
        <v>3</v>
      </c>
      <c r="E23" s="38" t="b">
        <f>dataset_A!G23</f>
        <v>0</v>
      </c>
      <c r="F23" s="38" t="b">
        <f>dataset_A!G23</f>
        <v>0</v>
      </c>
      <c r="G23" s="38" t="str">
        <f t="shared" si="1"/>
        <v>Weekday</v>
      </c>
      <c r="H23" s="38" t="str">
        <f t="shared" si="2"/>
        <v>Morning</v>
      </c>
      <c r="I23" s="38" t="str">
        <f>IF(dataset_A!C23=1,"Spring",IF(dataset_A!C23=2,"Summer",IF(dataset_A!C23=3,"Fail","Winter")))</f>
        <v>Spring</v>
      </c>
      <c r="J23" s="38" t="str">
        <f>IF(dataset_A!I23=1,"Clear",IF(dataset_A!I23,"Mist/Cloudy",IF(dataset_A!I23=3,"Light Rain/Snow","Heavy Rain/Snow")))</f>
        <v>Clear</v>
      </c>
      <c r="K23" s="38">
        <f>dataset_A!N23</f>
        <v>3</v>
      </c>
      <c r="L23" s="38">
        <f>dataset_A!O23</f>
        <v>192</v>
      </c>
      <c r="M23" s="38">
        <f>dataset_A!P23</f>
        <v>195</v>
      </c>
      <c r="N23" s="38" t="str">
        <f t="shared" si="3"/>
        <v>Ok</v>
      </c>
      <c r="O23" s="38" t="str">
        <f>IF(M23&gt;Analysis!$B$3*1.5,"High",IF(M23&lt;Analysis!$B$3*0.5,"Low","Medium"))</f>
        <v>High</v>
      </c>
      <c r="P23" s="38" t="str">
        <f>VLOOKUP(dataset_A!C23,$Q$2:$R$5,2,0)</f>
        <v>Spring</v>
      </c>
      <c r="S23" s="38" t="str">
        <f t="array" ref="S23">INDEX($R$2:$R$5,MATCH(dataset_A!C23,$Q$2:$Q$5,0))</f>
        <v>Spring</v>
      </c>
      <c r="T23" s="38" t="str">
        <f t="shared" si="4"/>
        <v>Match</v>
      </c>
    </row>
    <row r="24" ht="12.75" customHeight="1">
      <c r="A24" s="38">
        <f>dataset_A!A24</f>
        <v>109</v>
      </c>
      <c r="B24" s="39">
        <f>dataset_A!B24</f>
        <v>40548</v>
      </c>
      <c r="C24" s="38">
        <f>dataset_A!F24</f>
        <v>17</v>
      </c>
      <c r="D24" s="38">
        <f>dataset_A!H24</f>
        <v>3</v>
      </c>
      <c r="E24" s="38" t="b">
        <f>dataset_A!G24</f>
        <v>0</v>
      </c>
      <c r="F24" s="38" t="b">
        <f>dataset_A!G24</f>
        <v>0</v>
      </c>
      <c r="G24" s="38" t="str">
        <f t="shared" si="1"/>
        <v>Weekday</v>
      </c>
      <c r="H24" s="38" t="str">
        <f t="shared" si="2"/>
        <v>Afternoon</v>
      </c>
      <c r="I24" s="38" t="str">
        <f>IF(dataset_A!C24=1,"Spring",IF(dataset_A!C24=2,"Summer",IF(dataset_A!C24=3,"Fail","Winter")))</f>
        <v>Spring</v>
      </c>
      <c r="J24" s="38" t="str">
        <f>IF(dataset_A!I24=1,"Clear",IF(dataset_A!I24,"Mist/Cloudy",IF(dataset_A!I24=3,"Light Rain/Snow","Heavy Rain/Snow")))</f>
        <v>Clear</v>
      </c>
      <c r="K24" s="38">
        <f>dataset_A!N24</f>
        <v>4</v>
      </c>
      <c r="L24" s="38">
        <f>dataset_A!O24</f>
        <v>186</v>
      </c>
      <c r="M24" s="38">
        <f>dataset_A!P24</f>
        <v>190</v>
      </c>
      <c r="N24" s="38" t="str">
        <f t="shared" si="3"/>
        <v>Ok</v>
      </c>
      <c r="O24" s="38" t="str">
        <f>IF(M24&gt;Analysis!$B$3*1.5,"High",IF(M24&lt;Analysis!$B$3*0.5,"Low","Medium"))</f>
        <v>High</v>
      </c>
      <c r="P24" s="38" t="str">
        <f>VLOOKUP(dataset_A!C24,$Q$2:$R$5,2,0)</f>
        <v>Spring</v>
      </c>
      <c r="S24" s="38" t="str">
        <f t="array" ref="S24">INDEX($R$2:$R$5,MATCH(dataset_A!C24,$Q$2:$Q$5,0))</f>
        <v>Spring</v>
      </c>
      <c r="T24" s="38" t="str">
        <f t="shared" si="4"/>
        <v>Match</v>
      </c>
    </row>
    <row r="25" ht="12.75" customHeight="1">
      <c r="A25" s="38">
        <f>dataset_A!A25</f>
        <v>729</v>
      </c>
      <c r="B25" s="39">
        <f>dataset_A!B25</f>
        <v>40576</v>
      </c>
      <c r="C25" s="38">
        <f>dataset_A!F25</f>
        <v>17</v>
      </c>
      <c r="D25" s="38">
        <f>dataset_A!H25</f>
        <v>3</v>
      </c>
      <c r="E25" s="38" t="b">
        <f>dataset_A!G25</f>
        <v>0</v>
      </c>
      <c r="F25" s="38" t="b">
        <f>dataset_A!G25</f>
        <v>0</v>
      </c>
      <c r="G25" s="38" t="str">
        <f t="shared" si="1"/>
        <v>Weekday</v>
      </c>
      <c r="H25" s="38" t="str">
        <f t="shared" si="2"/>
        <v>Afternoon</v>
      </c>
      <c r="I25" s="38" t="str">
        <f>IF(dataset_A!C25=1,"Spring",IF(dataset_A!C25=2,"Summer",IF(dataset_A!C25=3,"Fail","Winter")))</f>
        <v>Spring</v>
      </c>
      <c r="J25" s="38" t="str">
        <f>IF(dataset_A!I25=1,"Clear",IF(dataset_A!I25,"Mist/Cloudy",IF(dataset_A!I25=3,"Light Rain/Snow","Heavy Rain/Snow")))</f>
        <v>Clear</v>
      </c>
      <c r="K25" s="38">
        <f>dataset_A!N25</f>
        <v>7</v>
      </c>
      <c r="L25" s="38">
        <f>dataset_A!O25</f>
        <v>183</v>
      </c>
      <c r="M25" s="38">
        <f>dataset_A!P25</f>
        <v>190</v>
      </c>
      <c r="N25" s="38" t="str">
        <f t="shared" si="3"/>
        <v>Ok</v>
      </c>
      <c r="O25" s="38" t="str">
        <f>IF(M25&gt;Analysis!$B$3*1.5,"High",IF(M25&lt;Analysis!$B$3*0.5,"Low","Medium"))</f>
        <v>High</v>
      </c>
      <c r="P25" s="38" t="str">
        <f>VLOOKUP(dataset_A!C25,$Q$2:$R$5,2,0)</f>
        <v>Spring</v>
      </c>
      <c r="S25" s="38" t="str">
        <f t="array" ref="S25">INDEX($R$2:$R$5,MATCH(dataset_A!C25,$Q$2:$Q$5,0))</f>
        <v>Spring</v>
      </c>
      <c r="T25" s="38" t="str">
        <f t="shared" si="4"/>
        <v>Match</v>
      </c>
    </row>
    <row r="26" ht="12.75" customHeight="1">
      <c r="A26" s="38">
        <f>dataset_A!A26</f>
        <v>218</v>
      </c>
      <c r="B26" s="39">
        <f>dataset_A!B26</f>
        <v>40553</v>
      </c>
      <c r="C26" s="38">
        <f>dataset_A!F26</f>
        <v>8</v>
      </c>
      <c r="D26" s="38">
        <f>dataset_A!H26</f>
        <v>1</v>
      </c>
      <c r="E26" s="38" t="b">
        <f>dataset_A!G26</f>
        <v>0</v>
      </c>
      <c r="F26" s="38" t="b">
        <f>dataset_A!G26</f>
        <v>0</v>
      </c>
      <c r="G26" s="38" t="str">
        <f t="shared" si="1"/>
        <v>Weekday</v>
      </c>
      <c r="H26" s="38" t="str">
        <f t="shared" si="2"/>
        <v>Morning</v>
      </c>
      <c r="I26" s="38" t="str">
        <f>IF(dataset_A!C26=1,"Spring",IF(dataset_A!C26=2,"Summer",IF(dataset_A!C26=3,"Fail","Winter")))</f>
        <v>Spring</v>
      </c>
      <c r="J26" s="38" t="str">
        <f>IF(dataset_A!I26=1,"Clear",IF(dataset_A!I26,"Mist/Cloudy",IF(dataset_A!I26=3,"Light Rain/Snow","Heavy Rain/Snow")))</f>
        <v>Mist/Cloudy</v>
      </c>
      <c r="K26" s="38">
        <f>dataset_A!N26</f>
        <v>4</v>
      </c>
      <c r="L26" s="38">
        <f>dataset_A!O26</f>
        <v>184</v>
      </c>
      <c r="M26" s="38">
        <f>dataset_A!P26</f>
        <v>188</v>
      </c>
      <c r="N26" s="38" t="str">
        <f t="shared" si="3"/>
        <v>Ok</v>
      </c>
      <c r="O26" s="38" t="str">
        <f>IF(M26&gt;Analysis!$B$3*1.5,"High",IF(M26&lt;Analysis!$B$3*0.5,"Low","Medium"))</f>
        <v>High</v>
      </c>
      <c r="P26" s="38" t="str">
        <f>VLOOKUP(dataset_A!C26,$Q$2:$R$5,2,0)</f>
        <v>Spring</v>
      </c>
      <c r="S26" s="38" t="str">
        <f t="array" ref="S26">INDEX($R$2:$R$5,MATCH(dataset_A!C26,$Q$2:$Q$5,0))</f>
        <v>Spring</v>
      </c>
      <c r="T26" s="38" t="str">
        <f t="shared" si="4"/>
        <v>Match</v>
      </c>
    </row>
    <row r="27" ht="12.75" customHeight="1">
      <c r="A27" s="38">
        <f>dataset_A!A27</f>
        <v>743</v>
      </c>
      <c r="B27" s="39">
        <f>dataset_A!B27</f>
        <v>40577</v>
      </c>
      <c r="C27" s="38">
        <f>dataset_A!F27</f>
        <v>8</v>
      </c>
      <c r="D27" s="38">
        <f>dataset_A!H27</f>
        <v>4</v>
      </c>
      <c r="E27" s="38" t="b">
        <f>dataset_A!G27</f>
        <v>0</v>
      </c>
      <c r="F27" s="38" t="b">
        <f>dataset_A!G27</f>
        <v>0</v>
      </c>
      <c r="G27" s="38" t="str">
        <f t="shared" si="1"/>
        <v>Weekday</v>
      </c>
      <c r="H27" s="38" t="str">
        <f t="shared" si="2"/>
        <v>Morning</v>
      </c>
      <c r="I27" s="38" t="str">
        <f>IF(dataset_A!C27=1,"Spring",IF(dataset_A!C27=2,"Summer",IF(dataset_A!C27=3,"Fail","Winter")))</f>
        <v>Spring</v>
      </c>
      <c r="J27" s="38" t="str">
        <f>IF(dataset_A!I27=1,"Clear",IF(dataset_A!I27,"Mist/Cloudy",IF(dataset_A!I27=3,"Light Rain/Snow","Heavy Rain/Snow")))</f>
        <v>Clear</v>
      </c>
      <c r="K27" s="38">
        <f>dataset_A!N27</f>
        <v>4</v>
      </c>
      <c r="L27" s="38">
        <f>dataset_A!O27</f>
        <v>184</v>
      </c>
      <c r="M27" s="38">
        <f>dataset_A!P27</f>
        <v>188</v>
      </c>
      <c r="N27" s="38" t="str">
        <f t="shared" si="3"/>
        <v>Ok</v>
      </c>
      <c r="O27" s="38" t="str">
        <f>IF(M27&gt;Analysis!$B$3*1.5,"High",IF(M27&lt;Analysis!$B$3*0.5,"Low","Medium"))</f>
        <v>High</v>
      </c>
      <c r="P27" s="38" t="str">
        <f>VLOOKUP(dataset_A!C27,$Q$2:$R$5,2,0)</f>
        <v>Spring</v>
      </c>
      <c r="S27" s="38" t="str">
        <f t="array" ref="S27">INDEX($R$2:$R$5,MATCH(dataset_A!C27,$Q$2:$Q$5,0))</f>
        <v>Spring</v>
      </c>
      <c r="T27" s="38" t="str">
        <f t="shared" si="4"/>
        <v>Match</v>
      </c>
    </row>
    <row r="28" ht="12.75" customHeight="1">
      <c r="A28" s="38">
        <f>dataset_A!A28</f>
        <v>155</v>
      </c>
      <c r="B28" s="39">
        <f>dataset_A!B28</f>
        <v>40550</v>
      </c>
      <c r="C28" s="38">
        <f>dataset_A!F28</f>
        <v>17</v>
      </c>
      <c r="D28" s="38">
        <f>dataset_A!H28</f>
        <v>5</v>
      </c>
      <c r="E28" s="38" t="b">
        <f>dataset_A!G28</f>
        <v>0</v>
      </c>
      <c r="F28" s="38" t="b">
        <f>dataset_A!G28</f>
        <v>0</v>
      </c>
      <c r="G28" s="38" t="str">
        <f t="shared" si="1"/>
        <v>Weekday</v>
      </c>
      <c r="H28" s="38" t="str">
        <f t="shared" si="2"/>
        <v>Afternoon</v>
      </c>
      <c r="I28" s="38" t="str">
        <f>IF(dataset_A!C28=1,"Spring",IF(dataset_A!C28=2,"Summer",IF(dataset_A!C28=3,"Fail","Winter")))</f>
        <v>Spring</v>
      </c>
      <c r="J28" s="38" t="str">
        <f>IF(dataset_A!I28=1,"Clear",IF(dataset_A!I28,"Mist/Cloudy",IF(dataset_A!I28=3,"Light Rain/Snow","Heavy Rain/Snow")))</f>
        <v>Mist/Cloudy</v>
      </c>
      <c r="K28" s="38">
        <f>dataset_A!N28</f>
        <v>9</v>
      </c>
      <c r="L28" s="38">
        <f>dataset_A!O28</f>
        <v>178</v>
      </c>
      <c r="M28" s="38">
        <f>dataset_A!P28</f>
        <v>187</v>
      </c>
      <c r="N28" s="38" t="str">
        <f t="shared" si="3"/>
        <v>Ok</v>
      </c>
      <c r="O28" s="38" t="str">
        <f>IF(M28&gt;Analysis!$B$3*1.5,"High",IF(M28&lt;Analysis!$B$3*0.5,"Low","Medium"))</f>
        <v>High</v>
      </c>
      <c r="P28" s="38" t="str">
        <f>VLOOKUP(dataset_A!C28,$Q$2:$R$5,2,0)</f>
        <v>Spring</v>
      </c>
      <c r="S28" s="38" t="str">
        <f t="array" ref="S28">INDEX($R$2:$R$5,MATCH(dataset_A!C28,$Q$2:$Q$5,0))</f>
        <v>Spring</v>
      </c>
      <c r="T28" s="38" t="str">
        <f t="shared" si="4"/>
        <v>Match</v>
      </c>
    </row>
    <row r="29" ht="12.75" customHeight="1">
      <c r="A29" s="38">
        <f>dataset_A!A29</f>
        <v>450</v>
      </c>
      <c r="B29" s="39">
        <f>dataset_A!B29</f>
        <v>40563</v>
      </c>
      <c r="C29" s="38">
        <f>dataset_A!F29</f>
        <v>18</v>
      </c>
      <c r="D29" s="38">
        <f>dataset_A!H29</f>
        <v>4</v>
      </c>
      <c r="E29" s="38" t="b">
        <f>dataset_A!G29</f>
        <v>0</v>
      </c>
      <c r="F29" s="38" t="b">
        <f>dataset_A!G29</f>
        <v>0</v>
      </c>
      <c r="G29" s="38" t="str">
        <f t="shared" si="1"/>
        <v>Weekday</v>
      </c>
      <c r="H29" s="38" t="str">
        <f t="shared" si="2"/>
        <v>Evening</v>
      </c>
      <c r="I29" s="38" t="str">
        <f>IF(dataset_A!C29=1,"Spring",IF(dataset_A!C29=2,"Summer",IF(dataset_A!C29=3,"Fail","Winter")))</f>
        <v>Spring</v>
      </c>
      <c r="J29" s="38" t="str">
        <f>IF(dataset_A!I29=1,"Clear",IF(dataset_A!I29,"Mist/Cloudy",IF(dataset_A!I29=3,"Light Rain/Snow","Heavy Rain/Snow")))</f>
        <v>Mist/Cloudy</v>
      </c>
      <c r="K29" s="38">
        <f>dataset_A!N29</f>
        <v>1</v>
      </c>
      <c r="L29" s="38">
        <f>dataset_A!O29</f>
        <v>184</v>
      </c>
      <c r="M29" s="38">
        <f>dataset_A!P29</f>
        <v>185</v>
      </c>
      <c r="N29" s="38" t="str">
        <f t="shared" si="3"/>
        <v>Ok</v>
      </c>
      <c r="O29" s="38" t="str">
        <f>IF(M29&gt;Analysis!$B$3*1.5,"High",IF(M29&lt;Analysis!$B$3*0.5,"Low","Medium"))</f>
        <v>High</v>
      </c>
      <c r="P29" s="38" t="str">
        <f>VLOOKUP(dataset_A!C29,$Q$2:$R$5,2,0)</f>
        <v>Spring</v>
      </c>
      <c r="S29" s="38" t="str">
        <f t="array" ref="S29">INDEX($R$2:$R$5,MATCH(dataset_A!C29,$Q$2:$Q$5,0))</f>
        <v>Spring</v>
      </c>
      <c r="T29" s="38" t="str">
        <f t="shared" si="4"/>
        <v>Match</v>
      </c>
    </row>
    <row r="30" ht="12.75" customHeight="1">
      <c r="A30" s="38">
        <f>dataset_A!A30</f>
        <v>673</v>
      </c>
      <c r="B30" s="39">
        <f>dataset_A!B30</f>
        <v>40574</v>
      </c>
      <c r="C30" s="38">
        <f>dataset_A!F30</f>
        <v>8</v>
      </c>
      <c r="D30" s="38">
        <f>dataset_A!H30</f>
        <v>1</v>
      </c>
      <c r="E30" s="38" t="b">
        <f>dataset_A!G30</f>
        <v>0</v>
      </c>
      <c r="F30" s="38" t="b">
        <f>dataset_A!G30</f>
        <v>0</v>
      </c>
      <c r="G30" s="38" t="str">
        <f t="shared" si="1"/>
        <v>Weekday</v>
      </c>
      <c r="H30" s="38" t="str">
        <f t="shared" si="2"/>
        <v>Morning</v>
      </c>
      <c r="I30" s="38" t="str">
        <f>IF(dataset_A!C30=1,"Spring",IF(dataset_A!C30=2,"Summer",IF(dataset_A!C30=3,"Fail","Winter")))</f>
        <v>Spring</v>
      </c>
      <c r="J30" s="38" t="str">
        <f>IF(dataset_A!I30=1,"Clear",IF(dataset_A!I30,"Mist/Cloudy",IF(dataset_A!I30=3,"Light Rain/Snow","Heavy Rain/Snow")))</f>
        <v>Mist/Cloudy</v>
      </c>
      <c r="K30" s="38">
        <f>dataset_A!N30</f>
        <v>3</v>
      </c>
      <c r="L30" s="38">
        <f>dataset_A!O30</f>
        <v>182</v>
      </c>
      <c r="M30" s="38">
        <f>dataset_A!P30</f>
        <v>185</v>
      </c>
      <c r="N30" s="38" t="str">
        <f t="shared" si="3"/>
        <v>Ok</v>
      </c>
      <c r="O30" s="38" t="str">
        <f>IF(M30&gt;Analysis!$B$3*1.5,"High",IF(M30&lt;Analysis!$B$3*0.5,"Low","Medium"))</f>
        <v>High</v>
      </c>
      <c r="P30" s="38" t="str">
        <f>VLOOKUP(dataset_A!C30,$Q$2:$R$5,2,0)</f>
        <v>Spring</v>
      </c>
      <c r="S30" s="38" t="str">
        <f t="array" ref="S30">INDEX($R$2:$R$5,MATCH(dataset_A!C30,$Q$2:$Q$5,0))</f>
        <v>Spring</v>
      </c>
      <c r="T30" s="38" t="str">
        <f t="shared" si="4"/>
        <v>Match</v>
      </c>
    </row>
    <row r="31" ht="12.75" customHeight="1">
      <c r="A31" s="38">
        <f>dataset_A!A31</f>
        <v>542</v>
      </c>
      <c r="B31" s="39">
        <f>dataset_A!B31</f>
        <v>40567</v>
      </c>
      <c r="C31" s="38">
        <f>dataset_A!F31</f>
        <v>17</v>
      </c>
      <c r="D31" s="38">
        <f>dataset_A!H31</f>
        <v>1</v>
      </c>
      <c r="E31" s="38" t="b">
        <f>dataset_A!G31</f>
        <v>0</v>
      </c>
      <c r="F31" s="38" t="b">
        <f>dataset_A!G31</f>
        <v>0</v>
      </c>
      <c r="G31" s="38" t="str">
        <f t="shared" si="1"/>
        <v>Weekday</v>
      </c>
      <c r="H31" s="38" t="str">
        <f t="shared" si="2"/>
        <v>Afternoon</v>
      </c>
      <c r="I31" s="38" t="str">
        <f>IF(dataset_A!C31=1,"Spring",IF(dataset_A!C31=2,"Summer",IF(dataset_A!C31=3,"Fail","Winter")))</f>
        <v>Spring</v>
      </c>
      <c r="J31" s="38" t="str">
        <f>IF(dataset_A!I31=1,"Clear",IF(dataset_A!I31,"Mist/Cloudy",IF(dataset_A!I31=3,"Light Rain/Snow","Heavy Rain/Snow")))</f>
        <v>Clear</v>
      </c>
      <c r="K31" s="38">
        <f>dataset_A!N31</f>
        <v>6</v>
      </c>
      <c r="L31" s="38">
        <f>dataset_A!O31</f>
        <v>178</v>
      </c>
      <c r="M31" s="38">
        <f>dataset_A!P31</f>
        <v>184</v>
      </c>
      <c r="N31" s="38" t="str">
        <f t="shared" si="3"/>
        <v>Ok</v>
      </c>
      <c r="O31" s="38" t="str">
        <f>IF(M31&gt;Analysis!$B$3*1.5,"High",IF(M31&lt;Analysis!$B$3*0.5,"Low","Medium"))</f>
        <v>High</v>
      </c>
      <c r="P31" s="38" t="str">
        <f>VLOOKUP(dataset_A!C31,$Q$2:$R$5,2,0)</f>
        <v>Spring</v>
      </c>
      <c r="S31" s="38" t="str">
        <f t="array" ref="S31">INDEX($R$2:$R$5,MATCH(dataset_A!C31,$Q$2:$Q$5,0))</f>
        <v>Spring</v>
      </c>
      <c r="T31" s="38" t="str">
        <f t="shared" si="4"/>
        <v>Match</v>
      </c>
    </row>
    <row r="32" ht="12.75" customHeight="1">
      <c r="A32" s="38">
        <f>dataset_A!A32</f>
        <v>87</v>
      </c>
      <c r="B32" s="39">
        <f>dataset_A!B32</f>
        <v>40547</v>
      </c>
      <c r="C32" s="38">
        <f>dataset_A!F32</f>
        <v>18</v>
      </c>
      <c r="D32" s="38">
        <f>dataset_A!H32</f>
        <v>2</v>
      </c>
      <c r="E32" s="38" t="b">
        <f>dataset_A!G32</f>
        <v>0</v>
      </c>
      <c r="F32" s="38" t="b">
        <f>dataset_A!G32</f>
        <v>0</v>
      </c>
      <c r="G32" s="38" t="str">
        <f t="shared" si="1"/>
        <v>Weekday</v>
      </c>
      <c r="H32" s="38" t="str">
        <f t="shared" si="2"/>
        <v>Evening</v>
      </c>
      <c r="I32" s="38" t="str">
        <f>IF(dataset_A!C32=1,"Spring",IF(dataset_A!C32=2,"Summer",IF(dataset_A!C32=3,"Fail","Winter")))</f>
        <v>Spring</v>
      </c>
      <c r="J32" s="38" t="str">
        <f>IF(dataset_A!I32=1,"Clear",IF(dataset_A!I32,"Mist/Cloudy",IF(dataset_A!I32=3,"Light Rain/Snow","Heavy Rain/Snow")))</f>
        <v>Clear</v>
      </c>
      <c r="K32" s="38">
        <f>dataset_A!N32</f>
        <v>3</v>
      </c>
      <c r="L32" s="38">
        <f>dataset_A!O32</f>
        <v>179</v>
      </c>
      <c r="M32" s="38">
        <f>dataset_A!P32</f>
        <v>182</v>
      </c>
      <c r="N32" s="38" t="str">
        <f t="shared" si="3"/>
        <v>Ok</v>
      </c>
      <c r="O32" s="38" t="str">
        <f>IF(M32&gt;Analysis!$B$3*1.5,"High",IF(M32&lt;Analysis!$B$3*0.5,"Low","Medium"))</f>
        <v>High</v>
      </c>
      <c r="P32" s="38" t="str">
        <f>VLOOKUP(dataset_A!C32,$Q$2:$R$5,2,0)</f>
        <v>Spring</v>
      </c>
      <c r="S32" s="38" t="str">
        <f t="array" ref="S32">INDEX($R$2:$R$5,MATCH(dataset_A!C32,$Q$2:$Q$5,0))</f>
        <v>Spring</v>
      </c>
      <c r="T32" s="38" t="str">
        <f t="shared" si="4"/>
        <v>Match</v>
      </c>
    </row>
    <row r="33" ht="12.75" customHeight="1">
      <c r="A33" s="38">
        <f>dataset_A!A33</f>
        <v>730</v>
      </c>
      <c r="B33" s="39">
        <f>dataset_A!B33</f>
        <v>40576</v>
      </c>
      <c r="C33" s="38">
        <f>dataset_A!F33</f>
        <v>18</v>
      </c>
      <c r="D33" s="38">
        <f>dataset_A!H33</f>
        <v>3</v>
      </c>
      <c r="E33" s="38" t="b">
        <f>dataset_A!G33</f>
        <v>0</v>
      </c>
      <c r="F33" s="38" t="b">
        <f>dataset_A!G33</f>
        <v>0</v>
      </c>
      <c r="G33" s="38" t="str">
        <f t="shared" si="1"/>
        <v>Weekday</v>
      </c>
      <c r="H33" s="38" t="str">
        <f t="shared" si="2"/>
        <v>Evening</v>
      </c>
      <c r="I33" s="38" t="str">
        <f>IF(dataset_A!C33=1,"Spring",IF(dataset_A!C33=2,"Summer",IF(dataset_A!C33=3,"Fail","Winter")))</f>
        <v>Spring</v>
      </c>
      <c r="J33" s="38" t="str">
        <f>IF(dataset_A!I33=1,"Clear",IF(dataset_A!I33,"Mist/Cloudy",IF(dataset_A!I33=3,"Light Rain/Snow","Heavy Rain/Snow")))</f>
        <v>Clear</v>
      </c>
      <c r="K33" s="38">
        <f>dataset_A!N33</f>
        <v>7</v>
      </c>
      <c r="L33" s="38">
        <f>dataset_A!O33</f>
        <v>175</v>
      </c>
      <c r="M33" s="38">
        <f>dataset_A!P33</f>
        <v>182</v>
      </c>
      <c r="N33" s="38" t="str">
        <f t="shared" si="3"/>
        <v>Ok</v>
      </c>
      <c r="O33" s="38" t="str">
        <f>IF(M33&gt;Analysis!$B$3*1.5,"High",IF(M33&lt;Analysis!$B$3*0.5,"Low","Medium"))</f>
        <v>High</v>
      </c>
      <c r="P33" s="38" t="str">
        <f>VLOOKUP(dataset_A!C33,$Q$2:$R$5,2,0)</f>
        <v>Spring</v>
      </c>
      <c r="S33" s="38" t="str">
        <f t="array" ref="S33">INDEX($R$2:$R$5,MATCH(dataset_A!C33,$Q$2:$Q$5,0))</f>
        <v>Spring</v>
      </c>
      <c r="T33" s="38" t="str">
        <f t="shared" si="4"/>
        <v>Match</v>
      </c>
    </row>
    <row r="34" ht="12.75" customHeight="1">
      <c r="A34" s="38">
        <f>dataset_A!A34</f>
        <v>819</v>
      </c>
      <c r="B34" s="39">
        <f>dataset_A!B34</f>
        <v>40580</v>
      </c>
      <c r="C34" s="38">
        <f>dataset_A!F34</f>
        <v>13</v>
      </c>
      <c r="D34" s="38">
        <f>dataset_A!H34</f>
        <v>0</v>
      </c>
      <c r="E34" s="38" t="b">
        <f>dataset_A!G34</f>
        <v>0</v>
      </c>
      <c r="F34" s="38" t="b">
        <f>dataset_A!G34</f>
        <v>0</v>
      </c>
      <c r="G34" s="38" t="str">
        <f t="shared" si="1"/>
        <v>Weekend</v>
      </c>
      <c r="H34" s="38" t="str">
        <f t="shared" si="2"/>
        <v>Afternoon</v>
      </c>
      <c r="I34" s="38" t="str">
        <f>IF(dataset_A!C34=1,"Spring",IF(dataset_A!C34=2,"Summer",IF(dataset_A!C34=3,"Fail","Winter")))</f>
        <v>Spring</v>
      </c>
      <c r="J34" s="38" t="str">
        <f>IF(dataset_A!I34=1,"Clear",IF(dataset_A!I34,"Mist/Cloudy",IF(dataset_A!I34=3,"Light Rain/Snow","Heavy Rain/Snow")))</f>
        <v>Clear</v>
      </c>
      <c r="K34" s="38">
        <f>dataset_A!N34</f>
        <v>47</v>
      </c>
      <c r="L34" s="38">
        <f>dataset_A!O34</f>
        <v>135</v>
      </c>
      <c r="M34" s="38">
        <f>dataset_A!P34</f>
        <v>182</v>
      </c>
      <c r="N34" s="38" t="str">
        <f t="shared" si="3"/>
        <v>Ok</v>
      </c>
      <c r="O34" s="38" t="str">
        <f>IF(M34&gt;Analysis!$B$3*1.5,"High",IF(M34&lt;Analysis!$B$3*0.5,"Low","Medium"))</f>
        <v>High</v>
      </c>
      <c r="P34" s="38" t="str">
        <f>VLOOKUP(dataset_A!C34,$Q$2:$R$5,2,0)</f>
        <v>Spring</v>
      </c>
      <c r="S34" s="38" t="str">
        <f t="array" ref="S34">INDEX($R$2:$R$5,MATCH(dataset_A!C34,$Q$2:$Q$5,0))</f>
        <v>Spring</v>
      </c>
      <c r="T34" s="38" t="str">
        <f t="shared" si="4"/>
        <v>Match</v>
      </c>
    </row>
    <row r="35" ht="12.75" customHeight="1">
      <c r="A35" s="38">
        <f>dataset_A!A35</f>
        <v>821</v>
      </c>
      <c r="B35" s="39">
        <f>dataset_A!B35</f>
        <v>40580</v>
      </c>
      <c r="C35" s="38">
        <f>dataset_A!F35</f>
        <v>15</v>
      </c>
      <c r="D35" s="38">
        <f>dataset_A!H35</f>
        <v>0</v>
      </c>
      <c r="E35" s="38" t="b">
        <f>dataset_A!G35</f>
        <v>0</v>
      </c>
      <c r="F35" s="38" t="b">
        <f>dataset_A!G35</f>
        <v>0</v>
      </c>
      <c r="G35" s="38" t="str">
        <f t="shared" si="1"/>
        <v>Weekend</v>
      </c>
      <c r="H35" s="38" t="str">
        <f t="shared" si="2"/>
        <v>Afternoon</v>
      </c>
      <c r="I35" s="38" t="str">
        <f>IF(dataset_A!C35=1,"Spring",IF(dataset_A!C35=2,"Summer",IF(dataset_A!C35=3,"Fail","Winter")))</f>
        <v>Spring</v>
      </c>
      <c r="J35" s="38" t="str">
        <f>IF(dataset_A!I35=1,"Clear",IF(dataset_A!I35,"Mist/Cloudy",IF(dataset_A!I35=3,"Light Rain/Snow","Heavy Rain/Snow")))</f>
        <v>Clear</v>
      </c>
      <c r="K35" s="38">
        <f>dataset_A!N35</f>
        <v>52</v>
      </c>
      <c r="L35" s="38">
        <f>dataset_A!O35</f>
        <v>130</v>
      </c>
      <c r="M35" s="38">
        <f>dataset_A!P35</f>
        <v>182</v>
      </c>
      <c r="N35" s="38" t="str">
        <f t="shared" si="3"/>
        <v>Ok</v>
      </c>
      <c r="O35" s="38" t="str">
        <f>IF(M35&gt;Analysis!$B$3*1.5,"High",IF(M35&lt;Analysis!$B$3*0.5,"Low","Medium"))</f>
        <v>High</v>
      </c>
      <c r="P35" s="38" t="str">
        <f>VLOOKUP(dataset_A!C35,$Q$2:$R$5,2,0)</f>
        <v>Spring</v>
      </c>
      <c r="S35" s="38" t="str">
        <f t="array" ref="S35">INDEX($R$2:$R$5,MATCH(dataset_A!C35,$Q$2:$Q$5,0))</f>
        <v>Spring</v>
      </c>
      <c r="T35" s="38" t="str">
        <f t="shared" si="4"/>
        <v>Match</v>
      </c>
    </row>
    <row r="36" ht="12.75" customHeight="1">
      <c r="A36" s="38">
        <f>dataset_A!A36</f>
        <v>77</v>
      </c>
      <c r="B36" s="39">
        <f>dataset_A!B36</f>
        <v>40547</v>
      </c>
      <c r="C36" s="38">
        <f>dataset_A!F36</f>
        <v>8</v>
      </c>
      <c r="D36" s="38">
        <f>dataset_A!H36</f>
        <v>2</v>
      </c>
      <c r="E36" s="38" t="b">
        <f>dataset_A!G36</f>
        <v>0</v>
      </c>
      <c r="F36" s="38" t="b">
        <f>dataset_A!G36</f>
        <v>0</v>
      </c>
      <c r="G36" s="38" t="str">
        <f t="shared" si="1"/>
        <v>Weekday</v>
      </c>
      <c r="H36" s="38" t="str">
        <f t="shared" si="2"/>
        <v>Morning</v>
      </c>
      <c r="I36" s="38" t="str">
        <f>IF(dataset_A!C36=1,"Spring",IF(dataset_A!C36=2,"Summer",IF(dataset_A!C36=3,"Fail","Winter")))</f>
        <v>Spring</v>
      </c>
      <c r="J36" s="38" t="str">
        <f>IF(dataset_A!I36=1,"Clear",IF(dataset_A!I36,"Mist/Cloudy",IF(dataset_A!I36=3,"Light Rain/Snow","Heavy Rain/Snow")))</f>
        <v>Clear</v>
      </c>
      <c r="K36" s="38">
        <f>dataset_A!N36</f>
        <v>2</v>
      </c>
      <c r="L36" s="38">
        <f>dataset_A!O36</f>
        <v>177</v>
      </c>
      <c r="M36" s="38">
        <f>dataset_A!P36</f>
        <v>179</v>
      </c>
      <c r="N36" s="38" t="str">
        <f t="shared" si="3"/>
        <v>Ok</v>
      </c>
      <c r="O36" s="38" t="str">
        <f>IF(M36&gt;Analysis!$B$3*1.5,"High",IF(M36&lt;Analysis!$B$3*0.5,"Low","Medium"))</f>
        <v>High</v>
      </c>
      <c r="P36" s="38" t="str">
        <f>VLOOKUP(dataset_A!C36,$Q$2:$R$5,2,0)</f>
        <v>Spring</v>
      </c>
      <c r="S36" s="38" t="str">
        <f t="array" ref="S36">INDEX($R$2:$R$5,MATCH(dataset_A!C36,$Q$2:$Q$5,0))</f>
        <v>Spring</v>
      </c>
      <c r="T36" s="38" t="str">
        <f t="shared" si="4"/>
        <v>Match</v>
      </c>
    </row>
    <row r="37" ht="12.75" customHeight="1">
      <c r="A37" s="38">
        <f>dataset_A!A37</f>
        <v>227</v>
      </c>
      <c r="B37" s="39">
        <f>dataset_A!B37</f>
        <v>40553</v>
      </c>
      <c r="C37" s="38">
        <f>dataset_A!F37</f>
        <v>17</v>
      </c>
      <c r="D37" s="38">
        <f>dataset_A!H37</f>
        <v>1</v>
      </c>
      <c r="E37" s="38" t="b">
        <f>dataset_A!G37</f>
        <v>0</v>
      </c>
      <c r="F37" s="38" t="b">
        <f>dataset_A!G37</f>
        <v>0</v>
      </c>
      <c r="G37" s="38" t="str">
        <f t="shared" si="1"/>
        <v>Weekday</v>
      </c>
      <c r="H37" s="38" t="str">
        <f t="shared" si="2"/>
        <v>Afternoon</v>
      </c>
      <c r="I37" s="38" t="str">
        <f>IF(dataset_A!C37=1,"Spring",IF(dataset_A!C37=2,"Summer",IF(dataset_A!C37=3,"Fail","Winter")))</f>
        <v>Spring</v>
      </c>
      <c r="J37" s="38" t="str">
        <f>IF(dataset_A!I37=1,"Clear",IF(dataset_A!I37,"Mist/Cloudy",IF(dataset_A!I37=3,"Light Rain/Snow","Heavy Rain/Snow")))</f>
        <v>Clear</v>
      </c>
      <c r="K37" s="38">
        <f>dataset_A!N37</f>
        <v>4</v>
      </c>
      <c r="L37" s="38">
        <f>dataset_A!O37</f>
        <v>174</v>
      </c>
      <c r="M37" s="38">
        <f>dataset_A!P37</f>
        <v>178</v>
      </c>
      <c r="N37" s="38" t="str">
        <f t="shared" si="3"/>
        <v>Ok</v>
      </c>
      <c r="O37" s="38" t="str">
        <f>IF(M37&gt;Analysis!$B$3*1.5,"High",IF(M37&lt;Analysis!$B$3*0.5,"Low","Medium"))</f>
        <v>High</v>
      </c>
      <c r="P37" s="38" t="str">
        <f>VLOOKUP(dataset_A!C37,$Q$2:$R$5,2,0)</f>
        <v>Spring</v>
      </c>
      <c r="S37" s="38" t="str">
        <f t="array" ref="S37">INDEX($R$2:$R$5,MATCH(dataset_A!C37,$Q$2:$Q$5,0))</f>
        <v>Spring</v>
      </c>
      <c r="T37" s="38" t="str">
        <f t="shared" si="4"/>
        <v>Match</v>
      </c>
    </row>
    <row r="38" ht="12.75" customHeight="1">
      <c r="A38" s="38">
        <f>dataset_A!A38</f>
        <v>908</v>
      </c>
      <c r="B38" s="39">
        <f>dataset_A!B38</f>
        <v>40584</v>
      </c>
      <c r="C38" s="38">
        <f>dataset_A!F38</f>
        <v>8</v>
      </c>
      <c r="D38" s="38">
        <f>dataset_A!H38</f>
        <v>4</v>
      </c>
      <c r="E38" s="38" t="b">
        <f>dataset_A!G38</f>
        <v>0</v>
      </c>
      <c r="F38" s="38" t="b">
        <f>dataset_A!G38</f>
        <v>0</v>
      </c>
      <c r="G38" s="38" t="str">
        <f t="shared" si="1"/>
        <v>Weekday</v>
      </c>
      <c r="H38" s="38" t="str">
        <f t="shared" si="2"/>
        <v>Morning</v>
      </c>
      <c r="I38" s="38" t="str">
        <f>IF(dataset_A!C38=1,"Spring",IF(dataset_A!C38=2,"Summer",IF(dataset_A!C38=3,"Fail","Winter")))</f>
        <v>Spring</v>
      </c>
      <c r="J38" s="38" t="str">
        <f>IF(dataset_A!I38=1,"Clear",IF(dataset_A!I38,"Mist/Cloudy",IF(dataset_A!I38=3,"Light Rain/Snow","Heavy Rain/Snow")))</f>
        <v>Clear</v>
      </c>
      <c r="K38" s="38">
        <f>dataset_A!N38</f>
        <v>5</v>
      </c>
      <c r="L38" s="38">
        <f>dataset_A!O38</f>
        <v>173</v>
      </c>
      <c r="M38" s="38">
        <f>dataset_A!P38</f>
        <v>178</v>
      </c>
      <c r="N38" s="38" t="str">
        <f t="shared" si="3"/>
        <v>Ok</v>
      </c>
      <c r="O38" s="38" t="str">
        <f>IF(M38&gt;Analysis!$B$3*1.5,"High",IF(M38&lt;Analysis!$B$3*0.5,"Low","Medium"))</f>
        <v>High</v>
      </c>
      <c r="P38" s="38" t="str">
        <f>VLOOKUP(dataset_A!C38,$Q$2:$R$5,2,0)</f>
        <v>Spring</v>
      </c>
      <c r="S38" s="38" t="str">
        <f t="array" ref="S38">INDEX($R$2:$R$5,MATCH(dataset_A!C38,$Q$2:$Q$5,0))</f>
        <v>Spring</v>
      </c>
      <c r="T38" s="38" t="str">
        <f t="shared" si="4"/>
        <v>Match</v>
      </c>
    </row>
    <row r="39" ht="12.75" customHeight="1">
      <c r="A39" s="38">
        <f>dataset_A!A39</f>
        <v>533</v>
      </c>
      <c r="B39" s="39">
        <f>dataset_A!B39</f>
        <v>40567</v>
      </c>
      <c r="C39" s="38">
        <f>dataset_A!F39</f>
        <v>8</v>
      </c>
      <c r="D39" s="38">
        <f>dataset_A!H39</f>
        <v>1</v>
      </c>
      <c r="E39" s="38" t="b">
        <f>dataset_A!G39</f>
        <v>0</v>
      </c>
      <c r="F39" s="38" t="b">
        <f>dataset_A!G39</f>
        <v>0</v>
      </c>
      <c r="G39" s="38" t="str">
        <f t="shared" si="1"/>
        <v>Weekday</v>
      </c>
      <c r="H39" s="38" t="str">
        <f t="shared" si="2"/>
        <v>Morning</v>
      </c>
      <c r="I39" s="38" t="str">
        <f>IF(dataset_A!C39=1,"Spring",IF(dataset_A!C39=2,"Summer",IF(dataset_A!C39=3,"Fail","Winter")))</f>
        <v>Spring</v>
      </c>
      <c r="J39" s="38" t="str">
        <f>IF(dataset_A!I39=1,"Clear",IF(dataset_A!I39,"Mist/Cloudy",IF(dataset_A!I39=3,"Light Rain/Snow","Heavy Rain/Snow")))</f>
        <v>Clear</v>
      </c>
      <c r="K39" s="38">
        <f>dataset_A!N39</f>
        <v>6</v>
      </c>
      <c r="L39" s="38">
        <f>dataset_A!O39</f>
        <v>171</v>
      </c>
      <c r="M39" s="38">
        <f>dataset_A!P39</f>
        <v>177</v>
      </c>
      <c r="N39" s="38" t="str">
        <f t="shared" si="3"/>
        <v>Ok</v>
      </c>
      <c r="O39" s="38" t="str">
        <f>IF(M39&gt;Analysis!$B$3*1.5,"High",IF(M39&lt;Analysis!$B$3*0.5,"Low","Medium"))</f>
        <v>High</v>
      </c>
      <c r="P39" s="38" t="str">
        <f>VLOOKUP(dataset_A!C39,$Q$2:$R$5,2,0)</f>
        <v>Spring</v>
      </c>
      <c r="S39" s="38" t="str">
        <f t="array" ref="S39">INDEX($R$2:$R$5,MATCH(dataset_A!C39,$Q$2:$Q$5,0))</f>
        <v>Spring</v>
      </c>
      <c r="T39" s="38" t="str">
        <f t="shared" si="4"/>
        <v>Match</v>
      </c>
    </row>
    <row r="40" ht="12.75" customHeight="1">
      <c r="A40" s="38">
        <f>dataset_A!A40</f>
        <v>705</v>
      </c>
      <c r="B40" s="39">
        <f>dataset_A!B40</f>
        <v>40575</v>
      </c>
      <c r="C40" s="38">
        <f>dataset_A!F40</f>
        <v>17</v>
      </c>
      <c r="D40" s="38">
        <f>dataset_A!H40</f>
        <v>2</v>
      </c>
      <c r="E40" s="38" t="b">
        <f>dataset_A!G40</f>
        <v>0</v>
      </c>
      <c r="F40" s="38" t="b">
        <f>dataset_A!G40</f>
        <v>0</v>
      </c>
      <c r="G40" s="38" t="str">
        <f t="shared" si="1"/>
        <v>Weekday</v>
      </c>
      <c r="H40" s="38" t="str">
        <f t="shared" si="2"/>
        <v>Afternoon</v>
      </c>
      <c r="I40" s="38" t="str">
        <f>IF(dataset_A!C40=1,"Spring",IF(dataset_A!C40=2,"Summer",IF(dataset_A!C40=3,"Fail","Winter")))</f>
        <v>Spring</v>
      </c>
      <c r="J40" s="38" t="str">
        <f>IF(dataset_A!I40=1,"Clear",IF(dataset_A!I40,"Mist/Cloudy",IF(dataset_A!I40=3,"Light Rain/Snow","Heavy Rain/Snow")))</f>
        <v>Mist/Cloudy</v>
      </c>
      <c r="K40" s="38">
        <f>dataset_A!N40</f>
        <v>4</v>
      </c>
      <c r="L40" s="38">
        <f>dataset_A!O40</f>
        <v>172</v>
      </c>
      <c r="M40" s="38">
        <f>dataset_A!P40</f>
        <v>176</v>
      </c>
      <c r="N40" s="38" t="str">
        <f t="shared" si="3"/>
        <v>Ok</v>
      </c>
      <c r="O40" s="38" t="str">
        <f>IF(M40&gt;Analysis!$B$3*1.5,"High",IF(M40&lt;Analysis!$B$3*0.5,"Low","Medium"))</f>
        <v>High</v>
      </c>
      <c r="P40" s="38" t="str">
        <f>VLOOKUP(dataset_A!C40,$Q$2:$R$5,2,0)</f>
        <v>Spring</v>
      </c>
      <c r="S40" s="38" t="str">
        <f t="array" ref="S40">INDEX($R$2:$R$5,MATCH(dataset_A!C40,$Q$2:$Q$5,0))</f>
        <v>Spring</v>
      </c>
      <c r="T40" s="38" t="str">
        <f t="shared" si="4"/>
        <v>Match</v>
      </c>
    </row>
    <row r="41" ht="12.75" customHeight="1">
      <c r="A41" s="38">
        <f>dataset_A!A41</f>
        <v>871</v>
      </c>
      <c r="B41" s="39">
        <f>dataset_A!B41</f>
        <v>40582</v>
      </c>
      <c r="C41" s="38">
        <f>dataset_A!F41</f>
        <v>17</v>
      </c>
      <c r="D41" s="38">
        <f>dataset_A!H41</f>
        <v>2</v>
      </c>
      <c r="E41" s="38" t="b">
        <f>dataset_A!G41</f>
        <v>0</v>
      </c>
      <c r="F41" s="38" t="b">
        <f>dataset_A!G41</f>
        <v>0</v>
      </c>
      <c r="G41" s="38" t="str">
        <f t="shared" si="1"/>
        <v>Weekday</v>
      </c>
      <c r="H41" s="38" t="str">
        <f t="shared" si="2"/>
        <v>Afternoon</v>
      </c>
      <c r="I41" s="38" t="str">
        <f>IF(dataset_A!C41=1,"Spring",IF(dataset_A!C41=2,"Summer",IF(dataset_A!C41=3,"Fail","Winter")))</f>
        <v>Spring</v>
      </c>
      <c r="J41" s="38" t="str">
        <f>IF(dataset_A!I41=1,"Clear",IF(dataset_A!I41,"Mist/Cloudy",IF(dataset_A!I41=3,"Light Rain/Snow","Heavy Rain/Snow")))</f>
        <v>Clear</v>
      </c>
      <c r="K41" s="38">
        <f>dataset_A!N41</f>
        <v>4</v>
      </c>
      <c r="L41" s="38">
        <f>dataset_A!O41</f>
        <v>172</v>
      </c>
      <c r="M41" s="38">
        <f>dataset_A!P41</f>
        <v>176</v>
      </c>
      <c r="N41" s="38" t="str">
        <f t="shared" si="3"/>
        <v>Ok</v>
      </c>
      <c r="O41" s="38" t="str">
        <f>IF(M41&gt;Analysis!$B$3*1.5,"High",IF(M41&lt;Analysis!$B$3*0.5,"Low","Medium"))</f>
        <v>High</v>
      </c>
      <c r="P41" s="38" t="str">
        <f>VLOOKUP(dataset_A!C41,$Q$2:$R$5,2,0)</f>
        <v>Spring</v>
      </c>
      <c r="S41" s="38" t="str">
        <f t="array" ref="S41">INDEX($R$2:$R$5,MATCH(dataset_A!C41,$Q$2:$Q$5,0))</f>
        <v>Spring</v>
      </c>
      <c r="T41" s="38" t="str">
        <f t="shared" si="4"/>
        <v>Match</v>
      </c>
    </row>
    <row r="42" ht="12.75" customHeight="1">
      <c r="A42" s="38">
        <f>dataset_A!A42</f>
        <v>752</v>
      </c>
      <c r="B42" s="39">
        <f>dataset_A!B42</f>
        <v>40577</v>
      </c>
      <c r="C42" s="38">
        <f>dataset_A!F42</f>
        <v>17</v>
      </c>
      <c r="D42" s="38">
        <f>dataset_A!H42</f>
        <v>4</v>
      </c>
      <c r="E42" s="38" t="b">
        <f>dataset_A!G42</f>
        <v>0</v>
      </c>
      <c r="F42" s="38" t="b">
        <f>dataset_A!G42</f>
        <v>0</v>
      </c>
      <c r="G42" s="38" t="str">
        <f t="shared" si="1"/>
        <v>Weekday</v>
      </c>
      <c r="H42" s="38" t="str">
        <f t="shared" si="2"/>
        <v>Afternoon</v>
      </c>
      <c r="I42" s="38" t="str">
        <f>IF(dataset_A!C42=1,"Spring",IF(dataset_A!C42=2,"Summer",IF(dataset_A!C42=3,"Fail","Winter")))</f>
        <v>Spring</v>
      </c>
      <c r="J42" s="38" t="str">
        <f>IF(dataset_A!I42=1,"Clear",IF(dataset_A!I42,"Mist/Cloudy",IF(dataset_A!I42=3,"Light Rain/Snow","Heavy Rain/Snow")))</f>
        <v>Clear</v>
      </c>
      <c r="K42" s="38">
        <f>dataset_A!N42</f>
        <v>5</v>
      </c>
      <c r="L42" s="38">
        <f>dataset_A!O42</f>
        <v>170</v>
      </c>
      <c r="M42" s="38">
        <f>dataset_A!P42</f>
        <v>175</v>
      </c>
      <c r="N42" s="38" t="str">
        <f t="shared" si="3"/>
        <v>Ok</v>
      </c>
      <c r="O42" s="38" t="str">
        <f>IF(M42&gt;Analysis!$B$3*1.5,"High",IF(M42&lt;Analysis!$B$3*0.5,"Low","Medium"))</f>
        <v>High</v>
      </c>
      <c r="P42" s="38" t="str">
        <f>VLOOKUP(dataset_A!C42,$Q$2:$R$5,2,0)</f>
        <v>Spring</v>
      </c>
      <c r="S42" s="38" t="str">
        <f t="array" ref="S42">INDEX($R$2:$R$5,MATCH(dataset_A!C42,$Q$2:$Q$5,0))</f>
        <v>Spring</v>
      </c>
      <c r="T42" s="38" t="str">
        <f t="shared" si="4"/>
        <v>Match</v>
      </c>
    </row>
    <row r="43" ht="12.75" customHeight="1">
      <c r="A43" s="38">
        <f>dataset_A!A43</f>
        <v>848</v>
      </c>
      <c r="B43" s="39">
        <f>dataset_A!B43</f>
        <v>40581</v>
      </c>
      <c r="C43" s="38">
        <f>dataset_A!F43</f>
        <v>18</v>
      </c>
      <c r="D43" s="38">
        <f>dataset_A!H43</f>
        <v>1</v>
      </c>
      <c r="E43" s="38" t="b">
        <f>dataset_A!G43</f>
        <v>0</v>
      </c>
      <c r="F43" s="38" t="b">
        <f>dataset_A!G43</f>
        <v>0</v>
      </c>
      <c r="G43" s="38" t="str">
        <f t="shared" si="1"/>
        <v>Weekday</v>
      </c>
      <c r="H43" s="38" t="str">
        <f t="shared" si="2"/>
        <v>Evening</v>
      </c>
      <c r="I43" s="38" t="str">
        <f>IF(dataset_A!C43=1,"Spring",IF(dataset_A!C43=2,"Summer",IF(dataset_A!C43=3,"Fail","Winter")))</f>
        <v>Spring</v>
      </c>
      <c r="J43" s="38" t="str">
        <f>IF(dataset_A!I43=1,"Clear",IF(dataset_A!I43,"Mist/Cloudy",IF(dataset_A!I43=3,"Light Rain/Snow","Heavy Rain/Snow")))</f>
        <v>Mist/Cloudy</v>
      </c>
      <c r="K43" s="38">
        <f>dataset_A!N43</f>
        <v>5</v>
      </c>
      <c r="L43" s="38">
        <f>dataset_A!O43</f>
        <v>170</v>
      </c>
      <c r="M43" s="38">
        <f>dataset_A!P43</f>
        <v>175</v>
      </c>
      <c r="N43" s="38" t="str">
        <f t="shared" si="3"/>
        <v>Ok</v>
      </c>
      <c r="O43" s="38" t="str">
        <f>IF(M43&gt;Analysis!$B$3*1.5,"High",IF(M43&lt;Analysis!$B$3*0.5,"Low","Medium"))</f>
        <v>High</v>
      </c>
      <c r="P43" s="38" t="str">
        <f>VLOOKUP(dataset_A!C43,$Q$2:$R$5,2,0)</f>
        <v>Spring</v>
      </c>
      <c r="S43" s="38" t="str">
        <f t="array" ref="S43">INDEX($R$2:$R$5,MATCH(dataset_A!C43,$Q$2:$Q$5,0))</f>
        <v>Spring</v>
      </c>
      <c r="T43" s="38" t="str">
        <f t="shared" si="4"/>
        <v>Match</v>
      </c>
    </row>
    <row r="44" ht="12.75" customHeight="1">
      <c r="A44" s="38">
        <f>dataset_A!A44</f>
        <v>818</v>
      </c>
      <c r="B44" s="39">
        <f>dataset_A!B44</f>
        <v>40580</v>
      </c>
      <c r="C44" s="38">
        <f>dataset_A!F44</f>
        <v>12</v>
      </c>
      <c r="D44" s="38">
        <f>dataset_A!H44</f>
        <v>0</v>
      </c>
      <c r="E44" s="38" t="b">
        <f>dataset_A!G44</f>
        <v>0</v>
      </c>
      <c r="F44" s="38" t="b">
        <f>dataset_A!G44</f>
        <v>0</v>
      </c>
      <c r="G44" s="38" t="str">
        <f t="shared" si="1"/>
        <v>Weekend</v>
      </c>
      <c r="H44" s="38" t="str">
        <f t="shared" si="2"/>
        <v>Afternoon</v>
      </c>
      <c r="I44" s="38" t="str">
        <f>IF(dataset_A!C44=1,"Spring",IF(dataset_A!C44=2,"Summer",IF(dataset_A!C44=3,"Fail","Winter")))</f>
        <v>Spring</v>
      </c>
      <c r="J44" s="38" t="str">
        <f>IF(dataset_A!I44=1,"Clear",IF(dataset_A!I44,"Mist/Cloudy",IF(dataset_A!I44=3,"Light Rain/Snow","Heavy Rain/Snow")))</f>
        <v>Clear</v>
      </c>
      <c r="K44" s="38">
        <f>dataset_A!N44</f>
        <v>48</v>
      </c>
      <c r="L44" s="38">
        <f>dataset_A!O44</f>
        <v>126</v>
      </c>
      <c r="M44" s="38">
        <f>dataset_A!P44</f>
        <v>174</v>
      </c>
      <c r="N44" s="38" t="str">
        <f t="shared" si="3"/>
        <v>Ok</v>
      </c>
      <c r="O44" s="38" t="str">
        <f>IF(M44&gt;Analysis!$B$3*1.5,"High",IF(M44&lt;Analysis!$B$3*0.5,"Low","Medium"))</f>
        <v>High</v>
      </c>
      <c r="P44" s="38" t="str">
        <f>VLOOKUP(dataset_A!C44,$Q$2:$R$5,2,0)</f>
        <v>Spring</v>
      </c>
      <c r="S44" s="38" t="str">
        <f t="array" ref="S44">INDEX($R$2:$R$5,MATCH(dataset_A!C44,$Q$2:$Q$5,0))</f>
        <v>Spring</v>
      </c>
      <c r="T44" s="38" t="str">
        <f t="shared" si="4"/>
        <v>Match</v>
      </c>
    </row>
    <row r="45" ht="12.75" customHeight="1">
      <c r="A45" s="38">
        <f>dataset_A!A45</f>
        <v>940</v>
      </c>
      <c r="B45" s="39">
        <f>dataset_A!B45</f>
        <v>40585</v>
      </c>
      <c r="C45" s="38">
        <f>dataset_A!F45</f>
        <v>18</v>
      </c>
      <c r="D45" s="38">
        <f>dataset_A!H45</f>
        <v>5</v>
      </c>
      <c r="E45" s="38" t="b">
        <f>dataset_A!G45</f>
        <v>0</v>
      </c>
      <c r="F45" s="38" t="b">
        <f>dataset_A!G45</f>
        <v>0</v>
      </c>
      <c r="G45" s="38" t="str">
        <f t="shared" si="1"/>
        <v>Weekday</v>
      </c>
      <c r="H45" s="38" t="str">
        <f t="shared" si="2"/>
        <v>Evening</v>
      </c>
      <c r="I45" s="38" t="str">
        <f>IF(dataset_A!C45=1,"Spring",IF(dataset_A!C45=2,"Summer",IF(dataset_A!C45=3,"Fail","Winter")))</f>
        <v>Spring</v>
      </c>
      <c r="J45" s="38" t="str">
        <f>IF(dataset_A!I45=1,"Clear",IF(dataset_A!I45,"Mist/Cloudy",IF(dataset_A!I45=3,"Light Rain/Snow","Heavy Rain/Snow")))</f>
        <v>Clear</v>
      </c>
      <c r="K45" s="38">
        <f>dataset_A!N45</f>
        <v>9</v>
      </c>
      <c r="L45" s="38">
        <f>dataset_A!O45</f>
        <v>165</v>
      </c>
      <c r="M45" s="38">
        <f>dataset_A!P45</f>
        <v>174</v>
      </c>
      <c r="N45" s="38" t="str">
        <f t="shared" si="3"/>
        <v>Ok</v>
      </c>
      <c r="O45" s="38" t="str">
        <f>IF(M45&gt;Analysis!$B$3*1.5,"High",IF(M45&lt;Analysis!$B$3*0.5,"Low","Medium"))</f>
        <v>High</v>
      </c>
      <c r="P45" s="38" t="str">
        <f>VLOOKUP(dataset_A!C45,$Q$2:$R$5,2,0)</f>
        <v>Spring</v>
      </c>
      <c r="S45" s="38" t="str">
        <f t="array" ref="S45">INDEX($R$2:$R$5,MATCH(dataset_A!C45,$Q$2:$Q$5,0))</f>
        <v>Spring</v>
      </c>
      <c r="T45" s="38" t="str">
        <f t="shared" si="4"/>
        <v>Match</v>
      </c>
    </row>
    <row r="46" ht="12.75" customHeight="1">
      <c r="A46" s="38">
        <f>dataset_A!A46</f>
        <v>961</v>
      </c>
      <c r="B46" s="39">
        <f>dataset_A!B46</f>
        <v>40586</v>
      </c>
      <c r="C46" s="38">
        <f>dataset_A!F46</f>
        <v>15</v>
      </c>
      <c r="D46" s="38">
        <f>dataset_A!H46</f>
        <v>6</v>
      </c>
      <c r="E46" s="38" t="b">
        <f>dataset_A!G46</f>
        <v>0</v>
      </c>
      <c r="F46" s="38" t="b">
        <f>dataset_A!G46</f>
        <v>0</v>
      </c>
      <c r="G46" s="38" t="str">
        <f t="shared" si="1"/>
        <v>Weekend</v>
      </c>
      <c r="H46" s="38" t="str">
        <f t="shared" si="2"/>
        <v>Afternoon</v>
      </c>
      <c r="I46" s="38" t="str">
        <f>IF(dataset_A!C46=1,"Spring",IF(dataset_A!C46=2,"Summer",IF(dataset_A!C46=3,"Fail","Winter")))</f>
        <v>Spring</v>
      </c>
      <c r="J46" s="38" t="str">
        <f>IF(dataset_A!I46=1,"Clear",IF(dataset_A!I46,"Mist/Cloudy",IF(dataset_A!I46=3,"Light Rain/Snow","Heavy Rain/Snow")))</f>
        <v>Clear</v>
      </c>
      <c r="K46" s="38">
        <f>dataset_A!N46</f>
        <v>47</v>
      </c>
      <c r="L46" s="38">
        <f>dataset_A!O46</f>
        <v>127</v>
      </c>
      <c r="M46" s="38">
        <f>dataset_A!P46</f>
        <v>174</v>
      </c>
      <c r="N46" s="38" t="str">
        <f t="shared" si="3"/>
        <v>Ok</v>
      </c>
      <c r="O46" s="38" t="str">
        <f>IF(M46&gt;Analysis!$B$3*1.5,"High",IF(M46&lt;Analysis!$B$3*0.5,"Low","Medium"))</f>
        <v>High</v>
      </c>
      <c r="P46" s="38" t="str">
        <f>VLOOKUP(dataset_A!C46,$Q$2:$R$5,2,0)</f>
        <v>Spring</v>
      </c>
      <c r="S46" s="38" t="str">
        <f t="array" ref="S46">INDEX($R$2:$R$5,MATCH(dataset_A!C46,$Q$2:$Q$5,0))</f>
        <v>Spring</v>
      </c>
      <c r="T46" s="38" t="str">
        <f t="shared" si="4"/>
        <v>Match</v>
      </c>
    </row>
    <row r="47" ht="12.75" customHeight="1">
      <c r="A47" s="38">
        <f>dataset_A!A47</f>
        <v>132</v>
      </c>
      <c r="B47" s="39">
        <f>dataset_A!B47</f>
        <v>40549</v>
      </c>
      <c r="C47" s="38">
        <f>dataset_A!F47</f>
        <v>17</v>
      </c>
      <c r="D47" s="38">
        <f>dataset_A!H47</f>
        <v>4</v>
      </c>
      <c r="E47" s="38" t="b">
        <f>dataset_A!G47</f>
        <v>0</v>
      </c>
      <c r="F47" s="38" t="b">
        <f>dataset_A!G47</f>
        <v>0</v>
      </c>
      <c r="G47" s="38" t="str">
        <f t="shared" si="1"/>
        <v>Weekday</v>
      </c>
      <c r="H47" s="38" t="str">
        <f t="shared" si="2"/>
        <v>Afternoon</v>
      </c>
      <c r="I47" s="38" t="str">
        <f>IF(dataset_A!C47=1,"Spring",IF(dataset_A!C47=2,"Summer",IF(dataset_A!C47=3,"Fail","Winter")))</f>
        <v>Spring</v>
      </c>
      <c r="J47" s="38" t="str">
        <f>IF(dataset_A!I47=1,"Clear",IF(dataset_A!I47,"Mist/Cloudy",IF(dataset_A!I47=3,"Light Rain/Snow","Heavy Rain/Snow")))</f>
        <v>Clear</v>
      </c>
      <c r="K47" s="38">
        <f>dataset_A!N47</f>
        <v>9</v>
      </c>
      <c r="L47" s="38">
        <f>dataset_A!O47</f>
        <v>163</v>
      </c>
      <c r="M47" s="38">
        <f>dataset_A!P47</f>
        <v>172</v>
      </c>
      <c r="N47" s="38" t="str">
        <f t="shared" si="3"/>
        <v>Ok</v>
      </c>
      <c r="O47" s="38" t="str">
        <f>IF(M47&gt;Analysis!$B$3*1.5,"High",IF(M47&lt;Analysis!$B$3*0.5,"Low","Medium"))</f>
        <v>High</v>
      </c>
      <c r="P47" s="38" t="str">
        <f>VLOOKUP(dataset_A!C47,$Q$2:$R$5,2,0)</f>
        <v>Spring</v>
      </c>
      <c r="S47" s="38" t="str">
        <f t="array" ref="S47">INDEX($R$2:$R$5,MATCH(dataset_A!C47,$Q$2:$Q$5,0))</f>
        <v>Spring</v>
      </c>
      <c r="T47" s="38" t="str">
        <f t="shared" si="4"/>
        <v>Match</v>
      </c>
    </row>
    <row r="48" ht="12.75" customHeight="1">
      <c r="A48" s="38">
        <f>dataset_A!A48</f>
        <v>895</v>
      </c>
      <c r="B48" s="39">
        <f>dataset_A!B48</f>
        <v>40583</v>
      </c>
      <c r="C48" s="38">
        <f>dataset_A!F48</f>
        <v>18</v>
      </c>
      <c r="D48" s="38">
        <f>dataset_A!H48</f>
        <v>3</v>
      </c>
      <c r="E48" s="38" t="b">
        <f>dataset_A!G48</f>
        <v>0</v>
      </c>
      <c r="F48" s="38" t="b">
        <f>dataset_A!G48</f>
        <v>0</v>
      </c>
      <c r="G48" s="38" t="str">
        <f t="shared" si="1"/>
        <v>Weekday</v>
      </c>
      <c r="H48" s="38" t="str">
        <f t="shared" si="2"/>
        <v>Evening</v>
      </c>
      <c r="I48" s="38" t="str">
        <f>IF(dataset_A!C48=1,"Spring",IF(dataset_A!C48=2,"Summer",IF(dataset_A!C48=3,"Fail","Winter")))</f>
        <v>Spring</v>
      </c>
      <c r="J48" s="38" t="str">
        <f>IF(dataset_A!I48=1,"Clear",IF(dataset_A!I48,"Mist/Cloudy",IF(dataset_A!I48=3,"Light Rain/Snow","Heavy Rain/Snow")))</f>
        <v>Mist/Cloudy</v>
      </c>
      <c r="K48" s="38">
        <f>dataset_A!N48</f>
        <v>2</v>
      </c>
      <c r="L48" s="38">
        <f>dataset_A!O48</f>
        <v>168</v>
      </c>
      <c r="M48" s="38">
        <f>dataset_A!P48</f>
        <v>170</v>
      </c>
      <c r="N48" s="38" t="str">
        <f t="shared" si="3"/>
        <v>Ok</v>
      </c>
      <c r="O48" s="38" t="str">
        <f>IF(M48&gt;Analysis!$B$3*1.5,"High",IF(M48&lt;Analysis!$B$3*0.5,"Low","Medium"))</f>
        <v>High</v>
      </c>
      <c r="P48" s="38" t="str">
        <f>VLOOKUP(dataset_A!C48,$Q$2:$R$5,2,0)</f>
        <v>Spring</v>
      </c>
      <c r="S48" s="38" t="str">
        <f t="array" ref="S48">INDEX($R$2:$R$5,MATCH(dataset_A!C48,$Q$2:$Q$5,0))</f>
        <v>Spring</v>
      </c>
      <c r="T48" s="38" t="str">
        <f t="shared" si="4"/>
        <v>Match</v>
      </c>
    </row>
    <row r="49" ht="12.75" customHeight="1">
      <c r="A49" s="38">
        <f>dataset_A!A49</f>
        <v>110</v>
      </c>
      <c r="B49" s="39">
        <f>dataset_A!B49</f>
        <v>40548</v>
      </c>
      <c r="C49" s="38">
        <f>dataset_A!F49</f>
        <v>18</v>
      </c>
      <c r="D49" s="38">
        <f>dataset_A!H49</f>
        <v>3</v>
      </c>
      <c r="E49" s="38" t="b">
        <f>dataset_A!G49</f>
        <v>0</v>
      </c>
      <c r="F49" s="38" t="b">
        <f>dataset_A!G49</f>
        <v>0</v>
      </c>
      <c r="G49" s="38" t="str">
        <f t="shared" si="1"/>
        <v>Weekday</v>
      </c>
      <c r="H49" s="38" t="str">
        <f t="shared" si="2"/>
        <v>Evening</v>
      </c>
      <c r="I49" s="38" t="str">
        <f>IF(dataset_A!C49=1,"Spring",IF(dataset_A!C49=2,"Summer",IF(dataset_A!C49=3,"Fail","Winter")))</f>
        <v>Spring</v>
      </c>
      <c r="J49" s="38" t="str">
        <f>IF(dataset_A!I49=1,"Clear",IF(dataset_A!I49,"Mist/Cloudy",IF(dataset_A!I49=3,"Light Rain/Snow","Heavy Rain/Snow")))</f>
        <v>Clear</v>
      </c>
      <c r="K49" s="38">
        <f>dataset_A!N49</f>
        <v>3</v>
      </c>
      <c r="L49" s="38">
        <f>dataset_A!O49</f>
        <v>166</v>
      </c>
      <c r="M49" s="38">
        <f>dataset_A!P49</f>
        <v>169</v>
      </c>
      <c r="N49" s="38" t="str">
        <f t="shared" si="3"/>
        <v>Ok</v>
      </c>
      <c r="O49" s="38" t="str">
        <f>IF(M49&gt;Analysis!$B$3*1.5,"High",IF(M49&lt;Analysis!$B$3*0.5,"Low","Medium"))</f>
        <v>High</v>
      </c>
      <c r="P49" s="38" t="str">
        <f>VLOOKUP(dataset_A!C49,$Q$2:$R$5,2,0)</f>
        <v>Spring</v>
      </c>
      <c r="S49" s="38" t="str">
        <f t="array" ref="S49">INDEX($R$2:$R$5,MATCH(dataset_A!C49,$Q$2:$Q$5,0))</f>
        <v>Spring</v>
      </c>
      <c r="T49" s="38" t="str">
        <f t="shared" si="4"/>
        <v>Match</v>
      </c>
    </row>
    <row r="50" ht="12.75" customHeight="1">
      <c r="A50" s="38">
        <f>dataset_A!A50</f>
        <v>706</v>
      </c>
      <c r="B50" s="39">
        <f>dataset_A!B50</f>
        <v>40575</v>
      </c>
      <c r="C50" s="38">
        <f>dataset_A!F50</f>
        <v>18</v>
      </c>
      <c r="D50" s="38">
        <f>dataset_A!H50</f>
        <v>2</v>
      </c>
      <c r="E50" s="38" t="b">
        <f>dataset_A!G50</f>
        <v>0</v>
      </c>
      <c r="F50" s="38" t="b">
        <f>dataset_A!G50</f>
        <v>0</v>
      </c>
      <c r="G50" s="38" t="str">
        <f t="shared" si="1"/>
        <v>Weekday</v>
      </c>
      <c r="H50" s="38" t="str">
        <f t="shared" si="2"/>
        <v>Evening</v>
      </c>
      <c r="I50" s="38" t="str">
        <f>IF(dataset_A!C50=1,"Spring",IF(dataset_A!C50=2,"Summer",IF(dataset_A!C50=3,"Fail","Winter")))</f>
        <v>Spring</v>
      </c>
      <c r="J50" s="38" t="str">
        <f>IF(dataset_A!I50=1,"Clear",IF(dataset_A!I50,"Mist/Cloudy",IF(dataset_A!I50=3,"Light Rain/Snow","Heavy Rain/Snow")))</f>
        <v>Mist/Cloudy</v>
      </c>
      <c r="K50" s="38">
        <f>dataset_A!N50</f>
        <v>3</v>
      </c>
      <c r="L50" s="38">
        <f>dataset_A!O50</f>
        <v>165</v>
      </c>
      <c r="M50" s="38">
        <f>dataset_A!P50</f>
        <v>168</v>
      </c>
      <c r="N50" s="38" t="str">
        <f t="shared" si="3"/>
        <v>Ok</v>
      </c>
      <c r="O50" s="38" t="str">
        <f>IF(M50&gt;Analysis!$B$3*1.5,"High",IF(M50&lt;Analysis!$B$3*0.5,"Low","Medium"))</f>
        <v>High</v>
      </c>
      <c r="P50" s="38" t="str">
        <f>VLOOKUP(dataset_A!C50,$Q$2:$R$5,2,0)</f>
        <v>Spring</v>
      </c>
      <c r="S50" s="38" t="str">
        <f t="array" ref="S50">INDEX($R$2:$R$5,MATCH(dataset_A!C50,$Q$2:$Q$5,0))</f>
        <v>Spring</v>
      </c>
      <c r="T50" s="38" t="str">
        <f t="shared" si="4"/>
        <v>Match</v>
      </c>
    </row>
    <row r="51" ht="12.75" customHeight="1">
      <c r="A51" s="38">
        <f>dataset_A!A51</f>
        <v>465</v>
      </c>
      <c r="B51" s="39">
        <f>dataset_A!B51</f>
        <v>40564</v>
      </c>
      <c r="C51" s="38">
        <f>dataset_A!F51</f>
        <v>9</v>
      </c>
      <c r="D51" s="38">
        <f>dataset_A!H51</f>
        <v>5</v>
      </c>
      <c r="E51" s="38" t="b">
        <f>dataset_A!G51</f>
        <v>0</v>
      </c>
      <c r="F51" s="38" t="b">
        <f>dataset_A!G51</f>
        <v>0</v>
      </c>
      <c r="G51" s="38" t="str">
        <f t="shared" si="1"/>
        <v>Weekday</v>
      </c>
      <c r="H51" s="38" t="str">
        <f t="shared" si="2"/>
        <v>Morning</v>
      </c>
      <c r="I51" s="38" t="str">
        <f>IF(dataset_A!C51=1,"Spring",IF(dataset_A!C51=2,"Summer",IF(dataset_A!C51=3,"Fail","Winter")))</f>
        <v>Spring</v>
      </c>
      <c r="J51" s="38" t="str">
        <f>IF(dataset_A!I51=1,"Clear",IF(dataset_A!I51,"Mist/Cloudy",IF(dataset_A!I51=3,"Light Rain/Snow","Heavy Rain/Snow")))</f>
        <v>Clear</v>
      </c>
      <c r="K51" s="38">
        <f>dataset_A!N51</f>
        <v>7</v>
      </c>
      <c r="L51" s="38">
        <f>dataset_A!O51</f>
        <v>159</v>
      </c>
      <c r="M51" s="38">
        <f>dataset_A!P51</f>
        <v>166</v>
      </c>
      <c r="N51" s="38" t="str">
        <f t="shared" si="3"/>
        <v>Ok</v>
      </c>
      <c r="O51" s="38" t="str">
        <f>IF(M51&gt;Analysis!$B$3*1.5,"High",IF(M51&lt;Analysis!$B$3*0.5,"Low","Medium"))</f>
        <v>High</v>
      </c>
      <c r="P51" s="38" t="str">
        <f>VLOOKUP(dataset_A!C51,$Q$2:$R$5,2,0)</f>
        <v>Spring</v>
      </c>
      <c r="S51" s="38" t="str">
        <f t="array" ref="S51">INDEX($R$2:$R$5,MATCH(dataset_A!C51,$Q$2:$Q$5,0))</f>
        <v>Spring</v>
      </c>
      <c r="T51" s="38" t="str">
        <f t="shared" si="4"/>
        <v>Match</v>
      </c>
    </row>
    <row r="52" ht="12.75" customHeight="1">
      <c r="A52" s="38">
        <f>dataset_A!A52</f>
        <v>894</v>
      </c>
      <c r="B52" s="39">
        <f>dataset_A!B52</f>
        <v>40583</v>
      </c>
      <c r="C52" s="38">
        <f>dataset_A!F52</f>
        <v>17</v>
      </c>
      <c r="D52" s="38">
        <f>dataset_A!H52</f>
        <v>3</v>
      </c>
      <c r="E52" s="38" t="b">
        <f>dataset_A!G52</f>
        <v>0</v>
      </c>
      <c r="F52" s="38" t="b">
        <f>dataset_A!G52</f>
        <v>0</v>
      </c>
      <c r="G52" s="38" t="str">
        <f t="shared" si="1"/>
        <v>Weekday</v>
      </c>
      <c r="H52" s="38" t="str">
        <f t="shared" si="2"/>
        <v>Afternoon</v>
      </c>
      <c r="I52" s="38" t="str">
        <f>IF(dataset_A!C52=1,"Spring",IF(dataset_A!C52=2,"Summer",IF(dataset_A!C52=3,"Fail","Winter")))</f>
        <v>Spring</v>
      </c>
      <c r="J52" s="38" t="str">
        <f>IF(dataset_A!I52=1,"Clear",IF(dataset_A!I52,"Mist/Cloudy",IF(dataset_A!I52=3,"Light Rain/Snow","Heavy Rain/Snow")))</f>
        <v>Mist/Cloudy</v>
      </c>
      <c r="K52" s="38">
        <f>dataset_A!N52</f>
        <v>9</v>
      </c>
      <c r="L52" s="38">
        <f>dataset_A!O52</f>
        <v>157</v>
      </c>
      <c r="M52" s="38">
        <f>dataset_A!P52</f>
        <v>166</v>
      </c>
      <c r="N52" s="38" t="str">
        <f t="shared" si="3"/>
        <v>Ok</v>
      </c>
      <c r="O52" s="38" t="str">
        <f>IF(M52&gt;Analysis!$B$3*1.5,"High",IF(M52&lt;Analysis!$B$3*0.5,"Low","Medium"))</f>
        <v>High</v>
      </c>
      <c r="P52" s="38" t="str">
        <f>VLOOKUP(dataset_A!C52,$Q$2:$R$5,2,0)</f>
        <v>Spring</v>
      </c>
      <c r="S52" s="38" t="str">
        <f t="array" ref="S52">INDEX($R$2:$R$5,MATCH(dataset_A!C52,$Q$2:$Q$5,0))</f>
        <v>Spring</v>
      </c>
      <c r="T52" s="38" t="str">
        <f t="shared" si="4"/>
        <v>Match</v>
      </c>
    </row>
    <row r="53" ht="12.75" customHeight="1">
      <c r="A53" s="38">
        <f>dataset_A!A53</f>
        <v>917</v>
      </c>
      <c r="B53" s="39">
        <f>dataset_A!B53</f>
        <v>40584</v>
      </c>
      <c r="C53" s="38">
        <f>dataset_A!F53</f>
        <v>17</v>
      </c>
      <c r="D53" s="38">
        <f>dataset_A!H53</f>
        <v>4</v>
      </c>
      <c r="E53" s="38" t="b">
        <f>dataset_A!G53</f>
        <v>0</v>
      </c>
      <c r="F53" s="38" t="b">
        <f>dataset_A!G53</f>
        <v>0</v>
      </c>
      <c r="G53" s="38" t="str">
        <f t="shared" si="1"/>
        <v>Weekday</v>
      </c>
      <c r="H53" s="38" t="str">
        <f t="shared" si="2"/>
        <v>Afternoon</v>
      </c>
      <c r="I53" s="38" t="str">
        <f>IF(dataset_A!C53=1,"Spring",IF(dataset_A!C53=2,"Summer",IF(dataset_A!C53=3,"Fail","Winter")))</f>
        <v>Spring</v>
      </c>
      <c r="J53" s="38" t="str">
        <f>IF(dataset_A!I53=1,"Clear",IF(dataset_A!I53,"Mist/Cloudy",IF(dataset_A!I53=3,"Light Rain/Snow","Heavy Rain/Snow")))</f>
        <v>Clear</v>
      </c>
      <c r="K53" s="38">
        <f>dataset_A!N53</f>
        <v>6</v>
      </c>
      <c r="L53" s="38">
        <f>dataset_A!O53</f>
        <v>159</v>
      </c>
      <c r="M53" s="38">
        <f>dataset_A!P53</f>
        <v>165</v>
      </c>
      <c r="N53" s="38" t="str">
        <f t="shared" si="3"/>
        <v>Ok</v>
      </c>
      <c r="O53" s="38" t="str">
        <f>IF(M53&gt;Analysis!$B$3*1.5,"High",IF(M53&lt;Analysis!$B$3*0.5,"Low","Medium"))</f>
        <v>High</v>
      </c>
      <c r="P53" s="38" t="str">
        <f>VLOOKUP(dataset_A!C53,$Q$2:$R$5,2,0)</f>
        <v>Spring</v>
      </c>
      <c r="S53" s="38" t="str">
        <f t="array" ref="S53">INDEX($R$2:$R$5,MATCH(dataset_A!C53,$Q$2:$Q$5,0))</f>
        <v>Spring</v>
      </c>
      <c r="T53" s="38" t="str">
        <f t="shared" si="4"/>
        <v>Match</v>
      </c>
    </row>
    <row r="54" ht="12.75" customHeight="1">
      <c r="A54" s="38">
        <f>dataset_A!A54</f>
        <v>133</v>
      </c>
      <c r="B54" s="39">
        <f>dataset_A!B54</f>
        <v>40549</v>
      </c>
      <c r="C54" s="38">
        <f>dataset_A!F54</f>
        <v>18</v>
      </c>
      <c r="D54" s="38">
        <f>dataset_A!H54</f>
        <v>4</v>
      </c>
      <c r="E54" s="38" t="b">
        <f>dataset_A!G54</f>
        <v>0</v>
      </c>
      <c r="F54" s="38" t="b">
        <f>dataset_A!G54</f>
        <v>0</v>
      </c>
      <c r="G54" s="38" t="str">
        <f t="shared" si="1"/>
        <v>Weekday</v>
      </c>
      <c r="H54" s="38" t="str">
        <f t="shared" si="2"/>
        <v>Evening</v>
      </c>
      <c r="I54" s="38" t="str">
        <f>IF(dataset_A!C54=1,"Spring",IF(dataset_A!C54=2,"Summer",IF(dataset_A!C54=3,"Fail","Winter")))</f>
        <v>Spring</v>
      </c>
      <c r="J54" s="38" t="str">
        <f>IF(dataset_A!I54=1,"Clear",IF(dataset_A!I54,"Mist/Cloudy",IF(dataset_A!I54=3,"Light Rain/Snow","Heavy Rain/Snow")))</f>
        <v>Clear</v>
      </c>
      <c r="K54" s="38">
        <f>dataset_A!N54</f>
        <v>5</v>
      </c>
      <c r="L54" s="38">
        <f>dataset_A!O54</f>
        <v>158</v>
      </c>
      <c r="M54" s="38">
        <f>dataset_A!P54</f>
        <v>163</v>
      </c>
      <c r="N54" s="38" t="str">
        <f t="shared" si="3"/>
        <v>Ok</v>
      </c>
      <c r="O54" s="38" t="str">
        <f>IF(M54&gt;Analysis!$B$3*1.5,"High",IF(M54&lt;Analysis!$B$3*0.5,"Low","Medium"))</f>
        <v>High</v>
      </c>
      <c r="P54" s="38" t="str">
        <f>VLOOKUP(dataset_A!C54,$Q$2:$R$5,2,0)</f>
        <v>Spring</v>
      </c>
      <c r="S54" s="38" t="str">
        <f t="array" ref="S54">INDEX($R$2:$R$5,MATCH(dataset_A!C54,$Q$2:$Q$5,0))</f>
        <v>Spring</v>
      </c>
      <c r="T54" s="38" t="str">
        <f t="shared" si="4"/>
        <v>Match</v>
      </c>
    </row>
    <row r="55" ht="12.75" customHeight="1">
      <c r="A55" s="38">
        <f>dataset_A!A55</f>
        <v>295</v>
      </c>
      <c r="B55" s="39">
        <f>dataset_A!B55</f>
        <v>40556</v>
      </c>
      <c r="C55" s="38">
        <f>dataset_A!F55</f>
        <v>17</v>
      </c>
      <c r="D55" s="38">
        <f>dataset_A!H55</f>
        <v>4</v>
      </c>
      <c r="E55" s="38" t="b">
        <f>dataset_A!G55</f>
        <v>0</v>
      </c>
      <c r="F55" s="38" t="b">
        <f>dataset_A!G55</f>
        <v>0</v>
      </c>
      <c r="G55" s="38" t="str">
        <f t="shared" si="1"/>
        <v>Weekday</v>
      </c>
      <c r="H55" s="38" t="str">
        <f t="shared" si="2"/>
        <v>Afternoon</v>
      </c>
      <c r="I55" s="38" t="str">
        <f>IF(dataset_A!C55=1,"Spring",IF(dataset_A!C55=2,"Summer",IF(dataset_A!C55=3,"Fail","Winter")))</f>
        <v>Spring</v>
      </c>
      <c r="J55" s="38" t="str">
        <f>IF(dataset_A!I55=1,"Clear",IF(dataset_A!I55,"Mist/Cloudy",IF(dataset_A!I55=3,"Light Rain/Snow","Heavy Rain/Snow")))</f>
        <v>Clear</v>
      </c>
      <c r="K55" s="38">
        <f>dataset_A!N55</f>
        <v>4</v>
      </c>
      <c r="L55" s="38">
        <f>dataset_A!O55</f>
        <v>158</v>
      </c>
      <c r="M55" s="38">
        <f>dataset_A!P55</f>
        <v>162</v>
      </c>
      <c r="N55" s="38" t="str">
        <f t="shared" si="3"/>
        <v>Ok</v>
      </c>
      <c r="O55" s="38" t="str">
        <f>IF(M55&gt;Analysis!$B$3*1.5,"High",IF(M55&lt;Analysis!$B$3*0.5,"Low","Medium"))</f>
        <v>High</v>
      </c>
      <c r="P55" s="38" t="str">
        <f>VLOOKUP(dataset_A!C55,$Q$2:$R$5,2,0)</f>
        <v>Spring</v>
      </c>
      <c r="S55" s="38" t="str">
        <f t="array" ref="S55">INDEX($R$2:$R$5,MATCH(dataset_A!C55,$Q$2:$Q$5,0))</f>
        <v>Spring</v>
      </c>
      <c r="T55" s="38" t="str">
        <f t="shared" si="4"/>
        <v>Match</v>
      </c>
    </row>
    <row r="56" ht="12.75" customHeight="1">
      <c r="A56" s="38">
        <f>dataset_A!A56</f>
        <v>984</v>
      </c>
      <c r="B56" s="39">
        <f>dataset_A!B56</f>
        <v>40587</v>
      </c>
      <c r="C56" s="38">
        <f>dataset_A!F56</f>
        <v>15</v>
      </c>
      <c r="D56" s="38">
        <f>dataset_A!H56</f>
        <v>0</v>
      </c>
      <c r="E56" s="38" t="b">
        <f>dataset_A!G56</f>
        <v>0</v>
      </c>
      <c r="F56" s="38" t="b">
        <f>dataset_A!G56</f>
        <v>0</v>
      </c>
      <c r="G56" s="38" t="str">
        <f t="shared" si="1"/>
        <v>Weekend</v>
      </c>
      <c r="H56" s="38" t="str">
        <f t="shared" si="2"/>
        <v>Afternoon</v>
      </c>
      <c r="I56" s="38" t="str">
        <f>IF(dataset_A!C56=1,"Spring",IF(dataset_A!C56=2,"Summer",IF(dataset_A!C56=3,"Fail","Winter")))</f>
        <v>Spring</v>
      </c>
      <c r="J56" s="38" t="str">
        <f>IF(dataset_A!I56=1,"Clear",IF(dataset_A!I56,"Mist/Cloudy",IF(dataset_A!I56=3,"Light Rain/Snow","Heavy Rain/Snow")))</f>
        <v>Mist/Cloudy</v>
      </c>
      <c r="K56" s="38">
        <f>dataset_A!N56</f>
        <v>40</v>
      </c>
      <c r="L56" s="38">
        <f>dataset_A!O56</f>
        <v>122</v>
      </c>
      <c r="M56" s="38">
        <f>dataset_A!P56</f>
        <v>162</v>
      </c>
      <c r="N56" s="38" t="str">
        <f t="shared" si="3"/>
        <v>Ok</v>
      </c>
      <c r="O56" s="38" t="str">
        <f>IF(M56&gt;Analysis!$B$3*1.5,"High",IF(M56&lt;Analysis!$B$3*0.5,"Low","Medium"))</f>
        <v>High</v>
      </c>
      <c r="P56" s="38" t="str">
        <f>VLOOKUP(dataset_A!C56,$Q$2:$R$5,2,0)</f>
        <v>Spring</v>
      </c>
      <c r="S56" s="38" t="str">
        <f t="array" ref="S56">INDEX($R$2:$R$5,MATCH(dataset_A!C56,$Q$2:$Q$5,0))</f>
        <v>Spring</v>
      </c>
      <c r="T56" s="38" t="str">
        <f t="shared" si="4"/>
        <v>Match</v>
      </c>
    </row>
    <row r="57" ht="12.75" customHeight="1">
      <c r="A57" s="38">
        <f>dataset_A!A57</f>
        <v>426</v>
      </c>
      <c r="B57" s="39">
        <f>dataset_A!B57</f>
        <v>40562</v>
      </c>
      <c r="C57" s="38">
        <f>dataset_A!F57</f>
        <v>18</v>
      </c>
      <c r="D57" s="38">
        <f>dataset_A!H57</f>
        <v>3</v>
      </c>
      <c r="E57" s="38" t="b">
        <f>dataset_A!G57</f>
        <v>0</v>
      </c>
      <c r="F57" s="38" t="b">
        <f>dataset_A!G57</f>
        <v>0</v>
      </c>
      <c r="G57" s="38" t="str">
        <f t="shared" si="1"/>
        <v>Weekday</v>
      </c>
      <c r="H57" s="38" t="str">
        <f t="shared" si="2"/>
        <v>Evening</v>
      </c>
      <c r="I57" s="38" t="str">
        <f>IF(dataset_A!C57=1,"Spring",IF(dataset_A!C57=2,"Summer",IF(dataset_A!C57=3,"Fail","Winter")))</f>
        <v>Spring</v>
      </c>
      <c r="J57" s="38" t="str">
        <f>IF(dataset_A!I57=1,"Clear",IF(dataset_A!I57,"Mist/Cloudy",IF(dataset_A!I57=3,"Light Rain/Snow","Heavy Rain/Snow")))</f>
        <v>Clear</v>
      </c>
      <c r="K57" s="38">
        <f>dataset_A!N57</f>
        <v>5</v>
      </c>
      <c r="L57" s="38">
        <f>dataset_A!O57</f>
        <v>156</v>
      </c>
      <c r="M57" s="38">
        <f>dataset_A!P57</f>
        <v>161</v>
      </c>
      <c r="N57" s="38" t="str">
        <f t="shared" si="3"/>
        <v>Ok</v>
      </c>
      <c r="O57" s="38" t="str">
        <f>IF(M57&gt;Analysis!$B$3*1.5,"High",IF(M57&lt;Analysis!$B$3*0.5,"Low","Medium"))</f>
        <v>High</v>
      </c>
      <c r="P57" s="38" t="str">
        <f>VLOOKUP(dataset_A!C57,$Q$2:$R$5,2,0)</f>
        <v>Spring</v>
      </c>
      <c r="S57" s="38" t="str">
        <f t="array" ref="S57">INDEX($R$2:$R$5,MATCH(dataset_A!C57,$Q$2:$Q$5,0))</f>
        <v>Spring</v>
      </c>
      <c r="T57" s="38" t="str">
        <f t="shared" si="4"/>
        <v>Match</v>
      </c>
    </row>
    <row r="58" ht="12.75" customHeight="1">
      <c r="A58" s="38">
        <f>dataset_A!A58</f>
        <v>473</v>
      </c>
      <c r="B58" s="39">
        <f>dataset_A!B58</f>
        <v>40564</v>
      </c>
      <c r="C58" s="38">
        <f>dataset_A!F58</f>
        <v>17</v>
      </c>
      <c r="D58" s="38">
        <f>dataset_A!H58</f>
        <v>5</v>
      </c>
      <c r="E58" s="38" t="b">
        <f>dataset_A!G58</f>
        <v>0</v>
      </c>
      <c r="F58" s="38" t="b">
        <f>dataset_A!G58</f>
        <v>0</v>
      </c>
      <c r="G58" s="38" t="str">
        <f t="shared" si="1"/>
        <v>Weekday</v>
      </c>
      <c r="H58" s="38" t="str">
        <f t="shared" si="2"/>
        <v>Afternoon</v>
      </c>
      <c r="I58" s="38" t="str">
        <f>IF(dataset_A!C58=1,"Spring",IF(dataset_A!C58=2,"Summer",IF(dataset_A!C58=3,"Fail","Winter")))</f>
        <v>Spring</v>
      </c>
      <c r="J58" s="38" t="str">
        <f>IF(dataset_A!I58=1,"Clear",IF(dataset_A!I58,"Mist/Cloudy",IF(dataset_A!I58=3,"Light Rain/Snow","Heavy Rain/Snow")))</f>
        <v>Clear</v>
      </c>
      <c r="K58" s="38">
        <f>dataset_A!N58</f>
        <v>10</v>
      </c>
      <c r="L58" s="38">
        <f>dataset_A!O58</f>
        <v>151</v>
      </c>
      <c r="M58" s="38">
        <f>dataset_A!P58</f>
        <v>161</v>
      </c>
      <c r="N58" s="38" t="str">
        <f t="shared" si="3"/>
        <v>Ok</v>
      </c>
      <c r="O58" s="38" t="str">
        <f>IF(M58&gt;Analysis!$B$3*1.5,"High",IF(M58&lt;Analysis!$B$3*0.5,"Low","Medium"))</f>
        <v>High</v>
      </c>
      <c r="P58" s="38" t="str">
        <f>VLOOKUP(dataset_A!C58,$Q$2:$R$5,2,0)</f>
        <v>Spring</v>
      </c>
      <c r="S58" s="38" t="str">
        <f t="array" ref="S58">INDEX($R$2:$R$5,MATCH(dataset_A!C58,$Q$2:$Q$5,0))</f>
        <v>Spring</v>
      </c>
      <c r="T58" s="38" t="str">
        <f t="shared" si="4"/>
        <v>Match</v>
      </c>
    </row>
    <row r="59" ht="12.75" customHeight="1">
      <c r="A59" s="38">
        <f>dataset_A!A59</f>
        <v>682</v>
      </c>
      <c r="B59" s="39">
        <f>dataset_A!B59</f>
        <v>40574</v>
      </c>
      <c r="C59" s="38">
        <f>dataset_A!F59</f>
        <v>17</v>
      </c>
      <c r="D59" s="38">
        <f>dataset_A!H59</f>
        <v>1</v>
      </c>
      <c r="E59" s="38" t="b">
        <f>dataset_A!G59</f>
        <v>0</v>
      </c>
      <c r="F59" s="38" t="b">
        <f>dataset_A!G59</f>
        <v>0</v>
      </c>
      <c r="G59" s="38" t="str">
        <f t="shared" si="1"/>
        <v>Weekday</v>
      </c>
      <c r="H59" s="38" t="str">
        <f t="shared" si="2"/>
        <v>Afternoon</v>
      </c>
      <c r="I59" s="38" t="str">
        <f>IF(dataset_A!C59=1,"Spring",IF(dataset_A!C59=2,"Summer",IF(dataset_A!C59=3,"Fail","Winter")))</f>
        <v>Spring</v>
      </c>
      <c r="J59" s="38" t="str">
        <f>IF(dataset_A!I59=1,"Clear",IF(dataset_A!I59,"Mist/Cloudy",IF(dataset_A!I59=3,"Light Rain/Snow","Heavy Rain/Snow")))</f>
        <v>Mist/Cloudy</v>
      </c>
      <c r="K59" s="38">
        <f>dataset_A!N59</f>
        <v>6</v>
      </c>
      <c r="L59" s="38">
        <f>dataset_A!O59</f>
        <v>155</v>
      </c>
      <c r="M59" s="38">
        <f>dataset_A!P59</f>
        <v>161</v>
      </c>
      <c r="N59" s="38" t="str">
        <f t="shared" si="3"/>
        <v>Ok</v>
      </c>
      <c r="O59" s="38" t="str">
        <f>IF(M59&gt;Analysis!$B$3*1.5,"High",IF(M59&lt;Analysis!$B$3*0.5,"Low","Medium"))</f>
        <v>High</v>
      </c>
      <c r="P59" s="38" t="str">
        <f>VLOOKUP(dataset_A!C59,$Q$2:$R$5,2,0)</f>
        <v>Spring</v>
      </c>
      <c r="S59" s="38" t="str">
        <f t="array" ref="S59">INDEX($R$2:$R$5,MATCH(dataset_A!C59,$Q$2:$Q$5,0))</f>
        <v>Spring</v>
      </c>
      <c r="T59" s="38" t="str">
        <f t="shared" si="4"/>
        <v>Match</v>
      </c>
    </row>
    <row r="60" ht="12.75" customHeight="1">
      <c r="A60" s="38">
        <f>dataset_A!A60</f>
        <v>820</v>
      </c>
      <c r="B60" s="39">
        <f>dataset_A!B60</f>
        <v>40580</v>
      </c>
      <c r="C60" s="38">
        <f>dataset_A!F60</f>
        <v>14</v>
      </c>
      <c r="D60" s="38">
        <f>dataset_A!H60</f>
        <v>0</v>
      </c>
      <c r="E60" s="38" t="b">
        <f>dataset_A!G60</f>
        <v>0</v>
      </c>
      <c r="F60" s="38" t="b">
        <f>dataset_A!G60</f>
        <v>0</v>
      </c>
      <c r="G60" s="38" t="str">
        <f t="shared" si="1"/>
        <v>Weekend</v>
      </c>
      <c r="H60" s="38" t="str">
        <f t="shared" si="2"/>
        <v>Afternoon</v>
      </c>
      <c r="I60" s="38" t="str">
        <f>IF(dataset_A!C60=1,"Spring",IF(dataset_A!C60=2,"Summer",IF(dataset_A!C60=3,"Fail","Winter")))</f>
        <v>Spring</v>
      </c>
      <c r="J60" s="38" t="str">
        <f>IF(dataset_A!I60=1,"Clear",IF(dataset_A!I60,"Mist/Cloudy",IF(dataset_A!I60=3,"Light Rain/Snow","Heavy Rain/Snow")))</f>
        <v>Clear</v>
      </c>
      <c r="K60" s="38">
        <f>dataset_A!N60</f>
        <v>47</v>
      </c>
      <c r="L60" s="38">
        <f>dataset_A!O60</f>
        <v>114</v>
      </c>
      <c r="M60" s="38">
        <f>dataset_A!P60</f>
        <v>161</v>
      </c>
      <c r="N60" s="38" t="str">
        <f t="shared" si="3"/>
        <v>Ok</v>
      </c>
      <c r="O60" s="38" t="str">
        <f>IF(M60&gt;Analysis!$B$3*1.5,"High",IF(M60&lt;Analysis!$B$3*0.5,"Low","Medium"))</f>
        <v>High</v>
      </c>
      <c r="P60" s="38" t="str">
        <f>VLOOKUP(dataset_A!C60,$Q$2:$R$5,2,0)</f>
        <v>Spring</v>
      </c>
      <c r="S60" s="38" t="str">
        <f t="array" ref="S60">INDEX($R$2:$R$5,MATCH(dataset_A!C60,$Q$2:$Q$5,0))</f>
        <v>Spring</v>
      </c>
      <c r="T60" s="38" t="str">
        <f t="shared" si="4"/>
        <v>Match</v>
      </c>
    </row>
    <row r="61" ht="12.75" customHeight="1">
      <c r="A61" s="38">
        <f>dataset_A!A61</f>
        <v>983</v>
      </c>
      <c r="B61" s="39">
        <f>dataset_A!B61</f>
        <v>40587</v>
      </c>
      <c r="C61" s="38">
        <f>dataset_A!F61</f>
        <v>14</v>
      </c>
      <c r="D61" s="38">
        <f>dataset_A!H61</f>
        <v>0</v>
      </c>
      <c r="E61" s="38" t="b">
        <f>dataset_A!G61</f>
        <v>0</v>
      </c>
      <c r="F61" s="38" t="b">
        <f>dataset_A!G61</f>
        <v>0</v>
      </c>
      <c r="G61" s="38" t="str">
        <f t="shared" si="1"/>
        <v>Weekend</v>
      </c>
      <c r="H61" s="38" t="str">
        <f t="shared" si="2"/>
        <v>Afternoon</v>
      </c>
      <c r="I61" s="38" t="str">
        <f>IF(dataset_A!C61=1,"Spring",IF(dataset_A!C61=2,"Summer",IF(dataset_A!C61=3,"Fail","Winter")))</f>
        <v>Spring</v>
      </c>
      <c r="J61" s="38" t="str">
        <f>IF(dataset_A!I61=1,"Clear",IF(dataset_A!I61,"Mist/Cloudy",IF(dataset_A!I61=3,"Light Rain/Snow","Heavy Rain/Snow")))</f>
        <v>Mist/Cloudy</v>
      </c>
      <c r="K61" s="38">
        <f>dataset_A!N61</f>
        <v>51</v>
      </c>
      <c r="L61" s="38">
        <f>dataset_A!O61</f>
        <v>110</v>
      </c>
      <c r="M61" s="38">
        <f>dataset_A!P61</f>
        <v>161</v>
      </c>
      <c r="N61" s="38" t="str">
        <f t="shared" si="3"/>
        <v>Ok</v>
      </c>
      <c r="O61" s="38" t="str">
        <f>IF(M61&gt;Analysis!$B$3*1.5,"High",IF(M61&lt;Analysis!$B$3*0.5,"Low","Medium"))</f>
        <v>High</v>
      </c>
      <c r="P61" s="38" t="str">
        <f>VLOOKUP(dataset_A!C61,$Q$2:$R$5,2,0)</f>
        <v>Spring</v>
      </c>
      <c r="S61" s="38" t="str">
        <f t="array" ref="S61">INDEX($R$2:$R$5,MATCH(dataset_A!C61,$Q$2:$Q$5,0))</f>
        <v>Spring</v>
      </c>
      <c r="T61" s="38" t="str">
        <f t="shared" si="4"/>
        <v>Match</v>
      </c>
    </row>
    <row r="62" ht="12.75" customHeight="1">
      <c r="A62" s="38">
        <f>dataset_A!A62</f>
        <v>918</v>
      </c>
      <c r="B62" s="39">
        <f>dataset_A!B62</f>
        <v>40584</v>
      </c>
      <c r="C62" s="38">
        <f>dataset_A!F62</f>
        <v>18</v>
      </c>
      <c r="D62" s="38">
        <f>dataset_A!H62</f>
        <v>4</v>
      </c>
      <c r="E62" s="38" t="b">
        <f>dataset_A!G62</f>
        <v>0</v>
      </c>
      <c r="F62" s="38" t="b">
        <f>dataset_A!G62</f>
        <v>0</v>
      </c>
      <c r="G62" s="38" t="str">
        <f t="shared" si="1"/>
        <v>Weekday</v>
      </c>
      <c r="H62" s="38" t="str">
        <f t="shared" si="2"/>
        <v>Evening</v>
      </c>
      <c r="I62" s="38" t="str">
        <f>IF(dataset_A!C62=1,"Spring",IF(dataset_A!C62=2,"Summer",IF(dataset_A!C62=3,"Fail","Winter")))</f>
        <v>Spring</v>
      </c>
      <c r="J62" s="38" t="str">
        <f>IF(dataset_A!I62=1,"Clear",IF(dataset_A!I62,"Mist/Cloudy",IF(dataset_A!I62=3,"Light Rain/Snow","Heavy Rain/Snow")))</f>
        <v>Clear</v>
      </c>
      <c r="K62" s="38">
        <f>dataset_A!N62</f>
        <v>3</v>
      </c>
      <c r="L62" s="38">
        <f>dataset_A!O62</f>
        <v>157</v>
      </c>
      <c r="M62" s="38">
        <f>dataset_A!P62</f>
        <v>160</v>
      </c>
      <c r="N62" s="38" t="str">
        <f t="shared" si="3"/>
        <v>Ok</v>
      </c>
      <c r="O62" s="38" t="str">
        <f>IF(M62&gt;Analysis!$B$3*1.5,"High",IF(M62&lt;Analysis!$B$3*0.5,"Low","Medium"))</f>
        <v>High</v>
      </c>
      <c r="P62" s="38" t="str">
        <f>VLOOKUP(dataset_A!C62,$Q$2:$R$5,2,0)</f>
        <v>Spring</v>
      </c>
      <c r="S62" s="38" t="str">
        <f t="array" ref="S62">INDEX($R$2:$R$5,MATCH(dataset_A!C62,$Q$2:$Q$5,0))</f>
        <v>Spring</v>
      </c>
      <c r="T62" s="38" t="str">
        <f t="shared" si="4"/>
        <v>Match</v>
      </c>
    </row>
    <row r="63" ht="12.75" customHeight="1">
      <c r="A63" s="38">
        <f>dataset_A!A63</f>
        <v>318</v>
      </c>
      <c r="B63" s="39">
        <f>dataset_A!B63</f>
        <v>40557</v>
      </c>
      <c r="C63" s="38">
        <f>dataset_A!F63</f>
        <v>17</v>
      </c>
      <c r="D63" s="38">
        <f>dataset_A!H63</f>
        <v>5</v>
      </c>
      <c r="E63" s="38" t="b">
        <f>dataset_A!G63</f>
        <v>0</v>
      </c>
      <c r="F63" s="38" t="b">
        <f>dataset_A!G63</f>
        <v>0</v>
      </c>
      <c r="G63" s="38" t="str">
        <f t="shared" si="1"/>
        <v>Weekday</v>
      </c>
      <c r="H63" s="38" t="str">
        <f t="shared" si="2"/>
        <v>Afternoon</v>
      </c>
      <c r="I63" s="38" t="str">
        <f>IF(dataset_A!C63=1,"Spring",IF(dataset_A!C63=2,"Summer",IF(dataset_A!C63=3,"Fail","Winter")))</f>
        <v>Spring</v>
      </c>
      <c r="J63" s="38" t="str">
        <f>IF(dataset_A!I63=1,"Clear",IF(dataset_A!I63,"Mist/Cloudy",IF(dataset_A!I63=3,"Light Rain/Snow","Heavy Rain/Snow")))</f>
        <v>Clear</v>
      </c>
      <c r="K63" s="38">
        <f>dataset_A!N63</f>
        <v>4</v>
      </c>
      <c r="L63" s="38">
        <f>dataset_A!O63</f>
        <v>155</v>
      </c>
      <c r="M63" s="38">
        <f>dataset_A!P63</f>
        <v>159</v>
      </c>
      <c r="N63" s="38" t="str">
        <f t="shared" si="3"/>
        <v>Ok</v>
      </c>
      <c r="O63" s="38" t="str">
        <f>IF(M63&gt;Analysis!$B$3*1.5,"High",IF(M63&lt;Analysis!$B$3*0.5,"Low","Medium"))</f>
        <v>High</v>
      </c>
      <c r="P63" s="38" t="str">
        <f>VLOOKUP(dataset_A!C63,$Q$2:$R$5,2,0)</f>
        <v>Spring</v>
      </c>
      <c r="S63" s="38" t="str">
        <f t="array" ref="S63">INDEX($R$2:$R$5,MATCH(dataset_A!C63,$Q$2:$Q$5,0))</f>
        <v>Spring</v>
      </c>
      <c r="T63" s="38" t="str">
        <f t="shared" si="4"/>
        <v>Match</v>
      </c>
    </row>
    <row r="64" ht="12.75" customHeight="1">
      <c r="A64" s="38">
        <f>dataset_A!A64</f>
        <v>309</v>
      </c>
      <c r="B64" s="39">
        <f>dataset_A!B64</f>
        <v>40557</v>
      </c>
      <c r="C64" s="38">
        <f>dataset_A!F64</f>
        <v>8</v>
      </c>
      <c r="D64" s="38">
        <f>dataset_A!H64</f>
        <v>5</v>
      </c>
      <c r="E64" s="38" t="b">
        <f>dataset_A!G64</f>
        <v>0</v>
      </c>
      <c r="F64" s="38" t="b">
        <f>dataset_A!G64</f>
        <v>0</v>
      </c>
      <c r="G64" s="38" t="str">
        <f t="shared" si="1"/>
        <v>Weekday</v>
      </c>
      <c r="H64" s="38" t="str">
        <f t="shared" si="2"/>
        <v>Morning</v>
      </c>
      <c r="I64" s="38" t="str">
        <f>IF(dataset_A!C64=1,"Spring",IF(dataset_A!C64=2,"Summer",IF(dataset_A!C64=3,"Fail","Winter")))</f>
        <v>Spring</v>
      </c>
      <c r="J64" s="38" t="str">
        <f>IF(dataset_A!I64=1,"Clear",IF(dataset_A!I64,"Mist/Cloudy",IF(dataset_A!I64=3,"Light Rain/Snow","Heavy Rain/Snow")))</f>
        <v>Clear</v>
      </c>
      <c r="K64" s="38">
        <f>dataset_A!N64</f>
        <v>2</v>
      </c>
      <c r="L64" s="38">
        <f>dataset_A!O64</f>
        <v>156</v>
      </c>
      <c r="M64" s="38">
        <f>dataset_A!P64</f>
        <v>158</v>
      </c>
      <c r="N64" s="38" t="str">
        <f t="shared" si="3"/>
        <v>Ok</v>
      </c>
      <c r="O64" s="38" t="str">
        <f>IF(M64&gt;Analysis!$B$3*1.5,"High",IF(M64&lt;Analysis!$B$3*0.5,"Low","Medium"))</f>
        <v>High</v>
      </c>
      <c r="P64" s="38" t="str">
        <f>VLOOKUP(dataset_A!C64,$Q$2:$R$5,2,0)</f>
        <v>Spring</v>
      </c>
      <c r="S64" s="38" t="str">
        <f t="array" ref="S64">INDEX($R$2:$R$5,MATCH(dataset_A!C64,$Q$2:$Q$5,0))</f>
        <v>Spring</v>
      </c>
      <c r="T64" s="38" t="str">
        <f t="shared" si="4"/>
        <v>Match</v>
      </c>
    </row>
    <row r="65" ht="12.75" customHeight="1">
      <c r="A65" s="38">
        <f>dataset_A!A65</f>
        <v>63</v>
      </c>
      <c r="B65" s="39">
        <f>dataset_A!B65</f>
        <v>40546</v>
      </c>
      <c r="C65" s="38">
        <f>dataset_A!F65</f>
        <v>17</v>
      </c>
      <c r="D65" s="38">
        <f>dataset_A!H65</f>
        <v>1</v>
      </c>
      <c r="E65" s="38" t="b">
        <f>dataset_A!G65</f>
        <v>0</v>
      </c>
      <c r="F65" s="38" t="b">
        <f>dataset_A!G65</f>
        <v>0</v>
      </c>
      <c r="G65" s="38" t="str">
        <f t="shared" si="1"/>
        <v>Weekday</v>
      </c>
      <c r="H65" s="38" t="str">
        <f t="shared" si="2"/>
        <v>Afternoon</v>
      </c>
      <c r="I65" s="38" t="str">
        <f>IF(dataset_A!C65=1,"Spring",IF(dataset_A!C65=2,"Summer",IF(dataset_A!C65=3,"Fail","Winter")))</f>
        <v>Spring</v>
      </c>
      <c r="J65" s="38" t="str">
        <f>IF(dataset_A!I65=1,"Clear",IF(dataset_A!I65,"Mist/Cloudy",IF(dataset_A!I65=3,"Light Rain/Snow","Heavy Rain/Snow")))</f>
        <v>Clear</v>
      </c>
      <c r="K65" s="38">
        <f>dataset_A!N65</f>
        <v>11</v>
      </c>
      <c r="L65" s="38">
        <f>dataset_A!O65</f>
        <v>146</v>
      </c>
      <c r="M65" s="38">
        <f>dataset_A!P65</f>
        <v>157</v>
      </c>
      <c r="N65" s="38" t="str">
        <f t="shared" si="3"/>
        <v>Ok</v>
      </c>
      <c r="O65" s="38" t="str">
        <f>IF(M65&gt;Analysis!$B$3*1.5,"High",IF(M65&lt;Analysis!$B$3*0.5,"Low","Medium"))</f>
        <v>High</v>
      </c>
      <c r="P65" s="38" t="str">
        <f>VLOOKUP(dataset_A!C65,$Q$2:$R$5,2,0)</f>
        <v>Spring</v>
      </c>
      <c r="S65" s="38" t="str">
        <f t="array" ref="S65">INDEX($R$2:$R$5,MATCH(dataset_A!C65,$Q$2:$Q$5,0))</f>
        <v>Spring</v>
      </c>
      <c r="T65" s="38" t="str">
        <f t="shared" si="4"/>
        <v>Match</v>
      </c>
    </row>
    <row r="66" ht="12.75" customHeight="1">
      <c r="A66" s="38">
        <f>dataset_A!A66</f>
        <v>64</v>
      </c>
      <c r="B66" s="39">
        <f>dataset_A!B66</f>
        <v>40546</v>
      </c>
      <c r="C66" s="38">
        <f>dataset_A!F66</f>
        <v>18</v>
      </c>
      <c r="D66" s="38">
        <f>dataset_A!H66</f>
        <v>1</v>
      </c>
      <c r="E66" s="38" t="b">
        <f>dataset_A!G66</f>
        <v>0</v>
      </c>
      <c r="F66" s="38" t="b">
        <f>dataset_A!G66</f>
        <v>0</v>
      </c>
      <c r="G66" s="38" t="str">
        <f t="shared" si="1"/>
        <v>Weekday</v>
      </c>
      <c r="H66" s="38" t="str">
        <f t="shared" si="2"/>
        <v>Evening</v>
      </c>
      <c r="I66" s="38" t="str">
        <f>IF(dataset_A!C66=1,"Spring",IF(dataset_A!C66=2,"Summer",IF(dataset_A!C66=3,"Fail","Winter")))</f>
        <v>Spring</v>
      </c>
      <c r="J66" s="38" t="str">
        <f>IF(dataset_A!I66=1,"Clear",IF(dataset_A!I66,"Mist/Cloudy",IF(dataset_A!I66=3,"Light Rain/Snow","Heavy Rain/Snow")))</f>
        <v>Clear</v>
      </c>
      <c r="K66" s="38">
        <f>dataset_A!N66</f>
        <v>9</v>
      </c>
      <c r="L66" s="38">
        <f>dataset_A!O66</f>
        <v>148</v>
      </c>
      <c r="M66" s="38">
        <f>dataset_A!P66</f>
        <v>157</v>
      </c>
      <c r="N66" s="38" t="str">
        <f t="shared" si="3"/>
        <v>Ok</v>
      </c>
      <c r="O66" s="38" t="str">
        <f>IF(M66&gt;Analysis!$B$3*1.5,"High",IF(M66&lt;Analysis!$B$3*0.5,"Low","Medium"))</f>
        <v>High</v>
      </c>
      <c r="P66" s="38" t="str">
        <f>VLOOKUP(dataset_A!C66,$Q$2:$R$5,2,0)</f>
        <v>Spring</v>
      </c>
      <c r="S66" s="38" t="str">
        <f t="array" ref="S66">INDEX($R$2:$R$5,MATCH(dataset_A!C66,$Q$2:$Q$5,0))</f>
        <v>Spring</v>
      </c>
      <c r="T66" s="38" t="str">
        <f t="shared" si="4"/>
        <v>Match</v>
      </c>
    </row>
    <row r="67" ht="12.75" customHeight="1">
      <c r="A67" s="38">
        <f>dataset_A!A67</f>
        <v>603</v>
      </c>
      <c r="B67" s="39">
        <f>dataset_A!B67</f>
        <v>40571</v>
      </c>
      <c r="C67" s="38">
        <f>dataset_A!F67</f>
        <v>8</v>
      </c>
      <c r="D67" s="38">
        <f>dataset_A!H67</f>
        <v>5</v>
      </c>
      <c r="E67" s="38" t="b">
        <f>dataset_A!G67</f>
        <v>0</v>
      </c>
      <c r="F67" s="38" t="b">
        <f>dataset_A!G67</f>
        <v>0</v>
      </c>
      <c r="G67" s="38" t="str">
        <f t="shared" si="1"/>
        <v>Weekday</v>
      </c>
      <c r="H67" s="38" t="str">
        <f t="shared" si="2"/>
        <v>Morning</v>
      </c>
      <c r="I67" s="38" t="str">
        <f>IF(dataset_A!C67=1,"Spring",IF(dataset_A!C67=2,"Summer",IF(dataset_A!C67=3,"Fail","Winter")))</f>
        <v>Spring</v>
      </c>
      <c r="J67" s="38" t="str">
        <f>IF(dataset_A!I67=1,"Clear",IF(dataset_A!I67,"Mist/Cloudy",IF(dataset_A!I67=3,"Light Rain/Snow","Heavy Rain/Snow")))</f>
        <v>Mist/Cloudy</v>
      </c>
      <c r="K67" s="38">
        <f>dataset_A!N67</f>
        <v>2</v>
      </c>
      <c r="L67" s="38">
        <f>dataset_A!O67</f>
        <v>155</v>
      </c>
      <c r="M67" s="38">
        <f>dataset_A!P67</f>
        <v>157</v>
      </c>
      <c r="N67" s="38" t="str">
        <f t="shared" si="3"/>
        <v>Ok</v>
      </c>
      <c r="O67" s="38" t="str">
        <f>IF(M67&gt;Analysis!$B$3*1.5,"High",IF(M67&lt;Analysis!$B$3*0.5,"Low","Medium"))</f>
        <v>High</v>
      </c>
      <c r="P67" s="38" t="str">
        <f>VLOOKUP(dataset_A!C67,$Q$2:$R$5,2,0)</f>
        <v>Spring</v>
      </c>
      <c r="S67" s="38" t="str">
        <f t="array" ref="S67">INDEX($R$2:$R$5,MATCH(dataset_A!C67,$Q$2:$Q$5,0))</f>
        <v>Spring</v>
      </c>
      <c r="T67" s="38" t="str">
        <f t="shared" si="4"/>
        <v>Match</v>
      </c>
    </row>
    <row r="68" ht="12.75" customHeight="1">
      <c r="A68" s="38">
        <f>dataset_A!A68</f>
        <v>822</v>
      </c>
      <c r="B68" s="39">
        <f>dataset_A!B68</f>
        <v>40580</v>
      </c>
      <c r="C68" s="38">
        <f>dataset_A!F68</f>
        <v>16</v>
      </c>
      <c r="D68" s="38">
        <f>dataset_A!H68</f>
        <v>0</v>
      </c>
      <c r="E68" s="38" t="b">
        <f>dataset_A!G68</f>
        <v>0</v>
      </c>
      <c r="F68" s="38" t="b">
        <f>dataset_A!G68</f>
        <v>0</v>
      </c>
      <c r="G68" s="38" t="str">
        <f t="shared" si="1"/>
        <v>Weekend</v>
      </c>
      <c r="H68" s="38" t="str">
        <f t="shared" si="2"/>
        <v>Afternoon</v>
      </c>
      <c r="I68" s="38" t="str">
        <f>IF(dataset_A!C68=1,"Spring",IF(dataset_A!C68=2,"Summer",IF(dataset_A!C68=3,"Fail","Winter")))</f>
        <v>Spring</v>
      </c>
      <c r="J68" s="38" t="str">
        <f>IF(dataset_A!I68=1,"Clear",IF(dataset_A!I68,"Mist/Cloudy",IF(dataset_A!I68=3,"Light Rain/Snow","Heavy Rain/Snow")))</f>
        <v>Clear</v>
      </c>
      <c r="K68" s="38">
        <f>dataset_A!N68</f>
        <v>42</v>
      </c>
      <c r="L68" s="38">
        <f>dataset_A!O68</f>
        <v>115</v>
      </c>
      <c r="M68" s="38">
        <f>dataset_A!P68</f>
        <v>157</v>
      </c>
      <c r="N68" s="38" t="str">
        <f t="shared" si="3"/>
        <v>Ok</v>
      </c>
      <c r="O68" s="38" t="str">
        <f>IF(M68&gt;Analysis!$B$3*1.5,"High",IF(M68&lt;Analysis!$B$3*0.5,"Low","Medium"))</f>
        <v>High</v>
      </c>
      <c r="P68" s="38" t="str">
        <f>VLOOKUP(dataset_A!C68,$Q$2:$R$5,2,0)</f>
        <v>Spring</v>
      </c>
      <c r="S68" s="38" t="str">
        <f t="array" ref="S68">INDEX($R$2:$R$5,MATCH(dataset_A!C68,$Q$2:$Q$5,0))</f>
        <v>Spring</v>
      </c>
      <c r="T68" s="38" t="str">
        <f t="shared" si="4"/>
        <v>Match</v>
      </c>
    </row>
    <row r="69" ht="12.75" customHeight="1">
      <c r="A69" s="38">
        <f>dataset_A!A69</f>
        <v>683</v>
      </c>
      <c r="B69" s="39">
        <f>dataset_A!B69</f>
        <v>40574</v>
      </c>
      <c r="C69" s="38">
        <f>dataset_A!F69</f>
        <v>18</v>
      </c>
      <c r="D69" s="38">
        <f>dataset_A!H69</f>
        <v>1</v>
      </c>
      <c r="E69" s="38" t="b">
        <f>dataset_A!G69</f>
        <v>0</v>
      </c>
      <c r="F69" s="38" t="b">
        <f>dataset_A!G69</f>
        <v>0</v>
      </c>
      <c r="G69" s="38" t="str">
        <f t="shared" si="1"/>
        <v>Weekday</v>
      </c>
      <c r="H69" s="38" t="str">
        <f t="shared" si="2"/>
        <v>Evening</v>
      </c>
      <c r="I69" s="38" t="str">
        <f>IF(dataset_A!C69=1,"Spring",IF(dataset_A!C69=2,"Summer",IF(dataset_A!C69=3,"Fail","Winter")))</f>
        <v>Spring</v>
      </c>
      <c r="J69" s="38" t="str">
        <f>IF(dataset_A!I69=1,"Clear",IF(dataset_A!I69,"Mist/Cloudy",IF(dataset_A!I69=3,"Light Rain/Snow","Heavy Rain/Snow")))</f>
        <v>Mist/Cloudy</v>
      </c>
      <c r="K69" s="38">
        <f>dataset_A!N69</f>
        <v>3</v>
      </c>
      <c r="L69" s="38">
        <f>dataset_A!O69</f>
        <v>153</v>
      </c>
      <c r="M69" s="38">
        <f>dataset_A!P69</f>
        <v>156</v>
      </c>
      <c r="N69" s="38" t="str">
        <f t="shared" si="3"/>
        <v>Ok</v>
      </c>
      <c r="O69" s="38" t="str">
        <f>IF(M69&gt;Analysis!$B$3*1.5,"High",IF(M69&lt;Analysis!$B$3*0.5,"Low","Medium"))</f>
        <v>High</v>
      </c>
      <c r="P69" s="38" t="str">
        <f>VLOOKUP(dataset_A!C69,$Q$2:$R$5,2,0)</f>
        <v>Spring</v>
      </c>
      <c r="S69" s="38" t="str">
        <f t="array" ref="S69">INDEX($R$2:$R$5,MATCH(dataset_A!C69,$Q$2:$Q$5,0))</f>
        <v>Spring</v>
      </c>
      <c r="T69" s="38" t="str">
        <f t="shared" si="4"/>
        <v>Match</v>
      </c>
    </row>
    <row r="70" ht="12.75" customHeight="1">
      <c r="A70" s="38">
        <f>dataset_A!A70</f>
        <v>228</v>
      </c>
      <c r="B70" s="39">
        <f>dataset_A!B70</f>
        <v>40553</v>
      </c>
      <c r="C70" s="38">
        <f>dataset_A!F70</f>
        <v>18</v>
      </c>
      <c r="D70" s="38">
        <f>dataset_A!H70</f>
        <v>1</v>
      </c>
      <c r="E70" s="38" t="b">
        <f>dataset_A!G70</f>
        <v>0</v>
      </c>
      <c r="F70" s="38" t="b">
        <f>dataset_A!G70</f>
        <v>0</v>
      </c>
      <c r="G70" s="38" t="str">
        <f t="shared" si="1"/>
        <v>Weekday</v>
      </c>
      <c r="H70" s="38" t="str">
        <f t="shared" si="2"/>
        <v>Evening</v>
      </c>
      <c r="I70" s="38" t="str">
        <f>IF(dataset_A!C70=1,"Spring",IF(dataset_A!C70=2,"Summer",IF(dataset_A!C70=3,"Fail","Winter")))</f>
        <v>Spring</v>
      </c>
      <c r="J70" s="38" t="str">
        <f>IF(dataset_A!I70=1,"Clear",IF(dataset_A!I70,"Mist/Cloudy",IF(dataset_A!I70=3,"Light Rain/Snow","Heavy Rain/Snow")))</f>
        <v>Clear</v>
      </c>
      <c r="K70" s="38">
        <f>dataset_A!N70</f>
        <v>1</v>
      </c>
      <c r="L70" s="38">
        <f>dataset_A!O70</f>
        <v>154</v>
      </c>
      <c r="M70" s="38">
        <f>dataset_A!P70</f>
        <v>155</v>
      </c>
      <c r="N70" s="38" t="str">
        <f t="shared" si="3"/>
        <v>Ok</v>
      </c>
      <c r="O70" s="38" t="str">
        <f>IF(M70&gt;Analysis!$B$3*1.5,"High",IF(M70&lt;Analysis!$B$3*0.5,"Low","Medium"))</f>
        <v>High</v>
      </c>
      <c r="P70" s="38" t="str">
        <f>VLOOKUP(dataset_A!C70,$Q$2:$R$5,2,0)</f>
        <v>Spring</v>
      </c>
      <c r="S70" s="38" t="str">
        <f t="array" ref="S70">INDEX($R$2:$R$5,MATCH(dataset_A!C70,$Q$2:$Q$5,0))</f>
        <v>Spring</v>
      </c>
      <c r="T70" s="38" t="str">
        <f t="shared" si="4"/>
        <v>Match</v>
      </c>
    </row>
    <row r="71" ht="12.75" customHeight="1">
      <c r="A71" s="38">
        <f>dataset_A!A71</f>
        <v>720</v>
      </c>
      <c r="B71" s="39">
        <f>dataset_A!B71</f>
        <v>40576</v>
      </c>
      <c r="C71" s="38">
        <f>dataset_A!F71</f>
        <v>8</v>
      </c>
      <c r="D71" s="38">
        <f>dataset_A!H71</f>
        <v>3</v>
      </c>
      <c r="E71" s="38" t="b">
        <f>dataset_A!G71</f>
        <v>0</v>
      </c>
      <c r="F71" s="38" t="b">
        <f>dataset_A!G71</f>
        <v>0</v>
      </c>
      <c r="G71" s="38" t="str">
        <f t="shared" si="1"/>
        <v>Weekday</v>
      </c>
      <c r="H71" s="38" t="str">
        <f t="shared" si="2"/>
        <v>Morning</v>
      </c>
      <c r="I71" s="38" t="str">
        <f>IF(dataset_A!C71=1,"Spring",IF(dataset_A!C71=2,"Summer",IF(dataset_A!C71=3,"Fail","Winter")))</f>
        <v>Spring</v>
      </c>
      <c r="J71" s="38" t="str">
        <f>IF(dataset_A!I71=1,"Clear",IF(dataset_A!I71,"Mist/Cloudy",IF(dataset_A!I71=3,"Light Rain/Snow","Heavy Rain/Snow")))</f>
        <v>Mist/Cloudy</v>
      </c>
      <c r="K71" s="38">
        <f>dataset_A!N71</f>
        <v>1</v>
      </c>
      <c r="L71" s="38">
        <f>dataset_A!O71</f>
        <v>154</v>
      </c>
      <c r="M71" s="38">
        <f>dataset_A!P71</f>
        <v>155</v>
      </c>
      <c r="N71" s="38" t="str">
        <f t="shared" si="3"/>
        <v>Ok</v>
      </c>
      <c r="O71" s="38" t="str">
        <f>IF(M71&gt;Analysis!$B$3*1.5,"High",IF(M71&lt;Analysis!$B$3*0.5,"Low","Medium"))</f>
        <v>High</v>
      </c>
      <c r="P71" s="38" t="str">
        <f>VLOOKUP(dataset_A!C71,$Q$2:$R$5,2,0)</f>
        <v>Spring</v>
      </c>
      <c r="S71" s="38" t="str">
        <f t="array" ref="S71">INDEX($R$2:$R$5,MATCH(dataset_A!C71,$Q$2:$Q$5,0))</f>
        <v>Spring</v>
      </c>
      <c r="T71" s="38" t="str">
        <f t="shared" si="4"/>
        <v>Match</v>
      </c>
    </row>
    <row r="72" ht="12.75" customHeight="1">
      <c r="A72" s="38">
        <f>dataset_A!A72</f>
        <v>776</v>
      </c>
      <c r="B72" s="39">
        <f>dataset_A!B72</f>
        <v>40578</v>
      </c>
      <c r="C72" s="38">
        <f>dataset_A!F72</f>
        <v>18</v>
      </c>
      <c r="D72" s="38">
        <f>dataset_A!H72</f>
        <v>5</v>
      </c>
      <c r="E72" s="38" t="b">
        <f>dataset_A!G72</f>
        <v>0</v>
      </c>
      <c r="F72" s="38" t="b">
        <f>dataset_A!G72</f>
        <v>0</v>
      </c>
      <c r="G72" s="38" t="str">
        <f t="shared" si="1"/>
        <v>Weekday</v>
      </c>
      <c r="H72" s="38" t="str">
        <f t="shared" si="2"/>
        <v>Evening</v>
      </c>
      <c r="I72" s="38" t="str">
        <f>IF(dataset_A!C72=1,"Spring",IF(dataset_A!C72=2,"Summer",IF(dataset_A!C72=3,"Fail","Winter")))</f>
        <v>Spring</v>
      </c>
      <c r="J72" s="38" t="str">
        <f>IF(dataset_A!I72=1,"Clear",IF(dataset_A!I72,"Mist/Cloudy",IF(dataset_A!I72=3,"Light Rain/Snow","Heavy Rain/Snow")))</f>
        <v>Mist/Cloudy</v>
      </c>
      <c r="K72" s="38">
        <f>dataset_A!N72</f>
        <v>3</v>
      </c>
      <c r="L72" s="38">
        <f>dataset_A!O72</f>
        <v>152</v>
      </c>
      <c r="M72" s="38">
        <f>dataset_A!P72</f>
        <v>155</v>
      </c>
      <c r="N72" s="38" t="str">
        <f t="shared" si="3"/>
        <v>Ok</v>
      </c>
      <c r="O72" s="38" t="str">
        <f>IF(M72&gt;Analysis!$B$3*1.5,"High",IF(M72&lt;Analysis!$B$3*0.5,"Low","Medium"))</f>
        <v>High</v>
      </c>
      <c r="P72" s="38" t="str">
        <f>VLOOKUP(dataset_A!C72,$Q$2:$R$5,2,0)</f>
        <v>Spring</v>
      </c>
      <c r="S72" s="38" t="str">
        <f t="array" ref="S72">INDEX($R$2:$R$5,MATCH(dataset_A!C72,$Q$2:$Q$5,0))</f>
        <v>Spring</v>
      </c>
      <c r="T72" s="38" t="str">
        <f t="shared" si="4"/>
        <v>Match</v>
      </c>
    </row>
    <row r="73" ht="12.75" customHeight="1">
      <c r="A73" s="38">
        <f>dataset_A!A73</f>
        <v>54</v>
      </c>
      <c r="B73" s="39">
        <f>dataset_A!B73</f>
        <v>40546</v>
      </c>
      <c r="C73" s="38">
        <f>dataset_A!F73</f>
        <v>8</v>
      </c>
      <c r="D73" s="38">
        <f>dataset_A!H73</f>
        <v>1</v>
      </c>
      <c r="E73" s="38" t="b">
        <f>dataset_A!G73</f>
        <v>0</v>
      </c>
      <c r="F73" s="38" t="b">
        <f>dataset_A!G73</f>
        <v>0</v>
      </c>
      <c r="G73" s="38" t="str">
        <f t="shared" si="1"/>
        <v>Weekday</v>
      </c>
      <c r="H73" s="38" t="str">
        <f t="shared" si="2"/>
        <v>Morning</v>
      </c>
      <c r="I73" s="38" t="str">
        <f>IF(dataset_A!C73=1,"Spring",IF(dataset_A!C73=2,"Summer",IF(dataset_A!C73=3,"Fail","Winter")))</f>
        <v>Spring</v>
      </c>
      <c r="J73" s="38" t="str">
        <f>IF(dataset_A!I73=1,"Clear",IF(dataset_A!I73,"Mist/Cloudy",IF(dataset_A!I73=3,"Light Rain/Snow","Heavy Rain/Snow")))</f>
        <v>Clear</v>
      </c>
      <c r="K73" s="38">
        <f>dataset_A!N73</f>
        <v>1</v>
      </c>
      <c r="L73" s="38">
        <f>dataset_A!O73</f>
        <v>153</v>
      </c>
      <c r="M73" s="38">
        <f>dataset_A!P73</f>
        <v>154</v>
      </c>
      <c r="N73" s="38" t="str">
        <f t="shared" si="3"/>
        <v>Ok</v>
      </c>
      <c r="O73" s="38" t="str">
        <f>IF(M73&gt;Analysis!$B$3*1.5,"High",IF(M73&lt;Analysis!$B$3*0.5,"Low","Medium"))</f>
        <v>High</v>
      </c>
      <c r="P73" s="38" t="str">
        <f>VLOOKUP(dataset_A!C73,$Q$2:$R$5,2,0)</f>
        <v>Spring</v>
      </c>
      <c r="S73" s="38" t="str">
        <f t="array" ref="S73">INDEX($R$2:$R$5,MATCH(dataset_A!C73,$Q$2:$Q$5,0))</f>
        <v>Spring</v>
      </c>
      <c r="T73" s="38" t="str">
        <f t="shared" si="4"/>
        <v>Match</v>
      </c>
    </row>
    <row r="74" ht="12.75" customHeight="1">
      <c r="A74" s="38">
        <f>dataset_A!A74</f>
        <v>982</v>
      </c>
      <c r="B74" s="39">
        <f>dataset_A!B74</f>
        <v>40587</v>
      </c>
      <c r="C74" s="38">
        <f>dataset_A!F74</f>
        <v>13</v>
      </c>
      <c r="D74" s="38">
        <f>dataset_A!H74</f>
        <v>0</v>
      </c>
      <c r="E74" s="38" t="b">
        <f>dataset_A!G74</f>
        <v>0</v>
      </c>
      <c r="F74" s="38" t="b">
        <f>dataset_A!G74</f>
        <v>0</v>
      </c>
      <c r="G74" s="38" t="str">
        <f t="shared" si="1"/>
        <v>Weekend</v>
      </c>
      <c r="H74" s="38" t="str">
        <f t="shared" si="2"/>
        <v>Afternoon</v>
      </c>
      <c r="I74" s="38" t="str">
        <f>IF(dataset_A!C74=1,"Spring",IF(dataset_A!C74=2,"Summer",IF(dataset_A!C74=3,"Fail","Winter")))</f>
        <v>Spring</v>
      </c>
      <c r="J74" s="38" t="str">
        <f>IF(dataset_A!I74=1,"Clear",IF(dataset_A!I74,"Mist/Cloudy",IF(dataset_A!I74=3,"Light Rain/Snow","Heavy Rain/Snow")))</f>
        <v>Clear</v>
      </c>
      <c r="K74" s="38">
        <f>dataset_A!N74</f>
        <v>62</v>
      </c>
      <c r="L74" s="38">
        <f>dataset_A!O74</f>
        <v>92</v>
      </c>
      <c r="M74" s="38">
        <f>dataset_A!P74</f>
        <v>154</v>
      </c>
      <c r="N74" s="38" t="str">
        <f t="shared" si="3"/>
        <v>Ok</v>
      </c>
      <c r="O74" s="38" t="str">
        <f>IF(M74&gt;Analysis!$B$3*1.5,"High",IF(M74&lt;Analysis!$B$3*0.5,"Low","Medium"))</f>
        <v>High</v>
      </c>
      <c r="P74" s="38" t="str">
        <f>VLOOKUP(dataset_A!C74,$Q$2:$R$5,2,0)</f>
        <v>Spring</v>
      </c>
      <c r="S74" s="38" t="str">
        <f t="array" ref="S74">INDEX($R$2:$R$5,MATCH(dataset_A!C74,$Q$2:$Q$5,0))</f>
        <v>Spring</v>
      </c>
      <c r="T74" s="38" t="str">
        <f t="shared" si="4"/>
        <v>Match</v>
      </c>
    </row>
    <row r="75" ht="12.75" customHeight="1">
      <c r="A75" s="38">
        <f>dataset_A!A75</f>
        <v>543</v>
      </c>
      <c r="B75" s="39">
        <f>dataset_A!B75</f>
        <v>40567</v>
      </c>
      <c r="C75" s="38">
        <f>dataset_A!F75</f>
        <v>18</v>
      </c>
      <c r="D75" s="38">
        <f>dataset_A!H75</f>
        <v>1</v>
      </c>
      <c r="E75" s="38" t="b">
        <f>dataset_A!G75</f>
        <v>0</v>
      </c>
      <c r="F75" s="38" t="b">
        <f>dataset_A!G75</f>
        <v>0</v>
      </c>
      <c r="G75" s="38" t="str">
        <f t="shared" si="1"/>
        <v>Weekday</v>
      </c>
      <c r="H75" s="38" t="str">
        <f t="shared" si="2"/>
        <v>Evening</v>
      </c>
      <c r="I75" s="38" t="str">
        <f>IF(dataset_A!C75=1,"Spring",IF(dataset_A!C75=2,"Summer",IF(dataset_A!C75=3,"Fail","Winter")))</f>
        <v>Spring</v>
      </c>
      <c r="J75" s="38" t="str">
        <f>IF(dataset_A!I75=1,"Clear",IF(dataset_A!I75,"Mist/Cloudy",IF(dataset_A!I75=3,"Light Rain/Snow","Heavy Rain/Snow")))</f>
        <v>Clear</v>
      </c>
      <c r="K75" s="38">
        <f>dataset_A!N75</f>
        <v>8</v>
      </c>
      <c r="L75" s="38">
        <f>dataset_A!O75</f>
        <v>145</v>
      </c>
      <c r="M75" s="38">
        <f>dataset_A!P75</f>
        <v>153</v>
      </c>
      <c r="N75" s="38" t="str">
        <f t="shared" si="3"/>
        <v>Ok</v>
      </c>
      <c r="O75" s="38" t="str">
        <f>IF(M75&gt;Analysis!$B$3*1.5,"High",IF(M75&lt;Analysis!$B$3*0.5,"Low","Medium"))</f>
        <v>High</v>
      </c>
      <c r="P75" s="38" t="str">
        <f>VLOOKUP(dataset_A!C75,$Q$2:$R$5,2,0)</f>
        <v>Spring</v>
      </c>
      <c r="S75" s="38" t="str">
        <f t="array" ref="S75">INDEX($R$2:$R$5,MATCH(dataset_A!C75,$Q$2:$Q$5,0))</f>
        <v>Spring</v>
      </c>
      <c r="T75" s="38" t="str">
        <f t="shared" si="4"/>
        <v>Match</v>
      </c>
    </row>
    <row r="76" ht="12.75" customHeight="1">
      <c r="A76" s="38">
        <f>dataset_A!A76</f>
        <v>451</v>
      </c>
      <c r="B76" s="39">
        <f>dataset_A!B76</f>
        <v>40563</v>
      </c>
      <c r="C76" s="38">
        <f>dataset_A!F76</f>
        <v>19</v>
      </c>
      <c r="D76" s="38">
        <f>dataset_A!H76</f>
        <v>4</v>
      </c>
      <c r="E76" s="38" t="b">
        <f>dataset_A!G76</f>
        <v>0</v>
      </c>
      <c r="F76" s="38" t="b">
        <f>dataset_A!G76</f>
        <v>0</v>
      </c>
      <c r="G76" s="38" t="str">
        <f t="shared" si="1"/>
        <v>Weekday</v>
      </c>
      <c r="H76" s="38" t="str">
        <f t="shared" si="2"/>
        <v>Evening</v>
      </c>
      <c r="I76" s="38" t="str">
        <f>IF(dataset_A!C76=1,"Spring",IF(dataset_A!C76=2,"Summer",IF(dataset_A!C76=3,"Fail","Winter")))</f>
        <v>Spring</v>
      </c>
      <c r="J76" s="38" t="str">
        <f>IF(dataset_A!I76=1,"Clear",IF(dataset_A!I76,"Mist/Cloudy",IF(dataset_A!I76=3,"Light Rain/Snow","Heavy Rain/Snow")))</f>
        <v>Clear</v>
      </c>
      <c r="K76" s="38">
        <f>dataset_A!N76</f>
        <v>6</v>
      </c>
      <c r="L76" s="38">
        <f>dataset_A!O76</f>
        <v>146</v>
      </c>
      <c r="M76" s="38">
        <f>dataset_A!P76</f>
        <v>152</v>
      </c>
      <c r="N76" s="38" t="str">
        <f t="shared" si="3"/>
        <v>Ok</v>
      </c>
      <c r="O76" s="38" t="str">
        <f>IF(M76&gt;Analysis!$B$3*1.5,"High",IF(M76&lt;Analysis!$B$3*0.5,"Low","Medium"))</f>
        <v>High</v>
      </c>
      <c r="P76" s="38" t="str">
        <f>VLOOKUP(dataset_A!C76,$Q$2:$R$5,2,0)</f>
        <v>Spring</v>
      </c>
      <c r="S76" s="38" t="str">
        <f t="array" ref="S76">INDEX($R$2:$R$5,MATCH(dataset_A!C76,$Q$2:$Q$5,0))</f>
        <v>Spring</v>
      </c>
      <c r="T76" s="38" t="str">
        <f t="shared" si="4"/>
        <v>Match</v>
      </c>
    </row>
    <row r="77" ht="12.75" customHeight="1">
      <c r="A77" s="38">
        <f>dataset_A!A77</f>
        <v>872</v>
      </c>
      <c r="B77" s="39">
        <f>dataset_A!B77</f>
        <v>40582</v>
      </c>
      <c r="C77" s="38">
        <f>dataset_A!F77</f>
        <v>18</v>
      </c>
      <c r="D77" s="38">
        <f>dataset_A!H77</f>
        <v>2</v>
      </c>
      <c r="E77" s="38" t="b">
        <f>dataset_A!G77</f>
        <v>0</v>
      </c>
      <c r="F77" s="38" t="b">
        <f>dataset_A!G77</f>
        <v>0</v>
      </c>
      <c r="G77" s="38" t="str">
        <f t="shared" si="1"/>
        <v>Weekday</v>
      </c>
      <c r="H77" s="38" t="str">
        <f t="shared" si="2"/>
        <v>Evening</v>
      </c>
      <c r="I77" s="38" t="str">
        <f>IF(dataset_A!C77=1,"Spring",IF(dataset_A!C77=2,"Summer",IF(dataset_A!C77=3,"Fail","Winter")))</f>
        <v>Spring</v>
      </c>
      <c r="J77" s="38" t="str">
        <f>IF(dataset_A!I77=1,"Clear",IF(dataset_A!I77,"Mist/Cloudy",IF(dataset_A!I77=3,"Light Rain/Snow","Heavy Rain/Snow")))</f>
        <v>Clear</v>
      </c>
      <c r="K77" s="38">
        <f>dataset_A!N77</f>
        <v>1</v>
      </c>
      <c r="L77" s="38">
        <f>dataset_A!O77</f>
        <v>151</v>
      </c>
      <c r="M77" s="38">
        <f>dataset_A!P77</f>
        <v>152</v>
      </c>
      <c r="N77" s="38" t="str">
        <f t="shared" si="3"/>
        <v>Ok</v>
      </c>
      <c r="O77" s="38" t="str">
        <f>IF(M77&gt;Analysis!$B$3*1.5,"High",IF(M77&lt;Analysis!$B$3*0.5,"Low","Medium"))</f>
        <v>High</v>
      </c>
      <c r="P77" s="38" t="str">
        <f>VLOOKUP(dataset_A!C77,$Q$2:$R$5,2,0)</f>
        <v>Spring</v>
      </c>
      <c r="S77" s="38" t="str">
        <f t="array" ref="S77">INDEX($R$2:$R$5,MATCH(dataset_A!C77,$Q$2:$Q$5,0))</f>
        <v>Spring</v>
      </c>
      <c r="T77" s="38" t="str">
        <f t="shared" si="4"/>
        <v>Match</v>
      </c>
    </row>
    <row r="78" ht="12.75" customHeight="1">
      <c r="A78" s="38">
        <f>dataset_A!A78</f>
        <v>981</v>
      </c>
      <c r="B78" s="39">
        <f>dataset_A!B78</f>
        <v>40587</v>
      </c>
      <c r="C78" s="38">
        <f>dataset_A!F78</f>
        <v>12</v>
      </c>
      <c r="D78" s="38">
        <f>dataset_A!H78</f>
        <v>0</v>
      </c>
      <c r="E78" s="38" t="b">
        <f>dataset_A!G78</f>
        <v>0</v>
      </c>
      <c r="F78" s="38" t="b">
        <f>dataset_A!G78</f>
        <v>0</v>
      </c>
      <c r="G78" s="38" t="str">
        <f t="shared" si="1"/>
        <v>Weekend</v>
      </c>
      <c r="H78" s="38" t="str">
        <f t="shared" si="2"/>
        <v>Afternoon</v>
      </c>
      <c r="I78" s="38" t="str">
        <f>IF(dataset_A!C78=1,"Spring",IF(dataset_A!C78=2,"Summer",IF(dataset_A!C78=3,"Fail","Winter")))</f>
        <v>Spring</v>
      </c>
      <c r="J78" s="38" t="str">
        <f>IF(dataset_A!I78=1,"Clear",IF(dataset_A!I78,"Mist/Cloudy",IF(dataset_A!I78=3,"Light Rain/Snow","Heavy Rain/Snow")))</f>
        <v>Clear</v>
      </c>
      <c r="K78" s="38">
        <f>dataset_A!N78</f>
        <v>58</v>
      </c>
      <c r="L78" s="38">
        <f>dataset_A!O78</f>
        <v>94</v>
      </c>
      <c r="M78" s="38">
        <f>dataset_A!P78</f>
        <v>152</v>
      </c>
      <c r="N78" s="38" t="str">
        <f t="shared" si="3"/>
        <v>Ok</v>
      </c>
      <c r="O78" s="38" t="str">
        <f>IF(M78&gt;Analysis!$B$3*1.5,"High",IF(M78&lt;Analysis!$B$3*0.5,"Low","Medium"))</f>
        <v>High</v>
      </c>
      <c r="P78" s="38" t="str">
        <f>VLOOKUP(dataset_A!C78,$Q$2:$R$5,2,0)</f>
        <v>Spring</v>
      </c>
      <c r="S78" s="38" t="str">
        <f t="array" ref="S78">INDEX($R$2:$R$5,MATCH(dataset_A!C78,$Q$2:$Q$5,0))</f>
        <v>Spring</v>
      </c>
      <c r="T78" s="38" t="str">
        <f t="shared" si="4"/>
        <v>Match</v>
      </c>
    </row>
    <row r="79" ht="12.75" customHeight="1">
      <c r="A79" s="38">
        <f>dataset_A!A79</f>
        <v>612</v>
      </c>
      <c r="B79" s="39">
        <f>dataset_A!B79</f>
        <v>40571</v>
      </c>
      <c r="C79" s="38">
        <f>dataset_A!F79</f>
        <v>17</v>
      </c>
      <c r="D79" s="38">
        <f>dataset_A!H79</f>
        <v>5</v>
      </c>
      <c r="E79" s="38" t="b">
        <f>dataset_A!G79</f>
        <v>0</v>
      </c>
      <c r="F79" s="38" t="b">
        <f>dataset_A!G79</f>
        <v>0</v>
      </c>
      <c r="G79" s="38" t="str">
        <f t="shared" si="1"/>
        <v>Weekday</v>
      </c>
      <c r="H79" s="38" t="str">
        <f t="shared" si="2"/>
        <v>Afternoon</v>
      </c>
      <c r="I79" s="38" t="str">
        <f>IF(dataset_A!C79=1,"Spring",IF(dataset_A!C79=2,"Summer",IF(dataset_A!C79=3,"Fail","Winter")))</f>
        <v>Spring</v>
      </c>
      <c r="J79" s="38" t="str">
        <f>IF(dataset_A!I79=1,"Clear",IF(dataset_A!I79,"Mist/Cloudy",IF(dataset_A!I79=3,"Light Rain/Snow","Heavy Rain/Snow")))</f>
        <v>Clear</v>
      </c>
      <c r="K79" s="38">
        <f>dataset_A!N79</f>
        <v>2</v>
      </c>
      <c r="L79" s="38">
        <f>dataset_A!O79</f>
        <v>147</v>
      </c>
      <c r="M79" s="38">
        <f>dataset_A!P79</f>
        <v>149</v>
      </c>
      <c r="N79" s="38" t="str">
        <f t="shared" si="3"/>
        <v>Ok</v>
      </c>
      <c r="O79" s="38" t="str">
        <f>IF(M79&gt;Analysis!$B$3*1.5,"High",IF(M79&lt;Analysis!$B$3*0.5,"Low","Medium"))</f>
        <v>High</v>
      </c>
      <c r="P79" s="38" t="str">
        <f>VLOOKUP(dataset_A!C79,$Q$2:$R$5,2,0)</f>
        <v>Spring</v>
      </c>
      <c r="S79" s="38" t="str">
        <f t="array" ref="S79">INDEX($R$2:$R$5,MATCH(dataset_A!C79,$Q$2:$Q$5,0))</f>
        <v>Spring</v>
      </c>
      <c r="T79" s="38" t="str">
        <f t="shared" si="4"/>
        <v>Match</v>
      </c>
    </row>
    <row r="80" ht="12.75" customHeight="1">
      <c r="A80" s="38">
        <f>dataset_A!A80</f>
        <v>753</v>
      </c>
      <c r="B80" s="39">
        <f>dataset_A!B80</f>
        <v>40577</v>
      </c>
      <c r="C80" s="38">
        <f>dataset_A!F80</f>
        <v>18</v>
      </c>
      <c r="D80" s="38">
        <f>dataset_A!H80</f>
        <v>4</v>
      </c>
      <c r="E80" s="38" t="b">
        <f>dataset_A!G80</f>
        <v>0</v>
      </c>
      <c r="F80" s="38" t="b">
        <f>dataset_A!G80</f>
        <v>0</v>
      </c>
      <c r="G80" s="38" t="str">
        <f t="shared" si="1"/>
        <v>Weekday</v>
      </c>
      <c r="H80" s="38" t="str">
        <f t="shared" si="2"/>
        <v>Evening</v>
      </c>
      <c r="I80" s="38" t="str">
        <f>IF(dataset_A!C80=1,"Spring",IF(dataset_A!C80=2,"Summer",IF(dataset_A!C80=3,"Fail","Winter")))</f>
        <v>Spring</v>
      </c>
      <c r="J80" s="38" t="str">
        <f>IF(dataset_A!I80=1,"Clear",IF(dataset_A!I80,"Mist/Cloudy",IF(dataset_A!I80=3,"Light Rain/Snow","Heavy Rain/Snow")))</f>
        <v>Clear</v>
      </c>
      <c r="K80" s="38">
        <f>dataset_A!N80</f>
        <v>2</v>
      </c>
      <c r="L80" s="38">
        <f>dataset_A!O80</f>
        <v>145</v>
      </c>
      <c r="M80" s="38">
        <f>dataset_A!P80</f>
        <v>147</v>
      </c>
      <c r="N80" s="38" t="str">
        <f t="shared" si="3"/>
        <v>Ok</v>
      </c>
      <c r="O80" s="38" t="str">
        <f>IF(M80&gt;Analysis!$B$3*1.5,"High",IF(M80&lt;Analysis!$B$3*0.5,"Low","Medium"))</f>
        <v>High</v>
      </c>
      <c r="P80" s="38" t="str">
        <f>VLOOKUP(dataset_A!C80,$Q$2:$R$5,2,0)</f>
        <v>Spring</v>
      </c>
      <c r="S80" s="38" t="str">
        <f t="array" ref="S80">INDEX($R$2:$R$5,MATCH(dataset_A!C80,$Q$2:$Q$5,0))</f>
        <v>Spring</v>
      </c>
      <c r="T80" s="38" t="str">
        <f t="shared" si="4"/>
        <v>Match</v>
      </c>
    </row>
    <row r="81" ht="12.75" customHeight="1">
      <c r="A81" s="38">
        <f>dataset_A!A81</f>
        <v>567</v>
      </c>
      <c r="B81" s="39">
        <f>dataset_A!B81</f>
        <v>40568</v>
      </c>
      <c r="C81" s="38">
        <f>dataset_A!F81</f>
        <v>19</v>
      </c>
      <c r="D81" s="38">
        <f>dataset_A!H81</f>
        <v>2</v>
      </c>
      <c r="E81" s="38" t="b">
        <f>dataset_A!G81</f>
        <v>0</v>
      </c>
      <c r="F81" s="38" t="b">
        <f>dataset_A!G81</f>
        <v>0</v>
      </c>
      <c r="G81" s="38" t="str">
        <f t="shared" si="1"/>
        <v>Weekday</v>
      </c>
      <c r="H81" s="38" t="str">
        <f t="shared" si="2"/>
        <v>Evening</v>
      </c>
      <c r="I81" s="38" t="str">
        <f>IF(dataset_A!C81=1,"Spring",IF(dataset_A!C81=2,"Summer",IF(dataset_A!C81=3,"Fail","Winter")))</f>
        <v>Spring</v>
      </c>
      <c r="J81" s="38" t="str">
        <f>IF(dataset_A!I81=1,"Clear",IF(dataset_A!I81,"Mist/Cloudy",IF(dataset_A!I81=3,"Light Rain/Snow","Heavy Rain/Snow")))</f>
        <v>Mist/Cloudy</v>
      </c>
      <c r="K81" s="38">
        <f>dataset_A!N81</f>
        <v>13</v>
      </c>
      <c r="L81" s="38">
        <f>dataset_A!O81</f>
        <v>133</v>
      </c>
      <c r="M81" s="38">
        <f>dataset_A!P81</f>
        <v>146</v>
      </c>
      <c r="N81" s="38" t="str">
        <f t="shared" si="3"/>
        <v>Ok</v>
      </c>
      <c r="O81" s="38" t="str">
        <f>IF(M81&gt;Analysis!$B$3*1.5,"High",IF(M81&lt;Analysis!$B$3*0.5,"Low","Medium"))</f>
        <v>High</v>
      </c>
      <c r="P81" s="38" t="str">
        <f>VLOOKUP(dataset_A!C81,$Q$2:$R$5,2,0)</f>
        <v>Spring</v>
      </c>
      <c r="S81" s="38" t="str">
        <f t="array" ref="S81">INDEX($R$2:$R$5,MATCH(dataset_A!C81,$Q$2:$Q$5,0))</f>
        <v>Spring</v>
      </c>
      <c r="T81" s="38" t="str">
        <f t="shared" si="4"/>
        <v>Match</v>
      </c>
    </row>
    <row r="82" ht="12.75" customHeight="1">
      <c r="A82" s="38">
        <f>dataset_A!A82</f>
        <v>962</v>
      </c>
      <c r="B82" s="39">
        <f>dataset_A!B82</f>
        <v>40586</v>
      </c>
      <c r="C82" s="38">
        <f>dataset_A!F82</f>
        <v>16</v>
      </c>
      <c r="D82" s="38">
        <f>dataset_A!H82</f>
        <v>6</v>
      </c>
      <c r="E82" s="38" t="b">
        <f>dataset_A!G82</f>
        <v>0</v>
      </c>
      <c r="F82" s="38" t="b">
        <f>dataset_A!G82</f>
        <v>0</v>
      </c>
      <c r="G82" s="38" t="str">
        <f t="shared" si="1"/>
        <v>Weekend</v>
      </c>
      <c r="H82" s="38" t="str">
        <f t="shared" si="2"/>
        <v>Afternoon</v>
      </c>
      <c r="I82" s="38" t="str">
        <f>IF(dataset_A!C82=1,"Spring",IF(dataset_A!C82=2,"Summer",IF(dataset_A!C82=3,"Fail","Winter")))</f>
        <v>Spring</v>
      </c>
      <c r="J82" s="38" t="str">
        <f>IF(dataset_A!I82=1,"Clear",IF(dataset_A!I82,"Mist/Cloudy",IF(dataset_A!I82=3,"Light Rain/Snow","Heavy Rain/Snow")))</f>
        <v>Clear</v>
      </c>
      <c r="K82" s="38">
        <f>dataset_A!N82</f>
        <v>42</v>
      </c>
      <c r="L82" s="38">
        <f>dataset_A!O82</f>
        <v>103</v>
      </c>
      <c r="M82" s="38">
        <f>dataset_A!P82</f>
        <v>145</v>
      </c>
      <c r="N82" s="38" t="str">
        <f t="shared" si="3"/>
        <v>Ok</v>
      </c>
      <c r="O82" s="38" t="str">
        <f>IF(M82&gt;Analysis!$B$3*1.5,"High",IF(M82&lt;Analysis!$B$3*0.5,"Low","Medium"))</f>
        <v>High</v>
      </c>
      <c r="P82" s="38" t="str">
        <f>VLOOKUP(dataset_A!C82,$Q$2:$R$5,2,0)</f>
        <v>Spring</v>
      </c>
      <c r="S82" s="38" t="str">
        <f t="array" ref="S82">INDEX($R$2:$R$5,MATCH(dataset_A!C82,$Q$2:$Q$5,0))</f>
        <v>Spring</v>
      </c>
      <c r="T82" s="38" t="str">
        <f t="shared" si="4"/>
        <v>Match</v>
      </c>
    </row>
    <row r="83" ht="12.75" customHeight="1">
      <c r="A83" s="38">
        <f>dataset_A!A83</f>
        <v>296</v>
      </c>
      <c r="B83" s="39">
        <f>dataset_A!B83</f>
        <v>40556</v>
      </c>
      <c r="C83" s="38">
        <f>dataset_A!F83</f>
        <v>18</v>
      </c>
      <c r="D83" s="38">
        <f>dataset_A!H83</f>
        <v>4</v>
      </c>
      <c r="E83" s="38" t="b">
        <f>dataset_A!G83</f>
        <v>0</v>
      </c>
      <c r="F83" s="38" t="b">
        <f>dataset_A!G83</f>
        <v>0</v>
      </c>
      <c r="G83" s="38" t="str">
        <f t="shared" si="1"/>
        <v>Weekday</v>
      </c>
      <c r="H83" s="38" t="str">
        <f t="shared" si="2"/>
        <v>Evening</v>
      </c>
      <c r="I83" s="38" t="str">
        <f>IF(dataset_A!C83=1,"Spring",IF(dataset_A!C83=2,"Summer",IF(dataset_A!C83=3,"Fail","Winter")))</f>
        <v>Spring</v>
      </c>
      <c r="J83" s="38" t="str">
        <f>IF(dataset_A!I83=1,"Clear",IF(dataset_A!I83,"Mist/Cloudy",IF(dataset_A!I83=3,"Light Rain/Snow","Heavy Rain/Snow")))</f>
        <v>Clear</v>
      </c>
      <c r="K83" s="38">
        <f>dataset_A!N83</f>
        <v>3</v>
      </c>
      <c r="L83" s="38">
        <f>dataset_A!O83</f>
        <v>141</v>
      </c>
      <c r="M83" s="38">
        <f>dataset_A!P83</f>
        <v>144</v>
      </c>
      <c r="N83" s="38" t="str">
        <f t="shared" si="3"/>
        <v>Ok</v>
      </c>
      <c r="O83" s="38" t="str">
        <f>IF(M83&gt;Analysis!$B$3*1.5,"High",IF(M83&lt;Analysis!$B$3*0.5,"Low","Medium"))</f>
        <v>High</v>
      </c>
      <c r="P83" s="38" t="str">
        <f>VLOOKUP(dataset_A!C83,$Q$2:$R$5,2,0)</f>
        <v>Spring</v>
      </c>
      <c r="S83" s="38" t="str">
        <f t="array" ref="S83">INDEX($R$2:$R$5,MATCH(dataset_A!C83,$Q$2:$Q$5,0))</f>
        <v>Spring</v>
      </c>
      <c r="T83" s="38" t="str">
        <f t="shared" si="4"/>
        <v>Match</v>
      </c>
    </row>
    <row r="84" ht="12.75" customHeight="1">
      <c r="A84" s="38">
        <f>dataset_A!A84</f>
        <v>557</v>
      </c>
      <c r="B84" s="39">
        <f>dataset_A!B84</f>
        <v>40568</v>
      </c>
      <c r="C84" s="38">
        <f>dataset_A!F84</f>
        <v>9</v>
      </c>
      <c r="D84" s="38">
        <f>dataset_A!H84</f>
        <v>2</v>
      </c>
      <c r="E84" s="38" t="b">
        <f>dataset_A!G84</f>
        <v>0</v>
      </c>
      <c r="F84" s="38" t="b">
        <f>dataset_A!G84</f>
        <v>0</v>
      </c>
      <c r="G84" s="38" t="str">
        <f t="shared" si="1"/>
        <v>Weekday</v>
      </c>
      <c r="H84" s="38" t="str">
        <f t="shared" si="2"/>
        <v>Morning</v>
      </c>
      <c r="I84" s="38" t="str">
        <f>IF(dataset_A!C84=1,"Spring",IF(dataset_A!C84=2,"Summer",IF(dataset_A!C84=3,"Fail","Winter")))</f>
        <v>Spring</v>
      </c>
      <c r="J84" s="38" t="str">
        <f>IF(dataset_A!I84=1,"Clear",IF(dataset_A!I84,"Mist/Cloudy",IF(dataset_A!I84=3,"Light Rain/Snow","Heavy Rain/Snow")))</f>
        <v>Mist/Cloudy</v>
      </c>
      <c r="K84" s="38">
        <f>dataset_A!N84</f>
        <v>10</v>
      </c>
      <c r="L84" s="38">
        <f>dataset_A!O84</f>
        <v>134</v>
      </c>
      <c r="M84" s="38">
        <f>dataset_A!P84</f>
        <v>144</v>
      </c>
      <c r="N84" s="38" t="str">
        <f t="shared" si="3"/>
        <v>Ok</v>
      </c>
      <c r="O84" s="38" t="str">
        <f>IF(M84&gt;Analysis!$B$3*1.5,"High",IF(M84&lt;Analysis!$B$3*0.5,"Low","Medium"))</f>
        <v>High</v>
      </c>
      <c r="P84" s="38" t="str">
        <f>VLOOKUP(dataset_A!C84,$Q$2:$R$5,2,0)</f>
        <v>Spring</v>
      </c>
      <c r="S84" s="38" t="str">
        <f t="array" ref="S84">INDEX($R$2:$R$5,MATCH(dataset_A!C84,$Q$2:$Q$5,0))</f>
        <v>Spring</v>
      </c>
      <c r="T84" s="38" t="str">
        <f t="shared" si="4"/>
        <v>Match</v>
      </c>
    </row>
    <row r="85" ht="12.75" customHeight="1">
      <c r="A85" s="38">
        <f>dataset_A!A85</f>
        <v>441</v>
      </c>
      <c r="B85" s="39">
        <f>dataset_A!B85</f>
        <v>40563</v>
      </c>
      <c r="C85" s="38">
        <f>dataset_A!F85</f>
        <v>9</v>
      </c>
      <c r="D85" s="38">
        <f>dataset_A!H85</f>
        <v>4</v>
      </c>
      <c r="E85" s="38" t="b">
        <f>dataset_A!G85</f>
        <v>0</v>
      </c>
      <c r="F85" s="38" t="b">
        <f>dataset_A!G85</f>
        <v>0</v>
      </c>
      <c r="G85" s="38" t="str">
        <f t="shared" si="1"/>
        <v>Weekday</v>
      </c>
      <c r="H85" s="38" t="str">
        <f t="shared" si="2"/>
        <v>Morning</v>
      </c>
      <c r="I85" s="38" t="str">
        <f>IF(dataset_A!C85=1,"Spring",IF(dataset_A!C85=2,"Summer",IF(dataset_A!C85=3,"Fail","Winter")))</f>
        <v>Spring</v>
      </c>
      <c r="J85" s="38" t="str">
        <f>IF(dataset_A!I85=1,"Clear",IF(dataset_A!I85,"Mist/Cloudy",IF(dataset_A!I85=3,"Light Rain/Snow","Heavy Rain/Snow")))</f>
        <v>Mist/Cloudy</v>
      </c>
      <c r="K85" s="38">
        <f>dataset_A!N85</f>
        <v>3</v>
      </c>
      <c r="L85" s="38">
        <f>dataset_A!O85</f>
        <v>140</v>
      </c>
      <c r="M85" s="38">
        <f>dataset_A!P85</f>
        <v>143</v>
      </c>
      <c r="N85" s="38" t="str">
        <f t="shared" si="3"/>
        <v>Ok</v>
      </c>
      <c r="O85" s="38" t="str">
        <f>IF(M85&gt;Analysis!$B$3*1.5,"High",IF(M85&lt;Analysis!$B$3*0.5,"Low","Medium"))</f>
        <v>High</v>
      </c>
      <c r="P85" s="38" t="str">
        <f>VLOOKUP(dataset_A!C85,$Q$2:$R$5,2,0)</f>
        <v>Spring</v>
      </c>
      <c r="S85" s="38" t="str">
        <f t="array" ref="S85">INDEX($R$2:$R$5,MATCH(dataset_A!C85,$Q$2:$Q$5,0))</f>
        <v>Spring</v>
      </c>
      <c r="T85" s="38" t="str">
        <f t="shared" si="4"/>
        <v>Match</v>
      </c>
    </row>
    <row r="86" ht="12.75" customHeight="1">
      <c r="A86" s="38">
        <f>dataset_A!A86</f>
        <v>931</v>
      </c>
      <c r="B86" s="39">
        <f>dataset_A!B86</f>
        <v>40585</v>
      </c>
      <c r="C86" s="38">
        <f>dataset_A!F86</f>
        <v>9</v>
      </c>
      <c r="D86" s="38">
        <f>dataset_A!H86</f>
        <v>5</v>
      </c>
      <c r="E86" s="38" t="b">
        <f>dataset_A!G86</f>
        <v>0</v>
      </c>
      <c r="F86" s="38" t="b">
        <f>dataset_A!G86</f>
        <v>0</v>
      </c>
      <c r="G86" s="38" t="str">
        <f t="shared" si="1"/>
        <v>Weekday</v>
      </c>
      <c r="H86" s="38" t="str">
        <f t="shared" si="2"/>
        <v>Morning</v>
      </c>
      <c r="I86" s="38" t="str">
        <f>IF(dataset_A!C86=1,"Spring",IF(dataset_A!C86=2,"Summer",IF(dataset_A!C86=3,"Fail","Winter")))</f>
        <v>Spring</v>
      </c>
      <c r="J86" s="38" t="str">
        <f>IF(dataset_A!I86=1,"Clear",IF(dataset_A!I86,"Mist/Cloudy",IF(dataset_A!I86=3,"Light Rain/Snow","Heavy Rain/Snow")))</f>
        <v>Clear</v>
      </c>
      <c r="K86" s="38">
        <f>dataset_A!N86</f>
        <v>8</v>
      </c>
      <c r="L86" s="38">
        <f>dataset_A!O86</f>
        <v>132</v>
      </c>
      <c r="M86" s="38">
        <f>dataset_A!P86</f>
        <v>140</v>
      </c>
      <c r="N86" s="38" t="str">
        <f t="shared" si="3"/>
        <v>Ok</v>
      </c>
      <c r="O86" s="38" t="str">
        <f>IF(M86&gt;Analysis!$B$3*1.5,"High",IF(M86&lt;Analysis!$B$3*0.5,"Low","Medium"))</f>
        <v>High</v>
      </c>
      <c r="P86" s="38" t="str">
        <f>VLOOKUP(dataset_A!C86,$Q$2:$R$5,2,0)</f>
        <v>Spring</v>
      </c>
      <c r="S86" s="38" t="str">
        <f t="array" ref="S86">INDEX($R$2:$R$5,MATCH(dataset_A!C86,$Q$2:$Q$5,0))</f>
        <v>Spring</v>
      </c>
      <c r="T86" s="38" t="str">
        <f t="shared" si="4"/>
        <v>Match</v>
      </c>
    </row>
    <row r="87" ht="12.75" customHeight="1">
      <c r="A87" s="38">
        <f>dataset_A!A87</f>
        <v>271</v>
      </c>
      <c r="B87" s="39">
        <f>dataset_A!B87</f>
        <v>40555</v>
      </c>
      <c r="C87" s="38">
        <f>dataset_A!F87</f>
        <v>17</v>
      </c>
      <c r="D87" s="38">
        <f>dataset_A!H87</f>
        <v>3</v>
      </c>
      <c r="E87" s="38" t="b">
        <f>dataset_A!G87</f>
        <v>0</v>
      </c>
      <c r="F87" s="38" t="b">
        <f>dataset_A!G87</f>
        <v>0</v>
      </c>
      <c r="G87" s="38" t="str">
        <f t="shared" si="1"/>
        <v>Weekday</v>
      </c>
      <c r="H87" s="38" t="str">
        <f t="shared" si="2"/>
        <v>Afternoon</v>
      </c>
      <c r="I87" s="38" t="str">
        <f>IF(dataset_A!C87=1,"Spring",IF(dataset_A!C87=2,"Summer",IF(dataset_A!C87=3,"Fail","Winter")))</f>
        <v>Spring</v>
      </c>
      <c r="J87" s="38" t="str">
        <f>IF(dataset_A!I87=1,"Clear",IF(dataset_A!I87,"Mist/Cloudy",IF(dataset_A!I87=3,"Light Rain/Snow","Heavy Rain/Snow")))</f>
        <v>Clear</v>
      </c>
      <c r="K87" s="38">
        <f>dataset_A!N87</f>
        <v>0</v>
      </c>
      <c r="L87" s="38">
        <f>dataset_A!O87</f>
        <v>139</v>
      </c>
      <c r="M87" s="38">
        <f>dataset_A!P87</f>
        <v>139</v>
      </c>
      <c r="N87" s="38" t="str">
        <f t="shared" si="3"/>
        <v>Ok</v>
      </c>
      <c r="O87" s="38" t="str">
        <f>IF(M87&gt;Analysis!$B$3*1.5,"High",IF(M87&lt;Analysis!$B$3*0.5,"Low","Medium"))</f>
        <v>High</v>
      </c>
      <c r="P87" s="38" t="str">
        <f>VLOOKUP(dataset_A!C87,$Q$2:$R$5,2,0)</f>
        <v>Spring</v>
      </c>
      <c r="S87" s="38" t="str">
        <f t="array" ref="S87">INDEX($R$2:$R$5,MATCH(dataset_A!C87,$Q$2:$Q$5,0))</f>
        <v>Spring</v>
      </c>
      <c r="T87" s="38" t="str">
        <f t="shared" si="4"/>
        <v>Match</v>
      </c>
    </row>
    <row r="88" ht="12.75" customHeight="1">
      <c r="A88" s="38">
        <f>dataset_A!A88</f>
        <v>287</v>
      </c>
      <c r="B88" s="39">
        <f>dataset_A!B88</f>
        <v>40556</v>
      </c>
      <c r="C88" s="38">
        <f>dataset_A!F88</f>
        <v>9</v>
      </c>
      <c r="D88" s="38">
        <f>dataset_A!H88</f>
        <v>4</v>
      </c>
      <c r="E88" s="38" t="b">
        <f>dataset_A!G88</f>
        <v>0</v>
      </c>
      <c r="F88" s="38" t="b">
        <f>dataset_A!G88</f>
        <v>0</v>
      </c>
      <c r="G88" s="38" t="str">
        <f t="shared" si="1"/>
        <v>Weekday</v>
      </c>
      <c r="H88" s="38" t="str">
        <f t="shared" si="2"/>
        <v>Morning</v>
      </c>
      <c r="I88" s="38" t="str">
        <f>IF(dataset_A!C88=1,"Spring",IF(dataset_A!C88=2,"Summer",IF(dataset_A!C88=3,"Fail","Winter")))</f>
        <v>Spring</v>
      </c>
      <c r="J88" s="38" t="str">
        <f>IF(dataset_A!I88=1,"Clear",IF(dataset_A!I88,"Mist/Cloudy",IF(dataset_A!I88=3,"Light Rain/Snow","Heavy Rain/Snow")))</f>
        <v>Clear</v>
      </c>
      <c r="K88" s="38">
        <f>dataset_A!N88</f>
        <v>2</v>
      </c>
      <c r="L88" s="38">
        <f>dataset_A!O88</f>
        <v>137</v>
      </c>
      <c r="M88" s="38">
        <f>dataset_A!P88</f>
        <v>139</v>
      </c>
      <c r="N88" s="38" t="str">
        <f t="shared" si="3"/>
        <v>Ok</v>
      </c>
      <c r="O88" s="38" t="str">
        <f>IF(M88&gt;Analysis!$B$3*1.5,"High",IF(M88&lt;Analysis!$B$3*0.5,"Low","Medium"))</f>
        <v>High</v>
      </c>
      <c r="P88" s="38" t="str">
        <f>VLOOKUP(dataset_A!C88,$Q$2:$R$5,2,0)</f>
        <v>Spring</v>
      </c>
      <c r="S88" s="38" t="str">
        <f t="array" ref="S88">INDEX($R$2:$R$5,MATCH(dataset_A!C88,$Q$2:$Q$5,0))</f>
        <v>Spring</v>
      </c>
      <c r="T88" s="38" t="str">
        <f t="shared" si="4"/>
        <v>Match</v>
      </c>
    </row>
    <row r="89" ht="12.75" customHeight="1">
      <c r="A89" s="38">
        <f>dataset_A!A89</f>
        <v>319</v>
      </c>
      <c r="B89" s="39">
        <f>dataset_A!B89</f>
        <v>40557</v>
      </c>
      <c r="C89" s="38">
        <f>dataset_A!F89</f>
        <v>18</v>
      </c>
      <c r="D89" s="38">
        <f>dataset_A!H89</f>
        <v>5</v>
      </c>
      <c r="E89" s="38" t="b">
        <f>dataset_A!G89</f>
        <v>0</v>
      </c>
      <c r="F89" s="38" t="b">
        <f>dataset_A!G89</f>
        <v>0</v>
      </c>
      <c r="G89" s="38" t="str">
        <f t="shared" si="1"/>
        <v>Weekday</v>
      </c>
      <c r="H89" s="38" t="str">
        <f t="shared" si="2"/>
        <v>Evening</v>
      </c>
      <c r="I89" s="38" t="str">
        <f>IF(dataset_A!C89=1,"Spring",IF(dataset_A!C89=2,"Summer",IF(dataset_A!C89=3,"Fail","Winter")))</f>
        <v>Spring</v>
      </c>
      <c r="J89" s="38" t="str">
        <f>IF(dataset_A!I89=1,"Clear",IF(dataset_A!I89,"Mist/Cloudy",IF(dataset_A!I89=3,"Light Rain/Snow","Heavy Rain/Snow")))</f>
        <v>Clear</v>
      </c>
      <c r="K89" s="38">
        <f>dataset_A!N89</f>
        <v>5</v>
      </c>
      <c r="L89" s="38">
        <f>dataset_A!O89</f>
        <v>134</v>
      </c>
      <c r="M89" s="38">
        <f>dataset_A!P89</f>
        <v>139</v>
      </c>
      <c r="N89" s="38" t="str">
        <f t="shared" si="3"/>
        <v>Ok</v>
      </c>
      <c r="O89" s="38" t="str">
        <f>IF(M89&gt;Analysis!$B$3*1.5,"High",IF(M89&lt;Analysis!$B$3*0.5,"Low","Medium"))</f>
        <v>High</v>
      </c>
      <c r="P89" s="38" t="str">
        <f>VLOOKUP(dataset_A!C89,$Q$2:$R$5,2,0)</f>
        <v>Spring</v>
      </c>
      <c r="S89" s="38" t="str">
        <f t="array" ref="S89">INDEX($R$2:$R$5,MATCH(dataset_A!C89,$Q$2:$Q$5,0))</f>
        <v>Spring</v>
      </c>
      <c r="T89" s="38" t="str">
        <f t="shared" si="4"/>
        <v>Match</v>
      </c>
    </row>
    <row r="90" ht="12.75" customHeight="1">
      <c r="A90" s="38">
        <f>dataset_A!A90</f>
        <v>272</v>
      </c>
      <c r="B90" s="39">
        <f>dataset_A!B90</f>
        <v>40555</v>
      </c>
      <c r="C90" s="38">
        <f>dataset_A!F90</f>
        <v>18</v>
      </c>
      <c r="D90" s="38">
        <f>dataset_A!H90</f>
        <v>3</v>
      </c>
      <c r="E90" s="38" t="b">
        <f>dataset_A!G90</f>
        <v>0</v>
      </c>
      <c r="F90" s="38" t="b">
        <f>dataset_A!G90</f>
        <v>0</v>
      </c>
      <c r="G90" s="38" t="str">
        <f t="shared" si="1"/>
        <v>Weekday</v>
      </c>
      <c r="H90" s="38" t="str">
        <f t="shared" si="2"/>
        <v>Evening</v>
      </c>
      <c r="I90" s="38" t="str">
        <f>IF(dataset_A!C90=1,"Spring",IF(dataset_A!C90=2,"Summer",IF(dataset_A!C90=3,"Fail","Winter")))</f>
        <v>Spring</v>
      </c>
      <c r="J90" s="38" t="str">
        <f>IF(dataset_A!I90=1,"Clear",IF(dataset_A!I90,"Mist/Cloudy",IF(dataset_A!I90=3,"Light Rain/Snow","Heavy Rain/Snow")))</f>
        <v>Clear</v>
      </c>
      <c r="K90" s="38">
        <f>dataset_A!N90</f>
        <v>2</v>
      </c>
      <c r="L90" s="38">
        <f>dataset_A!O90</f>
        <v>135</v>
      </c>
      <c r="M90" s="38">
        <f>dataset_A!P90</f>
        <v>137</v>
      </c>
      <c r="N90" s="38" t="str">
        <f t="shared" si="3"/>
        <v>Ok</v>
      </c>
      <c r="O90" s="38" t="str">
        <f>IF(M90&gt;Analysis!$B$3*1.5,"High",IF(M90&lt;Analysis!$B$3*0.5,"Low","Medium"))</f>
        <v>High</v>
      </c>
      <c r="P90" s="38" t="str">
        <f>VLOOKUP(dataset_A!C90,$Q$2:$R$5,2,0)</f>
        <v>Spring</v>
      </c>
      <c r="S90" s="38" t="str">
        <f t="array" ref="S90">INDEX($R$2:$R$5,MATCH(dataset_A!C90,$Q$2:$Q$5,0))</f>
        <v>Spring</v>
      </c>
      <c r="T90" s="38" t="str">
        <f t="shared" si="4"/>
        <v>Match</v>
      </c>
    </row>
    <row r="91" ht="12.75" customHeight="1">
      <c r="A91" s="38">
        <f>dataset_A!A91</f>
        <v>963</v>
      </c>
      <c r="B91" s="39">
        <f>dataset_A!B91</f>
        <v>40586</v>
      </c>
      <c r="C91" s="38">
        <f>dataset_A!F91</f>
        <v>17</v>
      </c>
      <c r="D91" s="38">
        <f>dataset_A!H91</f>
        <v>6</v>
      </c>
      <c r="E91" s="38" t="b">
        <f>dataset_A!G91</f>
        <v>0</v>
      </c>
      <c r="F91" s="38" t="b">
        <f>dataset_A!G91</f>
        <v>0</v>
      </c>
      <c r="G91" s="38" t="str">
        <f t="shared" si="1"/>
        <v>Weekend</v>
      </c>
      <c r="H91" s="38" t="str">
        <f t="shared" si="2"/>
        <v>Afternoon</v>
      </c>
      <c r="I91" s="38" t="str">
        <f>IF(dataset_A!C91=1,"Spring",IF(dataset_A!C91=2,"Summer",IF(dataset_A!C91=3,"Fail","Winter")))</f>
        <v>Spring</v>
      </c>
      <c r="J91" s="38" t="str">
        <f>IF(dataset_A!I91=1,"Clear",IF(dataset_A!I91,"Mist/Cloudy",IF(dataset_A!I91=3,"Light Rain/Snow","Heavy Rain/Snow")))</f>
        <v>Clear</v>
      </c>
      <c r="K91" s="38">
        <f>dataset_A!N91</f>
        <v>24</v>
      </c>
      <c r="L91" s="38">
        <f>dataset_A!O91</f>
        <v>113</v>
      </c>
      <c r="M91" s="38">
        <f>dataset_A!P91</f>
        <v>137</v>
      </c>
      <c r="N91" s="38" t="str">
        <f t="shared" si="3"/>
        <v>Ok</v>
      </c>
      <c r="O91" s="38" t="str">
        <f>IF(M91&gt;Analysis!$B$3*1.5,"High",IF(M91&lt;Analysis!$B$3*0.5,"Low","Medium"))</f>
        <v>High</v>
      </c>
      <c r="P91" s="38" t="str">
        <f>VLOOKUP(dataset_A!C91,$Q$2:$R$5,2,0)</f>
        <v>Spring</v>
      </c>
      <c r="S91" s="38" t="str">
        <f t="array" ref="S91">INDEX($R$2:$R$5,MATCH(dataset_A!C91,$Q$2:$Q$5,0))</f>
        <v>Spring</v>
      </c>
      <c r="T91" s="38" t="str">
        <f t="shared" si="4"/>
        <v>Match</v>
      </c>
    </row>
    <row r="92" ht="12.75" customHeight="1">
      <c r="A92" s="38">
        <f>dataset_A!A92</f>
        <v>249</v>
      </c>
      <c r="B92" s="39">
        <f>dataset_A!B92</f>
        <v>40554</v>
      </c>
      <c r="C92" s="38">
        <f>dataset_A!F92</f>
        <v>17</v>
      </c>
      <c r="D92" s="38">
        <f>dataset_A!H92</f>
        <v>2</v>
      </c>
      <c r="E92" s="38" t="b">
        <f>dataset_A!G92</f>
        <v>0</v>
      </c>
      <c r="F92" s="38" t="b">
        <f>dataset_A!G92</f>
        <v>0</v>
      </c>
      <c r="G92" s="38" t="str">
        <f t="shared" si="1"/>
        <v>Weekday</v>
      </c>
      <c r="H92" s="38" t="str">
        <f t="shared" si="2"/>
        <v>Afternoon</v>
      </c>
      <c r="I92" s="38" t="str">
        <f>IF(dataset_A!C92=1,"Spring",IF(dataset_A!C92=2,"Summer",IF(dataset_A!C92=3,"Fail","Winter")))</f>
        <v>Spring</v>
      </c>
      <c r="J92" s="38" t="str">
        <f>IF(dataset_A!I92=1,"Clear",IF(dataset_A!I92,"Mist/Cloudy",IF(dataset_A!I92=3,"Light Rain/Snow","Heavy Rain/Snow")))</f>
        <v>Mist/Cloudy</v>
      </c>
      <c r="K92" s="38">
        <f>dataset_A!N92</f>
        <v>6</v>
      </c>
      <c r="L92" s="38">
        <f>dataset_A!O92</f>
        <v>130</v>
      </c>
      <c r="M92" s="38">
        <f>dataset_A!P92</f>
        <v>136</v>
      </c>
      <c r="N92" s="38" t="str">
        <f t="shared" si="3"/>
        <v>Ok</v>
      </c>
      <c r="O92" s="38" t="str">
        <f>IF(M92&gt;Analysis!$B$3*1.5,"High",IF(M92&lt;Analysis!$B$3*0.5,"Low","Medium"))</f>
        <v>High</v>
      </c>
      <c r="P92" s="38" t="str">
        <f>VLOOKUP(dataset_A!C92,$Q$2:$R$5,2,0)</f>
        <v>Spring</v>
      </c>
      <c r="S92" s="38" t="str">
        <f t="array" ref="S92">INDEX($R$2:$R$5,MATCH(dataset_A!C92,$Q$2:$Q$5,0))</f>
        <v>Spring</v>
      </c>
      <c r="T92" s="38" t="str">
        <f t="shared" si="4"/>
        <v>Match</v>
      </c>
    </row>
    <row r="93" ht="12.75" customHeight="1">
      <c r="A93" s="38">
        <f>dataset_A!A93</f>
        <v>696</v>
      </c>
      <c r="B93" s="39">
        <f>dataset_A!B93</f>
        <v>40575</v>
      </c>
      <c r="C93" s="38">
        <f>dataset_A!F93</f>
        <v>8</v>
      </c>
      <c r="D93" s="38">
        <f>dataset_A!H93</f>
        <v>2</v>
      </c>
      <c r="E93" s="38" t="b">
        <f>dataset_A!G93</f>
        <v>0</v>
      </c>
      <c r="F93" s="38" t="b">
        <f>dataset_A!G93</f>
        <v>0</v>
      </c>
      <c r="G93" s="38" t="str">
        <f t="shared" si="1"/>
        <v>Weekday</v>
      </c>
      <c r="H93" s="38" t="str">
        <f t="shared" si="2"/>
        <v>Morning</v>
      </c>
      <c r="I93" s="38" t="str">
        <f>IF(dataset_A!C93=1,"Spring",IF(dataset_A!C93=2,"Summer",IF(dataset_A!C93=3,"Fail","Winter")))</f>
        <v>Spring</v>
      </c>
      <c r="J93" s="38" t="str">
        <f>IF(dataset_A!I93=1,"Clear",IF(dataset_A!I93,"Mist/Cloudy",IF(dataset_A!I93=3,"Light Rain/Snow","Heavy Rain/Snow")))</f>
        <v>Mist/Cloudy</v>
      </c>
      <c r="K93" s="38">
        <f>dataset_A!N93</f>
        <v>3</v>
      </c>
      <c r="L93" s="38">
        <f>dataset_A!O93</f>
        <v>132</v>
      </c>
      <c r="M93" s="38">
        <f>dataset_A!P93</f>
        <v>135</v>
      </c>
      <c r="N93" s="38" t="str">
        <f t="shared" si="3"/>
        <v>Ok</v>
      </c>
      <c r="O93" s="38" t="str">
        <f>IF(M93&gt;Analysis!$B$3*1.5,"High",IF(M93&lt;Analysis!$B$3*0.5,"Low","Medium"))</f>
        <v>High</v>
      </c>
      <c r="P93" s="38" t="str">
        <f>VLOOKUP(dataset_A!C93,$Q$2:$R$5,2,0)</f>
        <v>Spring</v>
      </c>
      <c r="S93" s="38" t="str">
        <f t="array" ref="S93">INDEX($R$2:$R$5,MATCH(dataset_A!C93,$Q$2:$Q$5,0))</f>
        <v>Spring</v>
      </c>
      <c r="T93" s="38" t="str">
        <f t="shared" si="4"/>
        <v>Match</v>
      </c>
    </row>
    <row r="94" ht="12.75" customHeight="1">
      <c r="A94" s="38">
        <f>dataset_A!A94</f>
        <v>863</v>
      </c>
      <c r="B94" s="39">
        <f>dataset_A!B94</f>
        <v>40582</v>
      </c>
      <c r="C94" s="38">
        <f>dataset_A!F94</f>
        <v>9</v>
      </c>
      <c r="D94" s="38">
        <f>dataset_A!H94</f>
        <v>2</v>
      </c>
      <c r="E94" s="38" t="b">
        <f>dataset_A!G94</f>
        <v>0</v>
      </c>
      <c r="F94" s="38" t="b">
        <f>dataset_A!G94</f>
        <v>0</v>
      </c>
      <c r="G94" s="38" t="str">
        <f t="shared" si="1"/>
        <v>Weekday</v>
      </c>
      <c r="H94" s="38" t="str">
        <f t="shared" si="2"/>
        <v>Morning</v>
      </c>
      <c r="I94" s="38" t="str">
        <f>IF(dataset_A!C94=1,"Spring",IF(dataset_A!C94=2,"Summer",IF(dataset_A!C94=3,"Fail","Winter")))</f>
        <v>Spring</v>
      </c>
      <c r="J94" s="38" t="str">
        <f>IF(dataset_A!I94=1,"Clear",IF(dataset_A!I94,"Mist/Cloudy",IF(dataset_A!I94=3,"Light Rain/Snow","Heavy Rain/Snow")))</f>
        <v>Clear</v>
      </c>
      <c r="K94" s="38">
        <f>dataset_A!N94</f>
        <v>7</v>
      </c>
      <c r="L94" s="38">
        <f>dataset_A!O94</f>
        <v>128</v>
      </c>
      <c r="M94" s="38">
        <f>dataset_A!P94</f>
        <v>135</v>
      </c>
      <c r="N94" s="38" t="str">
        <f t="shared" si="3"/>
        <v>Ok</v>
      </c>
      <c r="O94" s="38" t="str">
        <f>IF(M94&gt;Analysis!$B$3*1.5,"High",IF(M94&lt;Analysis!$B$3*0.5,"Low","Medium"))</f>
        <v>High</v>
      </c>
      <c r="P94" s="38" t="str">
        <f>VLOOKUP(dataset_A!C94,$Q$2:$R$5,2,0)</f>
        <v>Spring</v>
      </c>
      <c r="S94" s="38" t="str">
        <f t="array" ref="S94">INDEX($R$2:$R$5,MATCH(dataset_A!C94,$Q$2:$Q$5,0))</f>
        <v>Spring</v>
      </c>
      <c r="T94" s="38" t="str">
        <f t="shared" si="4"/>
        <v>Match</v>
      </c>
    </row>
    <row r="95" ht="12.75" customHeight="1">
      <c r="A95" s="38">
        <f>dataset_A!A95</f>
        <v>959</v>
      </c>
      <c r="B95" s="39">
        <f>dataset_A!B95</f>
        <v>40586</v>
      </c>
      <c r="C95" s="38">
        <f>dataset_A!F95</f>
        <v>13</v>
      </c>
      <c r="D95" s="38">
        <f>dataset_A!H95</f>
        <v>6</v>
      </c>
      <c r="E95" s="38" t="b">
        <f>dataset_A!G95</f>
        <v>0</v>
      </c>
      <c r="F95" s="38" t="b">
        <f>dataset_A!G95</f>
        <v>0</v>
      </c>
      <c r="G95" s="38" t="str">
        <f t="shared" si="1"/>
        <v>Weekend</v>
      </c>
      <c r="H95" s="38" t="str">
        <f t="shared" si="2"/>
        <v>Afternoon</v>
      </c>
      <c r="I95" s="38" t="str">
        <f>IF(dataset_A!C95=1,"Spring",IF(dataset_A!C95=2,"Summer",IF(dataset_A!C95=3,"Fail","Winter")))</f>
        <v>Spring</v>
      </c>
      <c r="J95" s="38" t="str">
        <f>IF(dataset_A!I95=1,"Clear",IF(dataset_A!I95,"Mist/Cloudy",IF(dataset_A!I95=3,"Light Rain/Snow","Heavy Rain/Snow")))</f>
        <v>Clear</v>
      </c>
      <c r="K95" s="38">
        <f>dataset_A!N95</f>
        <v>32</v>
      </c>
      <c r="L95" s="38">
        <f>dataset_A!O95</f>
        <v>103</v>
      </c>
      <c r="M95" s="38">
        <f>dataset_A!P95</f>
        <v>135</v>
      </c>
      <c r="N95" s="38" t="str">
        <f t="shared" si="3"/>
        <v>Ok</v>
      </c>
      <c r="O95" s="38" t="str">
        <f>IF(M95&gt;Analysis!$B$3*1.5,"High",IF(M95&lt;Analysis!$B$3*0.5,"Low","Medium"))</f>
        <v>High</v>
      </c>
      <c r="P95" s="38" t="str">
        <f>VLOOKUP(dataset_A!C95,$Q$2:$R$5,2,0)</f>
        <v>Spring</v>
      </c>
      <c r="S95" s="38" t="str">
        <f t="array" ref="S95">INDEX($R$2:$R$5,MATCH(dataset_A!C95,$Q$2:$Q$5,0))</f>
        <v>Spring</v>
      </c>
      <c r="T95" s="38" t="str">
        <f t="shared" si="4"/>
        <v>Match</v>
      </c>
    </row>
    <row r="96" ht="12.75" customHeight="1">
      <c r="A96" s="38">
        <f>dataset_A!A96</f>
        <v>147</v>
      </c>
      <c r="B96" s="39">
        <f>dataset_A!B96</f>
        <v>40550</v>
      </c>
      <c r="C96" s="38">
        <f>dataset_A!F96</f>
        <v>9</v>
      </c>
      <c r="D96" s="38">
        <f>dataset_A!H96</f>
        <v>5</v>
      </c>
      <c r="E96" s="38" t="b">
        <f>dataset_A!G96</f>
        <v>0</v>
      </c>
      <c r="F96" s="38" t="b">
        <f>dataset_A!G96</f>
        <v>0</v>
      </c>
      <c r="G96" s="38" t="str">
        <f t="shared" si="1"/>
        <v>Weekday</v>
      </c>
      <c r="H96" s="38" t="str">
        <f t="shared" si="2"/>
        <v>Morning</v>
      </c>
      <c r="I96" s="38" t="str">
        <f>IF(dataset_A!C96=1,"Spring",IF(dataset_A!C96=2,"Summer",IF(dataset_A!C96=3,"Fail","Winter")))</f>
        <v>Spring</v>
      </c>
      <c r="J96" s="38" t="str">
        <f>IF(dataset_A!I96=1,"Clear",IF(dataset_A!I96,"Mist/Cloudy",IF(dataset_A!I96=3,"Light Rain/Snow","Heavy Rain/Snow")))</f>
        <v>Clear</v>
      </c>
      <c r="K96" s="38">
        <f>dataset_A!N96</f>
        <v>9</v>
      </c>
      <c r="L96" s="38">
        <f>dataset_A!O96</f>
        <v>125</v>
      </c>
      <c r="M96" s="38">
        <f>dataset_A!P96</f>
        <v>134</v>
      </c>
      <c r="N96" s="38" t="str">
        <f t="shared" si="3"/>
        <v>Ok</v>
      </c>
      <c r="O96" s="38" t="str">
        <f>IF(M96&gt;Analysis!$B$3*1.5,"High",IF(M96&lt;Analysis!$B$3*0.5,"Low","Medium"))</f>
        <v>High</v>
      </c>
      <c r="P96" s="38" t="str">
        <f>VLOOKUP(dataset_A!C96,$Q$2:$R$5,2,0)</f>
        <v>Spring</v>
      </c>
      <c r="S96" s="38" t="str">
        <f t="array" ref="S96">INDEX($R$2:$R$5,MATCH(dataset_A!C96,$Q$2:$Q$5,0))</f>
        <v>Spring</v>
      </c>
      <c r="T96" s="38" t="str">
        <f t="shared" si="4"/>
        <v>Match</v>
      </c>
    </row>
    <row r="97" ht="12.75" customHeight="1">
      <c r="A97" s="38">
        <f>dataset_A!A97</f>
        <v>985</v>
      </c>
      <c r="B97" s="39">
        <f>dataset_A!B97</f>
        <v>40587</v>
      </c>
      <c r="C97" s="38">
        <f>dataset_A!F97</f>
        <v>16</v>
      </c>
      <c r="D97" s="38">
        <f>dataset_A!H97</f>
        <v>0</v>
      </c>
      <c r="E97" s="38" t="b">
        <f>dataset_A!G97</f>
        <v>0</v>
      </c>
      <c r="F97" s="38" t="b">
        <f>dataset_A!G97</f>
        <v>0</v>
      </c>
      <c r="G97" s="38" t="str">
        <f t="shared" si="1"/>
        <v>Weekend</v>
      </c>
      <c r="H97" s="38" t="str">
        <f t="shared" si="2"/>
        <v>Afternoon</v>
      </c>
      <c r="I97" s="38" t="str">
        <f>IF(dataset_A!C97=1,"Spring",IF(dataset_A!C97=2,"Summer",IF(dataset_A!C97=3,"Fail","Winter")))</f>
        <v>Spring</v>
      </c>
      <c r="J97" s="38" t="str">
        <f>IF(dataset_A!I97=1,"Clear",IF(dataset_A!I97,"Mist/Cloudy",IF(dataset_A!I97=3,"Light Rain/Snow","Heavy Rain/Snow")))</f>
        <v>Mist/Cloudy</v>
      </c>
      <c r="K97" s="38">
        <f>dataset_A!N97</f>
        <v>28</v>
      </c>
      <c r="L97" s="38">
        <f>dataset_A!O97</f>
        <v>106</v>
      </c>
      <c r="M97" s="38">
        <f>dataset_A!P97</f>
        <v>134</v>
      </c>
      <c r="N97" s="38" t="str">
        <f t="shared" si="3"/>
        <v>Ok</v>
      </c>
      <c r="O97" s="38" t="str">
        <f>IF(M97&gt;Analysis!$B$3*1.5,"High",IF(M97&lt;Analysis!$B$3*0.5,"Low","Medium"))</f>
        <v>High</v>
      </c>
      <c r="P97" s="38" t="str">
        <f>VLOOKUP(dataset_A!C97,$Q$2:$R$5,2,0)</f>
        <v>Spring</v>
      </c>
      <c r="S97" s="38" t="str">
        <f t="array" ref="S97">INDEX($R$2:$R$5,MATCH(dataset_A!C97,$Q$2:$Q$5,0))</f>
        <v>Spring</v>
      </c>
      <c r="T97" s="38" t="str">
        <f t="shared" si="4"/>
        <v>Match</v>
      </c>
    </row>
    <row r="98" ht="12.75" customHeight="1">
      <c r="A98" s="38">
        <f>dataset_A!A98</f>
        <v>403</v>
      </c>
      <c r="B98" s="39">
        <f>dataset_A!B98</f>
        <v>40561</v>
      </c>
      <c r="C98" s="38">
        <f>dataset_A!F98</f>
        <v>18</v>
      </c>
      <c r="D98" s="38">
        <f>dataset_A!H98</f>
        <v>2</v>
      </c>
      <c r="E98" s="38" t="b">
        <f>dataset_A!G98</f>
        <v>0</v>
      </c>
      <c r="F98" s="38" t="b">
        <f>dataset_A!G98</f>
        <v>0</v>
      </c>
      <c r="G98" s="38" t="str">
        <f t="shared" si="1"/>
        <v>Weekday</v>
      </c>
      <c r="H98" s="38" t="str">
        <f t="shared" si="2"/>
        <v>Evening</v>
      </c>
      <c r="I98" s="38" t="str">
        <f>IF(dataset_A!C98=1,"Spring",IF(dataset_A!C98=2,"Summer",IF(dataset_A!C98=3,"Fail","Winter")))</f>
        <v>Spring</v>
      </c>
      <c r="J98" s="38" t="str">
        <f>IF(dataset_A!I98=1,"Clear",IF(dataset_A!I98,"Mist/Cloudy",IF(dataset_A!I98=3,"Light Rain/Snow","Heavy Rain/Snow")))</f>
        <v>Mist/Cloudy</v>
      </c>
      <c r="K98" s="38">
        <f>dataset_A!N98</f>
        <v>1</v>
      </c>
      <c r="L98" s="38">
        <f>dataset_A!O98</f>
        <v>132</v>
      </c>
      <c r="M98" s="38">
        <f>dataset_A!P98</f>
        <v>133</v>
      </c>
      <c r="N98" s="38" t="str">
        <f t="shared" si="3"/>
        <v>Ok</v>
      </c>
      <c r="O98" s="38" t="str">
        <f>IF(M98&gt;Analysis!$B$3*1.5,"High",IF(M98&lt;Analysis!$B$3*0.5,"Low","Medium"))</f>
        <v>High</v>
      </c>
      <c r="P98" s="38" t="str">
        <f>VLOOKUP(dataset_A!C98,$Q$2:$R$5,2,0)</f>
        <v>Spring</v>
      </c>
      <c r="S98" s="38" t="str">
        <f t="array" ref="S98">INDEX($R$2:$R$5,MATCH(dataset_A!C98,$Q$2:$Q$5,0))</f>
        <v>Spring</v>
      </c>
      <c r="T98" s="38" t="str">
        <f t="shared" si="4"/>
        <v>Match</v>
      </c>
    </row>
    <row r="99" ht="12.75" customHeight="1">
      <c r="A99" s="38">
        <f>dataset_A!A99</f>
        <v>744</v>
      </c>
      <c r="B99" s="39">
        <f>dataset_A!B99</f>
        <v>40577</v>
      </c>
      <c r="C99" s="38">
        <f>dataset_A!F99</f>
        <v>9</v>
      </c>
      <c r="D99" s="38">
        <f>dataset_A!H99</f>
        <v>4</v>
      </c>
      <c r="E99" s="38" t="b">
        <f>dataset_A!G99</f>
        <v>0</v>
      </c>
      <c r="F99" s="38" t="b">
        <f>dataset_A!G99</f>
        <v>0</v>
      </c>
      <c r="G99" s="38" t="str">
        <f t="shared" si="1"/>
        <v>Weekday</v>
      </c>
      <c r="H99" s="38" t="str">
        <f t="shared" si="2"/>
        <v>Morning</v>
      </c>
      <c r="I99" s="38" t="str">
        <f>IF(dataset_A!C99=1,"Spring",IF(dataset_A!C99=2,"Summer",IF(dataset_A!C99=3,"Fail","Winter")))</f>
        <v>Spring</v>
      </c>
      <c r="J99" s="38" t="str">
        <f>IF(dataset_A!I99=1,"Clear",IF(dataset_A!I99,"Mist/Cloudy",IF(dataset_A!I99=3,"Light Rain/Snow","Heavy Rain/Snow")))</f>
        <v>Clear</v>
      </c>
      <c r="K99" s="38">
        <f>dataset_A!N99</f>
        <v>6</v>
      </c>
      <c r="L99" s="38">
        <f>dataset_A!O99</f>
        <v>127</v>
      </c>
      <c r="M99" s="38">
        <f>dataset_A!P99</f>
        <v>133</v>
      </c>
      <c r="N99" s="38" t="str">
        <f t="shared" si="3"/>
        <v>Ok</v>
      </c>
      <c r="O99" s="38" t="str">
        <f>IF(M99&gt;Analysis!$B$3*1.5,"High",IF(M99&lt;Analysis!$B$3*0.5,"Low","Medium"))</f>
        <v>High</v>
      </c>
      <c r="P99" s="38" t="str">
        <f>VLOOKUP(dataset_A!C99,$Q$2:$R$5,2,0)</f>
        <v>Spring</v>
      </c>
      <c r="S99" s="38" t="str">
        <f t="array" ref="S99">INDEX($R$2:$R$5,MATCH(dataset_A!C99,$Q$2:$Q$5,0))</f>
        <v>Spring</v>
      </c>
      <c r="T99" s="38" t="str">
        <f t="shared" si="4"/>
        <v>Match</v>
      </c>
    </row>
    <row r="100" ht="12.75" customHeight="1">
      <c r="A100" s="38">
        <f>dataset_A!A100</f>
        <v>111</v>
      </c>
      <c r="B100" s="39">
        <f>dataset_A!B100</f>
        <v>40548</v>
      </c>
      <c r="C100" s="38">
        <f>dataset_A!F100</f>
        <v>19</v>
      </c>
      <c r="D100" s="38">
        <f>dataset_A!H100</f>
        <v>3</v>
      </c>
      <c r="E100" s="38" t="b">
        <f>dataset_A!G100</f>
        <v>0</v>
      </c>
      <c r="F100" s="38" t="b">
        <f>dataset_A!G100</f>
        <v>0</v>
      </c>
      <c r="G100" s="38" t="str">
        <f t="shared" si="1"/>
        <v>Weekday</v>
      </c>
      <c r="H100" s="38" t="str">
        <f t="shared" si="2"/>
        <v>Evening</v>
      </c>
      <c r="I100" s="38" t="str">
        <f>IF(dataset_A!C100=1,"Spring",IF(dataset_A!C100=2,"Summer",IF(dataset_A!C100=3,"Fail","Winter")))</f>
        <v>Spring</v>
      </c>
      <c r="J100" s="38" t="str">
        <f>IF(dataset_A!I100=1,"Clear",IF(dataset_A!I100,"Mist/Cloudy",IF(dataset_A!I100=3,"Light Rain/Snow","Heavy Rain/Snow")))</f>
        <v>Clear</v>
      </c>
      <c r="K100" s="38">
        <f>dataset_A!N100</f>
        <v>5</v>
      </c>
      <c r="L100" s="38">
        <f>dataset_A!O100</f>
        <v>127</v>
      </c>
      <c r="M100" s="38">
        <f>dataset_A!P100</f>
        <v>132</v>
      </c>
      <c r="N100" s="38" t="str">
        <f t="shared" si="3"/>
        <v>Ok</v>
      </c>
      <c r="O100" s="38" t="str">
        <f>IF(M100&gt;Analysis!$B$3*1.5,"High",IF(M100&lt;Analysis!$B$3*0.5,"Low","Medium"))</f>
        <v>High</v>
      </c>
      <c r="P100" s="38" t="str">
        <f>VLOOKUP(dataset_A!C100,$Q$2:$R$5,2,0)</f>
        <v>Spring</v>
      </c>
      <c r="S100" s="38" t="str">
        <f t="array" ref="S100">INDEX($R$2:$R$5,MATCH(dataset_A!C100,$Q$2:$Q$5,0))</f>
        <v>Spring</v>
      </c>
      <c r="T100" s="38" t="str">
        <f t="shared" si="4"/>
        <v>Match</v>
      </c>
    </row>
    <row r="101" ht="12.75" customHeight="1">
      <c r="A101" s="38">
        <f>dataset_A!A101</f>
        <v>241</v>
      </c>
      <c r="B101" s="39">
        <f>dataset_A!B101</f>
        <v>40554</v>
      </c>
      <c r="C101" s="38">
        <f>dataset_A!F101</f>
        <v>9</v>
      </c>
      <c r="D101" s="38">
        <f>dataset_A!H101</f>
        <v>2</v>
      </c>
      <c r="E101" s="38" t="b">
        <f>dataset_A!G101</f>
        <v>0</v>
      </c>
      <c r="F101" s="38" t="b">
        <f>dataset_A!G101</f>
        <v>0</v>
      </c>
      <c r="G101" s="38" t="str">
        <f t="shared" si="1"/>
        <v>Weekday</v>
      </c>
      <c r="H101" s="38" t="str">
        <f t="shared" si="2"/>
        <v>Morning</v>
      </c>
      <c r="I101" s="38" t="str">
        <f>IF(dataset_A!C101=1,"Spring",IF(dataset_A!C101=2,"Summer",IF(dataset_A!C101=3,"Fail","Winter")))</f>
        <v>Spring</v>
      </c>
      <c r="J101" s="38" t="str">
        <f>IF(dataset_A!I101=1,"Clear",IF(dataset_A!I101,"Mist/Cloudy",IF(dataset_A!I101=3,"Light Rain/Snow","Heavy Rain/Snow")))</f>
        <v>Mist/Cloudy</v>
      </c>
      <c r="K101" s="38">
        <f>dataset_A!N101</f>
        <v>3</v>
      </c>
      <c r="L101" s="38">
        <f>dataset_A!O101</f>
        <v>127</v>
      </c>
      <c r="M101" s="38">
        <f>dataset_A!P101</f>
        <v>130</v>
      </c>
      <c r="N101" s="38" t="str">
        <f t="shared" si="3"/>
        <v>Ok</v>
      </c>
      <c r="O101" s="38" t="str">
        <f>IF(M101&gt;Analysis!$B$3*1.5,"High",IF(M101&lt;Analysis!$B$3*0.5,"Low","Medium"))</f>
        <v>High</v>
      </c>
      <c r="P101" s="38" t="str">
        <f>VLOOKUP(dataset_A!C101,$Q$2:$R$5,2,0)</f>
        <v>Spring</v>
      </c>
      <c r="S101" s="38" t="str">
        <f t="array" ref="S101">INDEX($R$2:$R$5,MATCH(dataset_A!C101,$Q$2:$Q$5,0))</f>
        <v>Spring</v>
      </c>
      <c r="T101" s="38" t="str">
        <f t="shared" si="4"/>
        <v>Match</v>
      </c>
    </row>
    <row r="102" ht="12.75" customHeight="1">
      <c r="A102" s="38">
        <f>dataset_A!A102</f>
        <v>340</v>
      </c>
      <c r="B102" s="39">
        <f>dataset_A!B102</f>
        <v>40558</v>
      </c>
      <c r="C102" s="38">
        <f>dataset_A!F102</f>
        <v>15</v>
      </c>
      <c r="D102" s="38">
        <f>dataset_A!H102</f>
        <v>6</v>
      </c>
      <c r="E102" s="38" t="b">
        <f>dataset_A!G102</f>
        <v>0</v>
      </c>
      <c r="F102" s="38" t="b">
        <f>dataset_A!G102</f>
        <v>0</v>
      </c>
      <c r="G102" s="38" t="str">
        <f t="shared" si="1"/>
        <v>Weekend</v>
      </c>
      <c r="H102" s="38" t="str">
        <f t="shared" si="2"/>
        <v>Afternoon</v>
      </c>
      <c r="I102" s="38" t="str">
        <f>IF(dataset_A!C102=1,"Spring",IF(dataset_A!C102=2,"Summer",IF(dataset_A!C102=3,"Fail","Winter")))</f>
        <v>Spring</v>
      </c>
      <c r="J102" s="38" t="str">
        <f>IF(dataset_A!I102=1,"Clear",IF(dataset_A!I102,"Mist/Cloudy",IF(dataset_A!I102=3,"Light Rain/Snow","Heavy Rain/Snow")))</f>
        <v>Mist/Cloudy</v>
      </c>
      <c r="K102" s="38">
        <f>dataset_A!N102</f>
        <v>21</v>
      </c>
      <c r="L102" s="38">
        <f>dataset_A!O102</f>
        <v>108</v>
      </c>
      <c r="M102" s="38">
        <f>dataset_A!P102</f>
        <v>129</v>
      </c>
      <c r="N102" s="38" t="str">
        <f t="shared" si="3"/>
        <v>Ok</v>
      </c>
      <c r="O102" s="38" t="str">
        <f>IF(M102&gt;Analysis!$B$3*1.5,"High",IF(M102&lt;Analysis!$B$3*0.5,"Low","Medium"))</f>
        <v>High</v>
      </c>
      <c r="P102" s="38" t="str">
        <f>VLOOKUP(dataset_A!C102,$Q$2:$R$5,2,0)</f>
        <v>Spring</v>
      </c>
      <c r="S102" s="38" t="str">
        <f t="array" ref="S102">INDEX($R$2:$R$5,MATCH(dataset_A!C102,$Q$2:$Q$5,0))</f>
        <v>Spring</v>
      </c>
      <c r="T102" s="38" t="str">
        <f t="shared" si="4"/>
        <v>Match</v>
      </c>
    </row>
    <row r="103" ht="12.75" customHeight="1">
      <c r="A103" s="38">
        <f>dataset_A!A103</f>
        <v>262</v>
      </c>
      <c r="B103" s="39">
        <f>dataset_A!B103</f>
        <v>40555</v>
      </c>
      <c r="C103" s="38">
        <f>dataset_A!F103</f>
        <v>8</v>
      </c>
      <c r="D103" s="38">
        <f>dataset_A!H103</f>
        <v>3</v>
      </c>
      <c r="E103" s="38" t="b">
        <f>dataset_A!G103</f>
        <v>0</v>
      </c>
      <c r="F103" s="38" t="b">
        <f>dataset_A!G103</f>
        <v>0</v>
      </c>
      <c r="G103" s="38" t="str">
        <f t="shared" si="1"/>
        <v>Weekday</v>
      </c>
      <c r="H103" s="38" t="str">
        <f t="shared" si="2"/>
        <v>Morning</v>
      </c>
      <c r="I103" s="38" t="str">
        <f>IF(dataset_A!C103=1,"Spring",IF(dataset_A!C103=2,"Summer",IF(dataset_A!C103=3,"Fail","Winter")))</f>
        <v>Spring</v>
      </c>
      <c r="J103" s="38" t="str">
        <f>IF(dataset_A!I103=1,"Clear",IF(dataset_A!I103,"Mist/Cloudy",IF(dataset_A!I103=3,"Light Rain/Snow","Heavy Rain/Snow")))</f>
        <v>Clear</v>
      </c>
      <c r="K103" s="38">
        <f>dataset_A!N103</f>
        <v>3</v>
      </c>
      <c r="L103" s="38">
        <f>dataset_A!O103</f>
        <v>125</v>
      </c>
      <c r="M103" s="38">
        <f>dataset_A!P103</f>
        <v>128</v>
      </c>
      <c r="N103" s="38" t="str">
        <f t="shared" si="3"/>
        <v>Ok</v>
      </c>
      <c r="O103" s="38" t="str">
        <f>IF(M103&gt;Analysis!$B$3*1.5,"High",IF(M103&lt;Analysis!$B$3*0.5,"Low","Medium"))</f>
        <v>High</v>
      </c>
      <c r="P103" s="38" t="str">
        <f>VLOOKUP(dataset_A!C103,$Q$2:$R$5,2,0)</f>
        <v>Spring</v>
      </c>
      <c r="S103" s="38" t="str">
        <f t="array" ref="S103">INDEX($R$2:$R$5,MATCH(dataset_A!C103,$Q$2:$Q$5,0))</f>
        <v>Spring</v>
      </c>
      <c r="T103" s="38" t="str">
        <f t="shared" si="4"/>
        <v>Match</v>
      </c>
    </row>
    <row r="104" ht="12.75" customHeight="1">
      <c r="A104" s="38">
        <f>dataset_A!A104</f>
        <v>341</v>
      </c>
      <c r="B104" s="39">
        <f>dataset_A!B104</f>
        <v>40558</v>
      </c>
      <c r="C104" s="38">
        <f>dataset_A!F104</f>
        <v>16</v>
      </c>
      <c r="D104" s="38">
        <f>dataset_A!H104</f>
        <v>6</v>
      </c>
      <c r="E104" s="38" t="b">
        <f>dataset_A!G104</f>
        <v>0</v>
      </c>
      <c r="F104" s="38" t="b">
        <f>dataset_A!G104</f>
        <v>0</v>
      </c>
      <c r="G104" s="38" t="str">
        <f t="shared" si="1"/>
        <v>Weekend</v>
      </c>
      <c r="H104" s="38" t="str">
        <f t="shared" si="2"/>
        <v>Afternoon</v>
      </c>
      <c r="I104" s="38" t="str">
        <f>IF(dataset_A!C104=1,"Spring",IF(dataset_A!C104=2,"Summer",IF(dataset_A!C104=3,"Fail","Winter")))</f>
        <v>Spring</v>
      </c>
      <c r="J104" s="38" t="str">
        <f>IF(dataset_A!I104=1,"Clear",IF(dataset_A!I104,"Mist/Cloudy",IF(dataset_A!I104=3,"Light Rain/Snow","Heavy Rain/Snow")))</f>
        <v>Mist/Cloudy</v>
      </c>
      <c r="K104" s="38">
        <f>dataset_A!N104</f>
        <v>33</v>
      </c>
      <c r="L104" s="38">
        <f>dataset_A!O104</f>
        <v>95</v>
      </c>
      <c r="M104" s="38">
        <f>dataset_A!P104</f>
        <v>128</v>
      </c>
      <c r="N104" s="38" t="str">
        <f t="shared" si="3"/>
        <v>Ok</v>
      </c>
      <c r="O104" s="38" t="str">
        <f>IF(M104&gt;Analysis!$B$3*1.5,"High",IF(M104&lt;Analysis!$B$3*0.5,"Low","Medium"))</f>
        <v>High</v>
      </c>
      <c r="P104" s="38" t="str">
        <f>VLOOKUP(dataset_A!C104,$Q$2:$R$5,2,0)</f>
        <v>Spring</v>
      </c>
      <c r="S104" s="38" t="str">
        <f t="array" ref="S104">INDEX($R$2:$R$5,MATCH(dataset_A!C104,$Q$2:$Q$5,0))</f>
        <v>Spring</v>
      </c>
      <c r="T104" s="38" t="str">
        <f t="shared" si="4"/>
        <v>Match</v>
      </c>
    </row>
    <row r="105" ht="12.75" customHeight="1">
      <c r="A105" s="38">
        <f>dataset_A!A105</f>
        <v>849</v>
      </c>
      <c r="B105" s="39">
        <f>dataset_A!B105</f>
        <v>40581</v>
      </c>
      <c r="C105" s="38">
        <f>dataset_A!F105</f>
        <v>19</v>
      </c>
      <c r="D105" s="38">
        <f>dataset_A!H105</f>
        <v>1</v>
      </c>
      <c r="E105" s="38" t="b">
        <f>dataset_A!G105</f>
        <v>0</v>
      </c>
      <c r="F105" s="38" t="b">
        <f>dataset_A!G105</f>
        <v>0</v>
      </c>
      <c r="G105" s="38" t="str">
        <f t="shared" si="1"/>
        <v>Weekday</v>
      </c>
      <c r="H105" s="38" t="str">
        <f t="shared" si="2"/>
        <v>Evening</v>
      </c>
      <c r="I105" s="38" t="str">
        <f>IF(dataset_A!C105=1,"Spring",IF(dataset_A!C105=2,"Summer",IF(dataset_A!C105=3,"Fail","Winter")))</f>
        <v>Spring</v>
      </c>
      <c r="J105" s="38" t="str">
        <f>IF(dataset_A!I105=1,"Clear",IF(dataset_A!I105,"Mist/Cloudy",IF(dataset_A!I105=3,"Light Rain/Snow","Heavy Rain/Snow")))</f>
        <v>Mist/Cloudy</v>
      </c>
      <c r="K105" s="38">
        <f>dataset_A!N105</f>
        <v>5</v>
      </c>
      <c r="L105" s="38">
        <f>dataset_A!O105</f>
        <v>123</v>
      </c>
      <c r="M105" s="38">
        <f>dataset_A!P105</f>
        <v>128</v>
      </c>
      <c r="N105" s="38" t="str">
        <f t="shared" si="3"/>
        <v>Ok</v>
      </c>
      <c r="O105" s="38" t="str">
        <f>IF(M105&gt;Analysis!$B$3*1.5,"High",IF(M105&lt;Analysis!$B$3*0.5,"Low","Medium"))</f>
        <v>High</v>
      </c>
      <c r="P105" s="38" t="str">
        <f>VLOOKUP(dataset_A!C105,$Q$2:$R$5,2,0)</f>
        <v>Spring</v>
      </c>
      <c r="S105" s="38" t="str">
        <f t="array" ref="S105">INDEX($R$2:$R$5,MATCH(dataset_A!C105,$Q$2:$Q$5,0))</f>
        <v>Spring</v>
      </c>
      <c r="T105" s="38" t="str">
        <f t="shared" si="4"/>
        <v>Match</v>
      </c>
    </row>
    <row r="106" ht="12.75" customHeight="1">
      <c r="A106" s="38">
        <f>dataset_A!A106</f>
        <v>767</v>
      </c>
      <c r="B106" s="39">
        <f>dataset_A!B106</f>
        <v>40578</v>
      </c>
      <c r="C106" s="38">
        <f>dataset_A!F106</f>
        <v>9</v>
      </c>
      <c r="D106" s="38">
        <f>dataset_A!H106</f>
        <v>5</v>
      </c>
      <c r="E106" s="38" t="b">
        <f>dataset_A!G106</f>
        <v>0</v>
      </c>
      <c r="F106" s="38" t="b">
        <f>dataset_A!G106</f>
        <v>0</v>
      </c>
      <c r="G106" s="38" t="str">
        <f t="shared" si="1"/>
        <v>Weekday</v>
      </c>
      <c r="H106" s="38" t="str">
        <f t="shared" si="2"/>
        <v>Morning</v>
      </c>
      <c r="I106" s="38" t="str">
        <f>IF(dataset_A!C106=1,"Spring",IF(dataset_A!C106=2,"Summer",IF(dataset_A!C106=3,"Fail","Winter")))</f>
        <v>Spring</v>
      </c>
      <c r="J106" s="38" t="str">
        <f>IF(dataset_A!I106=1,"Clear",IF(dataset_A!I106,"Mist/Cloudy",IF(dataset_A!I106=3,"Light Rain/Snow","Heavy Rain/Snow")))</f>
        <v>Mist/Cloudy</v>
      </c>
      <c r="K106" s="38">
        <f>dataset_A!N106</f>
        <v>3</v>
      </c>
      <c r="L106" s="38">
        <f>dataset_A!O106</f>
        <v>124</v>
      </c>
      <c r="M106" s="38">
        <f>dataset_A!P106</f>
        <v>127</v>
      </c>
      <c r="N106" s="38" t="str">
        <f t="shared" si="3"/>
        <v>Ok</v>
      </c>
      <c r="O106" s="38" t="str">
        <f>IF(M106&gt;Analysis!$B$3*1.5,"High",IF(M106&lt;Analysis!$B$3*0.5,"Low","Medium"))</f>
        <v>High</v>
      </c>
      <c r="P106" s="38" t="str">
        <f>VLOOKUP(dataset_A!C106,$Q$2:$R$5,2,0)</f>
        <v>Spring</v>
      </c>
      <c r="S106" s="38" t="str">
        <f t="array" ref="S106">INDEX($R$2:$R$5,MATCH(dataset_A!C106,$Q$2:$Q$5,0))</f>
        <v>Spring</v>
      </c>
      <c r="T106" s="38" t="str">
        <f t="shared" si="4"/>
        <v>Match</v>
      </c>
    </row>
    <row r="107" ht="12.75" customHeight="1">
      <c r="A107" s="38">
        <f>dataset_A!A107</f>
        <v>452</v>
      </c>
      <c r="B107" s="39">
        <f>dataset_A!B107</f>
        <v>40563</v>
      </c>
      <c r="C107" s="38">
        <f>dataset_A!F107</f>
        <v>20</v>
      </c>
      <c r="D107" s="38">
        <f>dataset_A!H107</f>
        <v>4</v>
      </c>
      <c r="E107" s="38" t="b">
        <f>dataset_A!G107</f>
        <v>0</v>
      </c>
      <c r="F107" s="38" t="b">
        <f>dataset_A!G107</f>
        <v>0</v>
      </c>
      <c r="G107" s="38" t="str">
        <f t="shared" si="1"/>
        <v>Weekday</v>
      </c>
      <c r="H107" s="38" t="str">
        <f t="shared" si="2"/>
        <v>Evening</v>
      </c>
      <c r="I107" s="38" t="str">
        <f>IF(dataset_A!C107=1,"Spring",IF(dataset_A!C107=2,"Summer",IF(dataset_A!C107=3,"Fail","Winter")))</f>
        <v>Spring</v>
      </c>
      <c r="J107" s="38" t="str">
        <f>IF(dataset_A!I107=1,"Clear",IF(dataset_A!I107,"Mist/Cloudy",IF(dataset_A!I107=3,"Light Rain/Snow","Heavy Rain/Snow")))</f>
        <v>Mist/Cloudy</v>
      </c>
      <c r="K107" s="38">
        <f>dataset_A!N107</f>
        <v>2</v>
      </c>
      <c r="L107" s="38">
        <f>dataset_A!O107</f>
        <v>124</v>
      </c>
      <c r="M107" s="38">
        <f>dataset_A!P107</f>
        <v>126</v>
      </c>
      <c r="N107" s="38" t="str">
        <f t="shared" si="3"/>
        <v>Ok</v>
      </c>
      <c r="O107" s="38" t="str">
        <f>IF(M107&gt;Analysis!$B$3*1.5,"High",IF(M107&lt;Analysis!$B$3*0.5,"Low","Medium"))</f>
        <v>High</v>
      </c>
      <c r="P107" s="38" t="str">
        <f>VLOOKUP(dataset_A!C107,$Q$2:$R$5,2,0)</f>
        <v>Spring</v>
      </c>
      <c r="S107" s="38" t="str">
        <f t="array" ref="S107">INDEX($R$2:$R$5,MATCH(dataset_A!C107,$Q$2:$Q$5,0))</f>
        <v>Spring</v>
      </c>
      <c r="T107" s="38" t="str">
        <f t="shared" si="4"/>
        <v>Match</v>
      </c>
    </row>
    <row r="108" ht="12.75" customHeight="1">
      <c r="A108" s="38">
        <f>dataset_A!A108</f>
        <v>402</v>
      </c>
      <c r="B108" s="39">
        <f>dataset_A!B108</f>
        <v>40561</v>
      </c>
      <c r="C108" s="38">
        <f>dataset_A!F108</f>
        <v>17</v>
      </c>
      <c r="D108" s="38">
        <f>dataset_A!H108</f>
        <v>2</v>
      </c>
      <c r="E108" s="38" t="b">
        <f>dataset_A!G108</f>
        <v>0</v>
      </c>
      <c r="F108" s="38" t="b">
        <f>dataset_A!G108</f>
        <v>0</v>
      </c>
      <c r="G108" s="38" t="str">
        <f t="shared" si="1"/>
        <v>Weekday</v>
      </c>
      <c r="H108" s="38" t="str">
        <f t="shared" si="2"/>
        <v>Afternoon</v>
      </c>
      <c r="I108" s="38" t="str">
        <f>IF(dataset_A!C108=1,"Spring",IF(dataset_A!C108=2,"Summer",IF(dataset_A!C108=3,"Fail","Winter")))</f>
        <v>Spring</v>
      </c>
      <c r="J108" s="38" t="str">
        <f>IF(dataset_A!I108=1,"Clear",IF(dataset_A!I108,"Mist/Cloudy",IF(dataset_A!I108=3,"Light Rain/Snow","Heavy Rain/Snow")))</f>
        <v>Mist/Cloudy</v>
      </c>
      <c r="K108" s="38">
        <f>dataset_A!N108</f>
        <v>1</v>
      </c>
      <c r="L108" s="38">
        <f>dataset_A!O108</f>
        <v>124</v>
      </c>
      <c r="M108" s="38">
        <f>dataset_A!P108</f>
        <v>125</v>
      </c>
      <c r="N108" s="38" t="str">
        <f t="shared" si="3"/>
        <v>Ok</v>
      </c>
      <c r="O108" s="38" t="str">
        <f>IF(M108&gt;Analysis!$B$3*1.5,"High",IF(M108&lt;Analysis!$B$3*0.5,"Low","Medium"))</f>
        <v>High</v>
      </c>
      <c r="P108" s="38" t="str">
        <f>VLOOKUP(dataset_A!C108,$Q$2:$R$5,2,0)</f>
        <v>Spring</v>
      </c>
      <c r="S108" s="38" t="str">
        <f t="array" ref="S108">INDEX($R$2:$R$5,MATCH(dataset_A!C108,$Q$2:$Q$5,0))</f>
        <v>Spring</v>
      </c>
      <c r="T108" s="38" t="str">
        <f t="shared" si="4"/>
        <v>Match</v>
      </c>
    </row>
    <row r="109" ht="12.75" customHeight="1">
      <c r="A109" s="38">
        <f>dataset_A!A109</f>
        <v>938</v>
      </c>
      <c r="B109" s="39">
        <f>dataset_A!B109</f>
        <v>40585</v>
      </c>
      <c r="C109" s="38">
        <f>dataset_A!F109</f>
        <v>16</v>
      </c>
      <c r="D109" s="38">
        <f>dataset_A!H109</f>
        <v>5</v>
      </c>
      <c r="E109" s="38" t="b">
        <f>dataset_A!G109</f>
        <v>0</v>
      </c>
      <c r="F109" s="38" t="b">
        <f>dataset_A!G109</f>
        <v>0</v>
      </c>
      <c r="G109" s="38" t="str">
        <f t="shared" si="1"/>
        <v>Weekday</v>
      </c>
      <c r="H109" s="38" t="str">
        <f t="shared" si="2"/>
        <v>Afternoon</v>
      </c>
      <c r="I109" s="38" t="str">
        <f>IF(dataset_A!C109=1,"Spring",IF(dataset_A!C109=2,"Summer",IF(dataset_A!C109=3,"Fail","Winter")))</f>
        <v>Spring</v>
      </c>
      <c r="J109" s="38" t="str">
        <f>IF(dataset_A!I109=1,"Clear",IF(dataset_A!I109,"Mist/Cloudy",IF(dataset_A!I109=3,"Light Rain/Snow","Heavy Rain/Snow")))</f>
        <v>Clear</v>
      </c>
      <c r="K109" s="38">
        <f>dataset_A!N109</f>
        <v>14</v>
      </c>
      <c r="L109" s="38">
        <f>dataset_A!O109</f>
        <v>111</v>
      </c>
      <c r="M109" s="38">
        <f>dataset_A!P109</f>
        <v>125</v>
      </c>
      <c r="N109" s="38" t="str">
        <f t="shared" si="3"/>
        <v>Ok</v>
      </c>
      <c r="O109" s="38" t="str">
        <f>IF(M109&gt;Analysis!$B$3*1.5,"High",IF(M109&lt;Analysis!$B$3*0.5,"Low","Medium"))</f>
        <v>High</v>
      </c>
      <c r="P109" s="38" t="str">
        <f>VLOOKUP(dataset_A!C109,$Q$2:$R$5,2,0)</f>
        <v>Spring</v>
      </c>
      <c r="S109" s="38" t="str">
        <f t="array" ref="S109">INDEX($R$2:$R$5,MATCH(dataset_A!C109,$Q$2:$Q$5,0))</f>
        <v>Spring</v>
      </c>
      <c r="T109" s="38" t="str">
        <f t="shared" si="4"/>
        <v>Match</v>
      </c>
    </row>
    <row r="110" ht="12.75" customHeight="1">
      <c r="A110" s="38">
        <f>dataset_A!A110</f>
        <v>986</v>
      </c>
      <c r="B110" s="39">
        <f>dataset_A!B110</f>
        <v>40587</v>
      </c>
      <c r="C110" s="38">
        <f>dataset_A!F110</f>
        <v>17</v>
      </c>
      <c r="D110" s="38">
        <f>dataset_A!H110</f>
        <v>0</v>
      </c>
      <c r="E110" s="38" t="b">
        <f>dataset_A!G110</f>
        <v>0</v>
      </c>
      <c r="F110" s="38" t="b">
        <f>dataset_A!G110</f>
        <v>0</v>
      </c>
      <c r="G110" s="38" t="str">
        <f t="shared" si="1"/>
        <v>Weekend</v>
      </c>
      <c r="H110" s="38" t="str">
        <f t="shared" si="2"/>
        <v>Afternoon</v>
      </c>
      <c r="I110" s="38" t="str">
        <f>IF(dataset_A!C110=1,"Spring",IF(dataset_A!C110=2,"Summer",IF(dataset_A!C110=3,"Fail","Winter")))</f>
        <v>Spring</v>
      </c>
      <c r="J110" s="38" t="str">
        <f>IF(dataset_A!I110=1,"Clear",IF(dataset_A!I110,"Mist/Cloudy",IF(dataset_A!I110=3,"Light Rain/Snow","Heavy Rain/Snow")))</f>
        <v>Clear</v>
      </c>
      <c r="K110" s="38">
        <f>dataset_A!N110</f>
        <v>30</v>
      </c>
      <c r="L110" s="38">
        <f>dataset_A!O110</f>
        <v>95</v>
      </c>
      <c r="M110" s="38">
        <f>dataset_A!P110</f>
        <v>125</v>
      </c>
      <c r="N110" s="38" t="str">
        <f t="shared" si="3"/>
        <v>Ok</v>
      </c>
      <c r="O110" s="38" t="str">
        <f>IF(M110&gt;Analysis!$B$3*1.5,"High",IF(M110&lt;Analysis!$B$3*0.5,"Low","Medium"))</f>
        <v>High</v>
      </c>
      <c r="P110" s="38" t="str">
        <f>VLOOKUP(dataset_A!C110,$Q$2:$R$5,2,0)</f>
        <v>Spring</v>
      </c>
      <c r="S110" s="38" t="str">
        <f t="array" ref="S110">INDEX($R$2:$R$5,MATCH(dataset_A!C110,$Q$2:$Q$5,0))</f>
        <v>Spring</v>
      </c>
      <c r="T110" s="38" t="str">
        <f t="shared" si="4"/>
        <v>Match</v>
      </c>
    </row>
    <row r="111" ht="12.75" customHeight="1">
      <c r="A111" s="38">
        <f>dataset_A!A111</f>
        <v>156</v>
      </c>
      <c r="B111" s="39">
        <f>dataset_A!B111</f>
        <v>40550</v>
      </c>
      <c r="C111" s="38">
        <f>dataset_A!F111</f>
        <v>18</v>
      </c>
      <c r="D111" s="38">
        <f>dataset_A!H111</f>
        <v>5</v>
      </c>
      <c r="E111" s="38" t="b">
        <f>dataset_A!G111</f>
        <v>0</v>
      </c>
      <c r="F111" s="38" t="b">
        <f>dataset_A!G111</f>
        <v>0</v>
      </c>
      <c r="G111" s="38" t="str">
        <f t="shared" si="1"/>
        <v>Weekday</v>
      </c>
      <c r="H111" s="38" t="str">
        <f t="shared" si="2"/>
        <v>Evening</v>
      </c>
      <c r="I111" s="38" t="str">
        <f>IF(dataset_A!C111=1,"Spring",IF(dataset_A!C111=2,"Summer",IF(dataset_A!C111=3,"Fail","Winter")))</f>
        <v>Spring</v>
      </c>
      <c r="J111" s="38" t="str">
        <f>IF(dataset_A!I111=1,"Clear",IF(dataset_A!I111,"Mist/Cloudy",IF(dataset_A!I111=3,"Light Rain/Snow","Heavy Rain/Snow")))</f>
        <v>Clear</v>
      </c>
      <c r="K111" s="38">
        <f>dataset_A!N111</f>
        <v>7</v>
      </c>
      <c r="L111" s="38">
        <f>dataset_A!O111</f>
        <v>116</v>
      </c>
      <c r="M111" s="38">
        <f>dataset_A!P111</f>
        <v>123</v>
      </c>
      <c r="N111" s="38" t="str">
        <f t="shared" si="3"/>
        <v>Ok</v>
      </c>
      <c r="O111" s="38" t="str">
        <f>IF(M111&gt;Analysis!$B$3*1.5,"High",IF(M111&lt;Analysis!$B$3*0.5,"Low","Medium"))</f>
        <v>High</v>
      </c>
      <c r="P111" s="38" t="str">
        <f>VLOOKUP(dataset_A!C111,$Q$2:$R$5,2,0)</f>
        <v>Spring</v>
      </c>
      <c r="S111" s="38" t="str">
        <f t="array" ref="S111">INDEX($R$2:$R$5,MATCH(dataset_A!C111,$Q$2:$Q$5,0))</f>
        <v>Spring</v>
      </c>
      <c r="T111" s="38" t="str">
        <f t="shared" si="4"/>
        <v>Match</v>
      </c>
    </row>
    <row r="112" ht="12.75" customHeight="1">
      <c r="A112" s="38">
        <f>dataset_A!A112</f>
        <v>657</v>
      </c>
      <c r="B112" s="39">
        <f>dataset_A!B112</f>
        <v>40573</v>
      </c>
      <c r="C112" s="38">
        <f>dataset_A!F112</f>
        <v>16</v>
      </c>
      <c r="D112" s="38">
        <f>dataset_A!H112</f>
        <v>0</v>
      </c>
      <c r="E112" s="38" t="b">
        <f>dataset_A!G112</f>
        <v>0</v>
      </c>
      <c r="F112" s="38" t="b">
        <f>dataset_A!G112</f>
        <v>0</v>
      </c>
      <c r="G112" s="38" t="str">
        <f t="shared" si="1"/>
        <v>Weekend</v>
      </c>
      <c r="H112" s="38" t="str">
        <f t="shared" si="2"/>
        <v>Afternoon</v>
      </c>
      <c r="I112" s="38" t="str">
        <f>IF(dataset_A!C112=1,"Spring",IF(dataset_A!C112=2,"Summer",IF(dataset_A!C112=3,"Fail","Winter")))</f>
        <v>Spring</v>
      </c>
      <c r="J112" s="38" t="str">
        <f>IF(dataset_A!I112=1,"Clear",IF(dataset_A!I112,"Mist/Cloudy",IF(dataset_A!I112=3,"Light Rain/Snow","Heavy Rain/Snow")))</f>
        <v>Clear</v>
      </c>
      <c r="K112" s="38">
        <f>dataset_A!N112</f>
        <v>19</v>
      </c>
      <c r="L112" s="38">
        <f>dataset_A!O112</f>
        <v>104</v>
      </c>
      <c r="M112" s="38">
        <f>dataset_A!P112</f>
        <v>123</v>
      </c>
      <c r="N112" s="38" t="str">
        <f t="shared" si="3"/>
        <v>Ok</v>
      </c>
      <c r="O112" s="38" t="str">
        <f>IF(M112&gt;Analysis!$B$3*1.5,"High",IF(M112&lt;Analysis!$B$3*0.5,"Low","Medium"))</f>
        <v>High</v>
      </c>
      <c r="P112" s="38" t="str">
        <f>VLOOKUP(dataset_A!C112,$Q$2:$R$5,2,0)</f>
        <v>Spring</v>
      </c>
      <c r="S112" s="38" t="str">
        <f t="array" ref="S112">INDEX($R$2:$R$5,MATCH(dataset_A!C112,$Q$2:$Q$5,0))</f>
        <v>Spring</v>
      </c>
      <c r="T112" s="38" t="str">
        <f t="shared" si="4"/>
        <v>Match</v>
      </c>
    </row>
    <row r="113" ht="12.75" customHeight="1">
      <c r="A113" s="38">
        <f>dataset_A!A113</f>
        <v>721</v>
      </c>
      <c r="B113" s="39">
        <f>dataset_A!B113</f>
        <v>40576</v>
      </c>
      <c r="C113" s="38">
        <f>dataset_A!F113</f>
        <v>9</v>
      </c>
      <c r="D113" s="38">
        <f>dataset_A!H113</f>
        <v>3</v>
      </c>
      <c r="E113" s="38" t="b">
        <f>dataset_A!G113</f>
        <v>0</v>
      </c>
      <c r="F113" s="38" t="b">
        <f>dataset_A!G113</f>
        <v>0</v>
      </c>
      <c r="G113" s="38" t="str">
        <f t="shared" si="1"/>
        <v>Weekday</v>
      </c>
      <c r="H113" s="38" t="str">
        <f t="shared" si="2"/>
        <v>Morning</v>
      </c>
      <c r="I113" s="38" t="str">
        <f>IF(dataset_A!C113=1,"Spring",IF(dataset_A!C113=2,"Summer",IF(dataset_A!C113=3,"Fail","Winter")))</f>
        <v>Spring</v>
      </c>
      <c r="J113" s="38" t="str">
        <f>IF(dataset_A!I113=1,"Clear",IF(dataset_A!I113,"Mist/Cloudy",IF(dataset_A!I113=3,"Light Rain/Snow","Heavy Rain/Snow")))</f>
        <v>Mist/Cloudy</v>
      </c>
      <c r="K113" s="38">
        <f>dataset_A!N113</f>
        <v>4</v>
      </c>
      <c r="L113" s="38">
        <f>dataset_A!O113</f>
        <v>119</v>
      </c>
      <c r="M113" s="38">
        <f>dataset_A!P113</f>
        <v>123</v>
      </c>
      <c r="N113" s="38" t="str">
        <f t="shared" si="3"/>
        <v>Ok</v>
      </c>
      <c r="O113" s="38" t="str">
        <f>IF(M113&gt;Analysis!$B$3*1.5,"High",IF(M113&lt;Analysis!$B$3*0.5,"Low","Medium"))</f>
        <v>High</v>
      </c>
      <c r="P113" s="38" t="str">
        <f>VLOOKUP(dataset_A!C113,$Q$2:$R$5,2,0)</f>
        <v>Spring</v>
      </c>
      <c r="S113" s="38" t="str">
        <f t="array" ref="S113">INDEX($R$2:$R$5,MATCH(dataset_A!C113,$Q$2:$Q$5,0))</f>
        <v>Spring</v>
      </c>
      <c r="T113" s="38" t="str">
        <f t="shared" si="4"/>
        <v>Match</v>
      </c>
    </row>
    <row r="114" ht="12.75" customHeight="1">
      <c r="A114" s="38">
        <f>dataset_A!A114</f>
        <v>886</v>
      </c>
      <c r="B114" s="39">
        <f>dataset_A!B114</f>
        <v>40583</v>
      </c>
      <c r="C114" s="38">
        <f>dataset_A!F114</f>
        <v>9</v>
      </c>
      <c r="D114" s="38">
        <f>dataset_A!H114</f>
        <v>3</v>
      </c>
      <c r="E114" s="38" t="b">
        <f>dataset_A!G114</f>
        <v>0</v>
      </c>
      <c r="F114" s="38" t="b">
        <f>dataset_A!G114</f>
        <v>0</v>
      </c>
      <c r="G114" s="38" t="str">
        <f t="shared" si="1"/>
        <v>Weekday</v>
      </c>
      <c r="H114" s="38" t="str">
        <f t="shared" si="2"/>
        <v>Morning</v>
      </c>
      <c r="I114" s="38" t="str">
        <f>IF(dataset_A!C114=1,"Spring",IF(dataset_A!C114=2,"Summer",IF(dataset_A!C114=3,"Fail","Winter")))</f>
        <v>Spring</v>
      </c>
      <c r="J114" s="38" t="str">
        <f>IF(dataset_A!I114=1,"Clear",IF(dataset_A!I114,"Mist/Cloudy",IF(dataset_A!I114=3,"Light Rain/Snow","Heavy Rain/Snow")))</f>
        <v>Clear</v>
      </c>
      <c r="K114" s="38">
        <f>dataset_A!N114</f>
        <v>4</v>
      </c>
      <c r="L114" s="38">
        <f>dataset_A!O114</f>
        <v>119</v>
      </c>
      <c r="M114" s="38">
        <f>dataset_A!P114</f>
        <v>123</v>
      </c>
      <c r="N114" s="38" t="str">
        <f t="shared" si="3"/>
        <v>Ok</v>
      </c>
      <c r="O114" s="38" t="str">
        <f>IF(M114&gt;Analysis!$B$3*1.5,"High",IF(M114&lt;Analysis!$B$3*0.5,"Low","Medium"))</f>
        <v>High</v>
      </c>
      <c r="P114" s="38" t="str">
        <f>VLOOKUP(dataset_A!C114,$Q$2:$R$5,2,0)</f>
        <v>Spring</v>
      </c>
      <c r="S114" s="38" t="str">
        <f t="array" ref="S114">INDEX($R$2:$R$5,MATCH(dataset_A!C114,$Q$2:$Q$5,0))</f>
        <v>Spring</v>
      </c>
      <c r="T114" s="38" t="str">
        <f t="shared" si="4"/>
        <v>Match</v>
      </c>
    </row>
    <row r="115" ht="12.75" customHeight="1">
      <c r="A115" s="38">
        <f>dataset_A!A115</f>
        <v>124</v>
      </c>
      <c r="B115" s="39">
        <f>dataset_A!B115</f>
        <v>40549</v>
      </c>
      <c r="C115" s="38">
        <f>dataset_A!F115</f>
        <v>9</v>
      </c>
      <c r="D115" s="38">
        <f>dataset_A!H115</f>
        <v>4</v>
      </c>
      <c r="E115" s="38" t="b">
        <f>dataset_A!G115</f>
        <v>0</v>
      </c>
      <c r="F115" s="38" t="b">
        <f>dataset_A!G115</f>
        <v>0</v>
      </c>
      <c r="G115" s="38" t="str">
        <f t="shared" si="1"/>
        <v>Weekday</v>
      </c>
      <c r="H115" s="38" t="str">
        <f t="shared" si="2"/>
        <v>Morning</v>
      </c>
      <c r="I115" s="38" t="str">
        <f>IF(dataset_A!C115=1,"Spring",IF(dataset_A!C115=2,"Summer",IF(dataset_A!C115=3,"Fail","Winter")))</f>
        <v>Spring</v>
      </c>
      <c r="J115" s="38" t="str">
        <f>IF(dataset_A!I115=1,"Clear",IF(dataset_A!I115,"Mist/Cloudy",IF(dataset_A!I115=3,"Light Rain/Snow","Heavy Rain/Snow")))</f>
        <v>Mist/Cloudy</v>
      </c>
      <c r="K115" s="38">
        <f>dataset_A!N115</f>
        <v>6</v>
      </c>
      <c r="L115" s="38">
        <f>dataset_A!O115</f>
        <v>116</v>
      </c>
      <c r="M115" s="38">
        <f>dataset_A!P115</f>
        <v>122</v>
      </c>
      <c r="N115" s="38" t="str">
        <f t="shared" si="3"/>
        <v>Ok</v>
      </c>
      <c r="O115" s="38" t="str">
        <f>IF(M115&gt;Analysis!$B$3*1.5,"High",IF(M115&lt;Analysis!$B$3*0.5,"Low","Medium"))</f>
        <v>High</v>
      </c>
      <c r="P115" s="38" t="str">
        <f>VLOOKUP(dataset_A!C115,$Q$2:$R$5,2,0)</f>
        <v>Spring</v>
      </c>
      <c r="S115" s="38" t="str">
        <f t="array" ref="S115">INDEX($R$2:$R$5,MATCH(dataset_A!C115,$Q$2:$Q$5,0))</f>
        <v>Spring</v>
      </c>
      <c r="T115" s="38" t="str">
        <f t="shared" si="4"/>
        <v>Match</v>
      </c>
    </row>
    <row r="116" ht="12.75" customHeight="1">
      <c r="A116" s="38">
        <f>dataset_A!A116</f>
        <v>655</v>
      </c>
      <c r="B116" s="39">
        <f>dataset_A!B116</f>
        <v>40573</v>
      </c>
      <c r="C116" s="38">
        <f>dataset_A!F116</f>
        <v>14</v>
      </c>
      <c r="D116" s="38">
        <f>dataset_A!H116</f>
        <v>0</v>
      </c>
      <c r="E116" s="38" t="b">
        <f>dataset_A!G116</f>
        <v>0</v>
      </c>
      <c r="F116" s="38" t="b">
        <f>dataset_A!G116</f>
        <v>0</v>
      </c>
      <c r="G116" s="38" t="str">
        <f t="shared" si="1"/>
        <v>Weekend</v>
      </c>
      <c r="H116" s="38" t="str">
        <f t="shared" si="2"/>
        <v>Afternoon</v>
      </c>
      <c r="I116" s="38" t="str">
        <f>IF(dataset_A!C116=1,"Spring",IF(dataset_A!C116=2,"Summer",IF(dataset_A!C116=3,"Fail","Winter")))</f>
        <v>Spring</v>
      </c>
      <c r="J116" s="38" t="str">
        <f>IF(dataset_A!I116=1,"Clear",IF(dataset_A!I116,"Mist/Cloudy",IF(dataset_A!I116=3,"Light Rain/Snow","Heavy Rain/Snow")))</f>
        <v>Clear</v>
      </c>
      <c r="K116" s="38">
        <f>dataset_A!N116</f>
        <v>18</v>
      </c>
      <c r="L116" s="38">
        <f>dataset_A!O116</f>
        <v>104</v>
      </c>
      <c r="M116" s="38">
        <f>dataset_A!P116</f>
        <v>122</v>
      </c>
      <c r="N116" s="38" t="str">
        <f t="shared" si="3"/>
        <v>Ok</v>
      </c>
      <c r="O116" s="38" t="str">
        <f>IF(M116&gt;Analysis!$B$3*1.5,"High",IF(M116&lt;Analysis!$B$3*0.5,"Low","Medium"))</f>
        <v>High</v>
      </c>
      <c r="P116" s="38" t="str">
        <f>VLOOKUP(dataset_A!C116,$Q$2:$R$5,2,0)</f>
        <v>Spring</v>
      </c>
      <c r="S116" s="38" t="str">
        <f t="array" ref="S116">INDEX($R$2:$R$5,MATCH(dataset_A!C116,$Q$2:$Q$5,0))</f>
        <v>Spring</v>
      </c>
      <c r="T116" s="38" t="str">
        <f t="shared" si="4"/>
        <v>Match</v>
      </c>
    </row>
    <row r="117" ht="12.75" customHeight="1">
      <c r="A117" s="38">
        <f>dataset_A!A117</f>
        <v>909</v>
      </c>
      <c r="B117" s="39">
        <f>dataset_A!B117</f>
        <v>40584</v>
      </c>
      <c r="C117" s="38">
        <f>dataset_A!F117</f>
        <v>9</v>
      </c>
      <c r="D117" s="38">
        <f>dataset_A!H117</f>
        <v>4</v>
      </c>
      <c r="E117" s="38" t="b">
        <f>dataset_A!G117</f>
        <v>0</v>
      </c>
      <c r="F117" s="38" t="b">
        <f>dataset_A!G117</f>
        <v>0</v>
      </c>
      <c r="G117" s="38" t="str">
        <f t="shared" si="1"/>
        <v>Weekday</v>
      </c>
      <c r="H117" s="38" t="str">
        <f t="shared" si="2"/>
        <v>Morning</v>
      </c>
      <c r="I117" s="38" t="str">
        <f>IF(dataset_A!C117=1,"Spring",IF(dataset_A!C117=2,"Summer",IF(dataset_A!C117=3,"Fail","Winter")))</f>
        <v>Spring</v>
      </c>
      <c r="J117" s="38" t="str">
        <f>IF(dataset_A!I117=1,"Clear",IF(dataset_A!I117,"Mist/Cloudy",IF(dataset_A!I117=3,"Light Rain/Snow","Heavy Rain/Snow")))</f>
        <v>Clear</v>
      </c>
      <c r="K117" s="38">
        <f>dataset_A!N117</f>
        <v>1</v>
      </c>
      <c r="L117" s="38">
        <f>dataset_A!O117</f>
        <v>121</v>
      </c>
      <c r="M117" s="38">
        <f>dataset_A!P117</f>
        <v>122</v>
      </c>
      <c r="N117" s="38" t="str">
        <f t="shared" si="3"/>
        <v>Ok</v>
      </c>
      <c r="O117" s="38" t="str">
        <f>IF(M117&gt;Analysis!$B$3*1.5,"High",IF(M117&lt;Analysis!$B$3*0.5,"Low","Medium"))</f>
        <v>High</v>
      </c>
      <c r="P117" s="38" t="str">
        <f>VLOOKUP(dataset_A!C117,$Q$2:$R$5,2,0)</f>
        <v>Spring</v>
      </c>
      <c r="S117" s="38" t="str">
        <f t="array" ref="S117">INDEX($R$2:$R$5,MATCH(dataset_A!C117,$Q$2:$Q$5,0))</f>
        <v>Spring</v>
      </c>
      <c r="T117" s="38" t="str">
        <f t="shared" si="4"/>
        <v>Match</v>
      </c>
    </row>
    <row r="118" ht="12.75" customHeight="1">
      <c r="A118" s="38">
        <f>dataset_A!A118</f>
        <v>823</v>
      </c>
      <c r="B118" s="39">
        <f>dataset_A!B118</f>
        <v>40580</v>
      </c>
      <c r="C118" s="38">
        <f>dataset_A!F118</f>
        <v>17</v>
      </c>
      <c r="D118" s="38">
        <f>dataset_A!H118</f>
        <v>0</v>
      </c>
      <c r="E118" s="38" t="b">
        <f>dataset_A!G118</f>
        <v>0</v>
      </c>
      <c r="F118" s="38" t="b">
        <f>dataset_A!G118</f>
        <v>0</v>
      </c>
      <c r="G118" s="38" t="str">
        <f t="shared" si="1"/>
        <v>Weekend</v>
      </c>
      <c r="H118" s="38" t="str">
        <f t="shared" si="2"/>
        <v>Afternoon</v>
      </c>
      <c r="I118" s="38" t="str">
        <f>IF(dataset_A!C118=1,"Spring",IF(dataset_A!C118=2,"Summer",IF(dataset_A!C118=3,"Fail","Winter")))</f>
        <v>Spring</v>
      </c>
      <c r="J118" s="38" t="str">
        <f>IF(dataset_A!I118=1,"Clear",IF(dataset_A!I118,"Mist/Cloudy",IF(dataset_A!I118=3,"Light Rain/Snow","Heavy Rain/Snow")))</f>
        <v>Clear</v>
      </c>
      <c r="K118" s="38">
        <f>dataset_A!N118</f>
        <v>24</v>
      </c>
      <c r="L118" s="38">
        <f>dataset_A!O118</f>
        <v>97</v>
      </c>
      <c r="M118" s="38">
        <f>dataset_A!P118</f>
        <v>121</v>
      </c>
      <c r="N118" s="38" t="str">
        <f t="shared" si="3"/>
        <v>Ok</v>
      </c>
      <c r="O118" s="38" t="str">
        <f>IF(M118&gt;Analysis!$B$3*1.5,"High",IF(M118&lt;Analysis!$B$3*0.5,"Low","Medium"))</f>
        <v>High</v>
      </c>
      <c r="P118" s="38" t="str">
        <f>VLOOKUP(dataset_A!C118,$Q$2:$R$5,2,0)</f>
        <v>Spring</v>
      </c>
      <c r="S118" s="38" t="str">
        <f t="array" ref="S118">INDEX($R$2:$R$5,MATCH(dataset_A!C118,$Q$2:$Q$5,0))</f>
        <v>Spring</v>
      </c>
      <c r="T118" s="38" t="str">
        <f t="shared" si="4"/>
        <v>Match</v>
      </c>
    </row>
    <row r="119" ht="12.75" customHeight="1">
      <c r="A119" s="38">
        <f>dataset_A!A119</f>
        <v>474</v>
      </c>
      <c r="B119" s="39">
        <f>dataset_A!B119</f>
        <v>40564</v>
      </c>
      <c r="C119" s="38">
        <f>dataset_A!F119</f>
        <v>18</v>
      </c>
      <c r="D119" s="38">
        <f>dataset_A!H119</f>
        <v>5</v>
      </c>
      <c r="E119" s="38" t="b">
        <f>dataset_A!G119</f>
        <v>0</v>
      </c>
      <c r="F119" s="38" t="b">
        <f>dataset_A!G119</f>
        <v>0</v>
      </c>
      <c r="G119" s="38" t="str">
        <f t="shared" si="1"/>
        <v>Weekday</v>
      </c>
      <c r="H119" s="38" t="str">
        <f t="shared" si="2"/>
        <v>Evening</v>
      </c>
      <c r="I119" s="38" t="str">
        <f>IF(dataset_A!C119=1,"Spring",IF(dataset_A!C119=2,"Summer",IF(dataset_A!C119=3,"Fail","Winter")))</f>
        <v>Spring</v>
      </c>
      <c r="J119" s="38" t="str">
        <f>IF(dataset_A!I119=1,"Clear",IF(dataset_A!I119,"Mist/Cloudy",IF(dataset_A!I119=3,"Light Rain/Snow","Heavy Rain/Snow")))</f>
        <v>Clear</v>
      </c>
      <c r="K119" s="38">
        <f>dataset_A!N119</f>
        <v>1</v>
      </c>
      <c r="L119" s="38">
        <f>dataset_A!O119</f>
        <v>119</v>
      </c>
      <c r="M119" s="38">
        <f>dataset_A!P119</f>
        <v>120</v>
      </c>
      <c r="N119" s="38" t="str">
        <f t="shared" si="3"/>
        <v>Ok</v>
      </c>
      <c r="O119" s="38" t="str">
        <f>IF(M119&gt;Analysis!$B$3*1.5,"High",IF(M119&lt;Analysis!$B$3*0.5,"Low","Medium"))</f>
        <v>High</v>
      </c>
      <c r="P119" s="38" t="str">
        <f>VLOOKUP(dataset_A!C119,$Q$2:$R$5,2,0)</f>
        <v>Spring</v>
      </c>
      <c r="S119" s="38" t="str">
        <f t="array" ref="S119">INDEX($R$2:$R$5,MATCH(dataset_A!C119,$Q$2:$Q$5,0))</f>
        <v>Spring</v>
      </c>
      <c r="T119" s="38" t="str">
        <f t="shared" si="4"/>
        <v>Match</v>
      </c>
    </row>
    <row r="120" ht="12.75" customHeight="1">
      <c r="A120" s="38">
        <f>dataset_A!A120</f>
        <v>633</v>
      </c>
      <c r="B120" s="39">
        <f>dataset_A!B120</f>
        <v>40572</v>
      </c>
      <c r="C120" s="38">
        <f>dataset_A!F120</f>
        <v>15</v>
      </c>
      <c r="D120" s="38">
        <f>dataset_A!H120</f>
        <v>6</v>
      </c>
      <c r="E120" s="38" t="b">
        <f>dataset_A!G120</f>
        <v>0</v>
      </c>
      <c r="F120" s="38" t="b">
        <f>dataset_A!G120</f>
        <v>0</v>
      </c>
      <c r="G120" s="38" t="str">
        <f t="shared" si="1"/>
        <v>Weekend</v>
      </c>
      <c r="H120" s="38" t="str">
        <f t="shared" si="2"/>
        <v>Afternoon</v>
      </c>
      <c r="I120" s="38" t="str">
        <f>IF(dataset_A!C120=1,"Spring",IF(dataset_A!C120=2,"Summer",IF(dataset_A!C120=3,"Fail","Winter")))</f>
        <v>Spring</v>
      </c>
      <c r="J120" s="38" t="str">
        <f>IF(dataset_A!I120=1,"Clear",IF(dataset_A!I120,"Mist/Cloudy",IF(dataset_A!I120=3,"Light Rain/Snow","Heavy Rain/Snow")))</f>
        <v>Clear</v>
      </c>
      <c r="K120" s="38">
        <f>dataset_A!N120</f>
        <v>22</v>
      </c>
      <c r="L120" s="38">
        <f>dataset_A!O120</f>
        <v>98</v>
      </c>
      <c r="M120" s="38">
        <f>dataset_A!P120</f>
        <v>120</v>
      </c>
      <c r="N120" s="38" t="str">
        <f t="shared" si="3"/>
        <v>Ok</v>
      </c>
      <c r="O120" s="38" t="str">
        <f>IF(M120&gt;Analysis!$B$3*1.5,"High",IF(M120&lt;Analysis!$B$3*0.5,"Low","Medium"))</f>
        <v>High</v>
      </c>
      <c r="P120" s="38" t="str">
        <f>VLOOKUP(dataset_A!C120,$Q$2:$R$5,2,0)</f>
        <v>Spring</v>
      </c>
      <c r="S120" s="38" t="str">
        <f t="array" ref="S120">INDEX($R$2:$R$5,MATCH(dataset_A!C120,$Q$2:$Q$5,0))</f>
        <v>Spring</v>
      </c>
      <c r="T120" s="38" t="str">
        <f t="shared" si="4"/>
        <v>Match</v>
      </c>
    </row>
    <row r="121" ht="12.75" customHeight="1">
      <c r="A121" s="38">
        <f>dataset_A!A121</f>
        <v>958</v>
      </c>
      <c r="B121" s="39">
        <f>dataset_A!B121</f>
        <v>40586</v>
      </c>
      <c r="C121" s="38">
        <f>dataset_A!F121</f>
        <v>12</v>
      </c>
      <c r="D121" s="38">
        <f>dataset_A!H121</f>
        <v>6</v>
      </c>
      <c r="E121" s="38" t="b">
        <f>dataset_A!G121</f>
        <v>0</v>
      </c>
      <c r="F121" s="38" t="b">
        <f>dataset_A!G121</f>
        <v>0</v>
      </c>
      <c r="G121" s="38" t="str">
        <f t="shared" si="1"/>
        <v>Weekend</v>
      </c>
      <c r="H121" s="38" t="str">
        <f t="shared" si="2"/>
        <v>Afternoon</v>
      </c>
      <c r="I121" s="38" t="str">
        <f>IF(dataset_A!C121=1,"Spring",IF(dataset_A!C121=2,"Summer",IF(dataset_A!C121=3,"Fail","Winter")))</f>
        <v>Spring</v>
      </c>
      <c r="J121" s="38" t="str">
        <f>IF(dataset_A!I121=1,"Clear",IF(dataset_A!I121,"Mist/Cloudy",IF(dataset_A!I121=3,"Light Rain/Snow","Heavy Rain/Snow")))</f>
        <v>Clear</v>
      </c>
      <c r="K121" s="38">
        <f>dataset_A!N121</f>
        <v>27</v>
      </c>
      <c r="L121" s="38">
        <f>dataset_A!O121</f>
        <v>93</v>
      </c>
      <c r="M121" s="38">
        <f>dataset_A!P121</f>
        <v>120</v>
      </c>
      <c r="N121" s="38" t="str">
        <f t="shared" si="3"/>
        <v>Ok</v>
      </c>
      <c r="O121" s="38" t="str">
        <f>IF(M121&gt;Analysis!$B$3*1.5,"High",IF(M121&lt;Analysis!$B$3*0.5,"Low","Medium"))</f>
        <v>High</v>
      </c>
      <c r="P121" s="38" t="str">
        <f>VLOOKUP(dataset_A!C121,$Q$2:$R$5,2,0)</f>
        <v>Spring</v>
      </c>
      <c r="S121" s="38" t="str">
        <f t="array" ref="S121">INDEX($R$2:$R$5,MATCH(dataset_A!C121,$Q$2:$Q$5,0))</f>
        <v>Spring</v>
      </c>
      <c r="T121" s="38" t="str">
        <f t="shared" si="4"/>
        <v>Match</v>
      </c>
    </row>
    <row r="122" ht="12.75" customHeight="1">
      <c r="A122" s="38">
        <f>dataset_A!A122</f>
        <v>960</v>
      </c>
      <c r="B122" s="39">
        <f>dataset_A!B122</f>
        <v>40586</v>
      </c>
      <c r="C122" s="38">
        <f>dataset_A!F122</f>
        <v>14</v>
      </c>
      <c r="D122" s="38">
        <f>dataset_A!H122</f>
        <v>6</v>
      </c>
      <c r="E122" s="38" t="b">
        <f>dataset_A!G122</f>
        <v>0</v>
      </c>
      <c r="F122" s="38" t="b">
        <f>dataset_A!G122</f>
        <v>0</v>
      </c>
      <c r="G122" s="38" t="str">
        <f t="shared" si="1"/>
        <v>Weekend</v>
      </c>
      <c r="H122" s="38" t="str">
        <f t="shared" si="2"/>
        <v>Afternoon</v>
      </c>
      <c r="I122" s="38" t="str">
        <f>IF(dataset_A!C122=1,"Spring",IF(dataset_A!C122=2,"Summer",IF(dataset_A!C122=3,"Fail","Winter")))</f>
        <v>Spring</v>
      </c>
      <c r="J122" s="38" t="str">
        <f>IF(dataset_A!I122=1,"Clear",IF(dataset_A!I122,"Mist/Cloudy",IF(dataset_A!I122=3,"Light Rain/Snow","Heavy Rain/Snow")))</f>
        <v>Clear</v>
      </c>
      <c r="K122" s="38">
        <f>dataset_A!N122</f>
        <v>30</v>
      </c>
      <c r="L122" s="38">
        <f>dataset_A!O122</f>
        <v>90</v>
      </c>
      <c r="M122" s="38">
        <f>dataset_A!P122</f>
        <v>120</v>
      </c>
      <c r="N122" s="38" t="str">
        <f t="shared" si="3"/>
        <v>Ok</v>
      </c>
      <c r="O122" s="38" t="str">
        <f>IF(M122&gt;Analysis!$B$3*1.5,"High",IF(M122&lt;Analysis!$B$3*0.5,"Low","Medium"))</f>
        <v>High</v>
      </c>
      <c r="P122" s="38" t="str">
        <f>VLOOKUP(dataset_A!C122,$Q$2:$R$5,2,0)</f>
        <v>Spring</v>
      </c>
      <c r="S122" s="38" t="str">
        <f t="array" ref="S122">INDEX($R$2:$R$5,MATCH(dataset_A!C122,$Q$2:$Q$5,0))</f>
        <v>Spring</v>
      </c>
      <c r="T122" s="38" t="str">
        <f t="shared" si="4"/>
        <v>Match</v>
      </c>
    </row>
    <row r="123" ht="12.75" customHeight="1">
      <c r="A123" s="38">
        <f>dataset_A!A123</f>
        <v>568</v>
      </c>
      <c r="B123" s="39">
        <f>dataset_A!B123</f>
        <v>40568</v>
      </c>
      <c r="C123" s="38">
        <f>dataset_A!F123</f>
        <v>20</v>
      </c>
      <c r="D123" s="38">
        <f>dataset_A!H123</f>
        <v>2</v>
      </c>
      <c r="E123" s="38" t="b">
        <f>dataset_A!G123</f>
        <v>0</v>
      </c>
      <c r="F123" s="38" t="b">
        <f>dataset_A!G123</f>
        <v>0</v>
      </c>
      <c r="G123" s="38" t="str">
        <f t="shared" si="1"/>
        <v>Weekday</v>
      </c>
      <c r="H123" s="38" t="str">
        <f t="shared" si="2"/>
        <v>Evening</v>
      </c>
      <c r="I123" s="38" t="str">
        <f>IF(dataset_A!C123=1,"Spring",IF(dataset_A!C123=2,"Summer",IF(dataset_A!C123=3,"Fail","Winter")))</f>
        <v>Spring</v>
      </c>
      <c r="J123" s="38" t="str">
        <f>IF(dataset_A!I123=1,"Clear",IF(dataset_A!I123,"Mist/Cloudy",IF(dataset_A!I123=3,"Light Rain/Snow","Heavy Rain/Snow")))</f>
        <v>Clear</v>
      </c>
      <c r="K123" s="38">
        <f>dataset_A!N123</f>
        <v>16</v>
      </c>
      <c r="L123" s="38">
        <f>dataset_A!O123</f>
        <v>103</v>
      </c>
      <c r="M123" s="38">
        <f>dataset_A!P123</f>
        <v>119</v>
      </c>
      <c r="N123" s="38" t="str">
        <f t="shared" si="3"/>
        <v>Ok</v>
      </c>
      <c r="O123" s="38" t="str">
        <f>IF(M123&gt;Analysis!$B$3*1.5,"High",IF(M123&lt;Analysis!$B$3*0.5,"Low","Medium"))</f>
        <v>High</v>
      </c>
      <c r="P123" s="38" t="str">
        <f>VLOOKUP(dataset_A!C123,$Q$2:$R$5,2,0)</f>
        <v>Spring</v>
      </c>
      <c r="S123" s="38" t="str">
        <f t="array" ref="S123">INDEX($R$2:$R$5,MATCH(dataset_A!C123,$Q$2:$Q$5,0))</f>
        <v>Spring</v>
      </c>
      <c r="T123" s="38" t="str">
        <f t="shared" si="4"/>
        <v>Match</v>
      </c>
    </row>
    <row r="124" ht="12.75" customHeight="1">
      <c r="A124" s="38">
        <f>dataset_A!A124</f>
        <v>339</v>
      </c>
      <c r="B124" s="39">
        <f>dataset_A!B124</f>
        <v>40558</v>
      </c>
      <c r="C124" s="38">
        <f>dataset_A!F124</f>
        <v>14</v>
      </c>
      <c r="D124" s="38">
        <f>dataset_A!H124</f>
        <v>6</v>
      </c>
      <c r="E124" s="38" t="b">
        <f>dataset_A!G124</f>
        <v>0</v>
      </c>
      <c r="F124" s="38" t="b">
        <f>dataset_A!G124</f>
        <v>0</v>
      </c>
      <c r="G124" s="38" t="str">
        <f t="shared" si="1"/>
        <v>Weekend</v>
      </c>
      <c r="H124" s="38" t="str">
        <f t="shared" si="2"/>
        <v>Afternoon</v>
      </c>
      <c r="I124" s="38" t="str">
        <f>IF(dataset_A!C124=1,"Spring",IF(dataset_A!C124=2,"Summer",IF(dataset_A!C124=3,"Fail","Winter")))</f>
        <v>Spring</v>
      </c>
      <c r="J124" s="38" t="str">
        <f>IF(dataset_A!I124=1,"Clear",IF(dataset_A!I124,"Mist/Cloudy",IF(dataset_A!I124=3,"Light Rain/Snow","Heavy Rain/Snow")))</f>
        <v>Clear</v>
      </c>
      <c r="K124" s="38">
        <f>dataset_A!N124</f>
        <v>26</v>
      </c>
      <c r="L124" s="38">
        <f>dataset_A!O124</f>
        <v>92</v>
      </c>
      <c r="M124" s="38">
        <f>dataset_A!P124</f>
        <v>118</v>
      </c>
      <c r="N124" s="38" t="str">
        <f t="shared" si="3"/>
        <v>Ok</v>
      </c>
      <c r="O124" s="38" t="str">
        <f>IF(M124&gt;Analysis!$B$3*1.5,"High",IF(M124&lt;Analysis!$B$3*0.5,"Low","Medium"))</f>
        <v>High</v>
      </c>
      <c r="P124" s="38" t="str">
        <f>VLOOKUP(dataset_A!C124,$Q$2:$R$5,2,0)</f>
        <v>Spring</v>
      </c>
      <c r="S124" s="38" t="str">
        <f t="array" ref="S124">INDEX($R$2:$R$5,MATCH(dataset_A!C124,$Q$2:$Q$5,0))</f>
        <v>Spring</v>
      </c>
      <c r="T124" s="38" t="str">
        <f t="shared" si="4"/>
        <v>Match</v>
      </c>
    </row>
    <row r="125" ht="12.75" customHeight="1">
      <c r="A125" s="38">
        <f>dataset_A!A125</f>
        <v>362</v>
      </c>
      <c r="B125" s="39">
        <f>dataset_A!B125</f>
        <v>40559</v>
      </c>
      <c r="C125" s="38">
        <f>dataset_A!F125</f>
        <v>13</v>
      </c>
      <c r="D125" s="38">
        <f>dataset_A!H125</f>
        <v>0</v>
      </c>
      <c r="E125" s="38" t="b">
        <f>dataset_A!G125</f>
        <v>0</v>
      </c>
      <c r="F125" s="38" t="b">
        <f>dataset_A!G125</f>
        <v>0</v>
      </c>
      <c r="G125" s="38" t="str">
        <f t="shared" si="1"/>
        <v>Weekend</v>
      </c>
      <c r="H125" s="38" t="str">
        <f t="shared" si="2"/>
        <v>Afternoon</v>
      </c>
      <c r="I125" s="38" t="str">
        <f>IF(dataset_A!C125=1,"Spring",IF(dataset_A!C125=2,"Summer",IF(dataset_A!C125=3,"Fail","Winter")))</f>
        <v>Spring</v>
      </c>
      <c r="J125" s="38" t="str">
        <f>IF(dataset_A!I125=1,"Clear",IF(dataset_A!I125,"Mist/Cloudy",IF(dataset_A!I125=3,"Light Rain/Snow","Heavy Rain/Snow")))</f>
        <v>Clear</v>
      </c>
      <c r="K125" s="38">
        <f>dataset_A!N125</f>
        <v>23</v>
      </c>
      <c r="L125" s="38">
        <f>dataset_A!O125</f>
        <v>95</v>
      </c>
      <c r="M125" s="38">
        <f>dataset_A!P125</f>
        <v>118</v>
      </c>
      <c r="N125" s="38" t="str">
        <f t="shared" si="3"/>
        <v>Ok</v>
      </c>
      <c r="O125" s="38" t="str">
        <f>IF(M125&gt;Analysis!$B$3*1.5,"High",IF(M125&lt;Analysis!$B$3*0.5,"Low","Medium"))</f>
        <v>High</v>
      </c>
      <c r="P125" s="38" t="str">
        <f>VLOOKUP(dataset_A!C125,$Q$2:$R$5,2,0)</f>
        <v>Spring</v>
      </c>
      <c r="S125" s="38" t="str">
        <f t="array" ref="S125">INDEX($R$2:$R$5,MATCH(dataset_A!C125,$Q$2:$Q$5,0))</f>
        <v>Spring</v>
      </c>
      <c r="T125" s="38" t="str">
        <f t="shared" si="4"/>
        <v>Match</v>
      </c>
    </row>
    <row r="126" ht="12.75" customHeight="1">
      <c r="A126" s="38">
        <f>dataset_A!A126</f>
        <v>839</v>
      </c>
      <c r="B126" s="39">
        <f>dataset_A!B126</f>
        <v>40581</v>
      </c>
      <c r="C126" s="38">
        <f>dataset_A!F126</f>
        <v>9</v>
      </c>
      <c r="D126" s="38">
        <f>dataset_A!H126</f>
        <v>1</v>
      </c>
      <c r="E126" s="38" t="b">
        <f>dataset_A!G126</f>
        <v>0</v>
      </c>
      <c r="F126" s="38" t="b">
        <f>dataset_A!G126</f>
        <v>0</v>
      </c>
      <c r="G126" s="38" t="str">
        <f t="shared" si="1"/>
        <v>Weekday</v>
      </c>
      <c r="H126" s="38" t="str">
        <f t="shared" si="2"/>
        <v>Morning</v>
      </c>
      <c r="I126" s="38" t="str">
        <f>IF(dataset_A!C126=1,"Spring",IF(dataset_A!C126=2,"Summer",IF(dataset_A!C126=3,"Fail","Winter")))</f>
        <v>Spring</v>
      </c>
      <c r="J126" s="38" t="str">
        <f>IF(dataset_A!I126=1,"Clear",IF(dataset_A!I126,"Mist/Cloudy",IF(dataset_A!I126=3,"Light Rain/Snow","Heavy Rain/Snow")))</f>
        <v>Clear</v>
      </c>
      <c r="K126" s="38">
        <f>dataset_A!N126</f>
        <v>3</v>
      </c>
      <c r="L126" s="38">
        <f>dataset_A!O126</f>
        <v>115</v>
      </c>
      <c r="M126" s="38">
        <f>dataset_A!P126</f>
        <v>118</v>
      </c>
      <c r="N126" s="38" t="str">
        <f t="shared" si="3"/>
        <v>Ok</v>
      </c>
      <c r="O126" s="38" t="str">
        <f>IF(M126&gt;Analysis!$B$3*1.5,"High",IF(M126&lt;Analysis!$B$3*0.5,"Low","Medium"))</f>
        <v>High</v>
      </c>
      <c r="P126" s="38" t="str">
        <f>VLOOKUP(dataset_A!C126,$Q$2:$R$5,2,0)</f>
        <v>Spring</v>
      </c>
      <c r="S126" s="38" t="str">
        <f t="array" ref="S126">INDEX($R$2:$R$5,MATCH(dataset_A!C126,$Q$2:$Q$5,0))</f>
        <v>Spring</v>
      </c>
      <c r="T126" s="38" t="str">
        <f t="shared" si="4"/>
        <v>Match</v>
      </c>
    </row>
    <row r="127" ht="12.75" customHeight="1">
      <c r="A127" s="38">
        <f>dataset_A!A127</f>
        <v>310</v>
      </c>
      <c r="B127" s="39">
        <f>dataset_A!B127</f>
        <v>40557</v>
      </c>
      <c r="C127" s="38">
        <f>dataset_A!F127</f>
        <v>9</v>
      </c>
      <c r="D127" s="38">
        <f>dataset_A!H127</f>
        <v>5</v>
      </c>
      <c r="E127" s="38" t="b">
        <f>dataset_A!G127</f>
        <v>0</v>
      </c>
      <c r="F127" s="38" t="b">
        <f>dataset_A!G127</f>
        <v>0</v>
      </c>
      <c r="G127" s="38" t="str">
        <f t="shared" si="1"/>
        <v>Weekday</v>
      </c>
      <c r="H127" s="38" t="str">
        <f t="shared" si="2"/>
        <v>Morning</v>
      </c>
      <c r="I127" s="38" t="str">
        <f>IF(dataset_A!C127=1,"Spring",IF(dataset_A!C127=2,"Summer",IF(dataset_A!C127=3,"Fail","Winter")))</f>
        <v>Spring</v>
      </c>
      <c r="J127" s="38" t="str">
        <f>IF(dataset_A!I127=1,"Clear",IF(dataset_A!I127,"Mist/Cloudy",IF(dataset_A!I127=3,"Light Rain/Snow","Heavy Rain/Snow")))</f>
        <v>Clear</v>
      </c>
      <c r="K127" s="38">
        <f>dataset_A!N127</f>
        <v>0</v>
      </c>
      <c r="L127" s="38">
        <f>dataset_A!O127</f>
        <v>117</v>
      </c>
      <c r="M127" s="38">
        <f>dataset_A!P127</f>
        <v>117</v>
      </c>
      <c r="N127" s="38" t="str">
        <f t="shared" si="3"/>
        <v>Ok</v>
      </c>
      <c r="O127" s="38" t="str">
        <f>IF(M127&gt;Analysis!$B$3*1.5,"High",IF(M127&lt;Analysis!$B$3*0.5,"Low","Medium"))</f>
        <v>High</v>
      </c>
      <c r="P127" s="38" t="str">
        <f>VLOOKUP(dataset_A!C127,$Q$2:$R$5,2,0)</f>
        <v>Spring</v>
      </c>
      <c r="S127" s="38" t="str">
        <f t="array" ref="S127">INDEX($R$2:$R$5,MATCH(dataset_A!C127,$Q$2:$Q$5,0))</f>
        <v>Spring</v>
      </c>
      <c r="T127" s="38" t="str">
        <f t="shared" si="4"/>
        <v>Match</v>
      </c>
    </row>
    <row r="128" ht="12.75" customHeight="1">
      <c r="A128" s="38">
        <f>dataset_A!A128</f>
        <v>817</v>
      </c>
      <c r="B128" s="39">
        <f>dataset_A!B128</f>
        <v>40580</v>
      </c>
      <c r="C128" s="38">
        <f>dataset_A!F128</f>
        <v>11</v>
      </c>
      <c r="D128" s="38">
        <f>dataset_A!H128</f>
        <v>0</v>
      </c>
      <c r="E128" s="38" t="b">
        <f>dataset_A!G128</f>
        <v>0</v>
      </c>
      <c r="F128" s="38" t="b">
        <f>dataset_A!G128</f>
        <v>0</v>
      </c>
      <c r="G128" s="38" t="str">
        <f t="shared" si="1"/>
        <v>Weekend</v>
      </c>
      <c r="H128" s="38" t="str">
        <f t="shared" si="2"/>
        <v>Morning</v>
      </c>
      <c r="I128" s="38" t="str">
        <f>IF(dataset_A!C128=1,"Spring",IF(dataset_A!C128=2,"Summer",IF(dataset_A!C128=3,"Fail","Winter")))</f>
        <v>Spring</v>
      </c>
      <c r="J128" s="38" t="str">
        <f>IF(dataset_A!I128=1,"Clear",IF(dataset_A!I128,"Mist/Cloudy",IF(dataset_A!I128=3,"Light Rain/Snow","Heavy Rain/Snow")))</f>
        <v>Clear</v>
      </c>
      <c r="K128" s="38">
        <f>dataset_A!N128</f>
        <v>28</v>
      </c>
      <c r="L128" s="38">
        <f>dataset_A!O128</f>
        <v>89</v>
      </c>
      <c r="M128" s="38">
        <f>dataset_A!P128</f>
        <v>117</v>
      </c>
      <c r="N128" s="38" t="str">
        <f t="shared" si="3"/>
        <v>Ok</v>
      </c>
      <c r="O128" s="38" t="str">
        <f>IF(M128&gt;Analysis!$B$3*1.5,"High",IF(M128&lt;Analysis!$B$3*0.5,"Low","Medium"))</f>
        <v>High</v>
      </c>
      <c r="P128" s="38" t="str">
        <f>VLOOKUP(dataset_A!C128,$Q$2:$R$5,2,0)</f>
        <v>Spring</v>
      </c>
      <c r="S128" s="38" t="str">
        <f t="array" ref="S128">INDEX($R$2:$R$5,MATCH(dataset_A!C128,$Q$2:$Q$5,0))</f>
        <v>Spring</v>
      </c>
      <c r="T128" s="38" t="str">
        <f t="shared" si="4"/>
        <v>Match</v>
      </c>
    </row>
    <row r="129" ht="12.75" customHeight="1">
      <c r="A129" s="38">
        <f>dataset_A!A129</f>
        <v>514</v>
      </c>
      <c r="B129" s="39">
        <f>dataset_A!B129</f>
        <v>40566</v>
      </c>
      <c r="C129" s="38">
        <f>dataset_A!F129</f>
        <v>12</v>
      </c>
      <c r="D129" s="38">
        <f>dataset_A!H129</f>
        <v>0</v>
      </c>
      <c r="E129" s="38" t="b">
        <f>dataset_A!G129</f>
        <v>0</v>
      </c>
      <c r="F129" s="38" t="b">
        <f>dataset_A!G129</f>
        <v>0</v>
      </c>
      <c r="G129" s="38" t="str">
        <f t="shared" si="1"/>
        <v>Weekend</v>
      </c>
      <c r="H129" s="38" t="str">
        <f t="shared" si="2"/>
        <v>Afternoon</v>
      </c>
      <c r="I129" s="38" t="str">
        <f>IF(dataset_A!C129=1,"Spring",IF(dataset_A!C129=2,"Summer",IF(dataset_A!C129=3,"Fail","Winter")))</f>
        <v>Spring</v>
      </c>
      <c r="J129" s="38" t="str">
        <f>IF(dataset_A!I129=1,"Clear",IF(dataset_A!I129,"Mist/Cloudy",IF(dataset_A!I129=3,"Light Rain/Snow","Heavy Rain/Snow")))</f>
        <v>Clear</v>
      </c>
      <c r="K129" s="38">
        <f>dataset_A!N129</f>
        <v>24</v>
      </c>
      <c r="L129" s="38">
        <f>dataset_A!O129</f>
        <v>92</v>
      </c>
      <c r="M129" s="38">
        <f>dataset_A!P129</f>
        <v>116</v>
      </c>
      <c r="N129" s="38" t="str">
        <f t="shared" si="3"/>
        <v>Ok</v>
      </c>
      <c r="O129" s="38" t="str">
        <f>IF(M129&gt;Analysis!$B$3*1.5,"High",IF(M129&lt;Analysis!$B$3*0.5,"Low","Medium"))</f>
        <v>High</v>
      </c>
      <c r="P129" s="38" t="str">
        <f>VLOOKUP(dataset_A!C129,$Q$2:$R$5,2,0)</f>
        <v>Spring</v>
      </c>
      <c r="S129" s="38" t="str">
        <f t="array" ref="S129">INDEX($R$2:$R$5,MATCH(dataset_A!C129,$Q$2:$Q$5,0))</f>
        <v>Spring</v>
      </c>
      <c r="T129" s="38" t="str">
        <f t="shared" si="4"/>
        <v>Match</v>
      </c>
    </row>
    <row r="130" ht="12.75" customHeight="1">
      <c r="A130" s="38">
        <f>dataset_A!A130</f>
        <v>564</v>
      </c>
      <c r="B130" s="39">
        <f>dataset_A!B130</f>
        <v>40568</v>
      </c>
      <c r="C130" s="38">
        <f>dataset_A!F130</f>
        <v>16</v>
      </c>
      <c r="D130" s="38">
        <f>dataset_A!H130</f>
        <v>2</v>
      </c>
      <c r="E130" s="38" t="b">
        <f>dataset_A!G130</f>
        <v>0</v>
      </c>
      <c r="F130" s="38" t="b">
        <f>dataset_A!G130</f>
        <v>0</v>
      </c>
      <c r="G130" s="38" t="str">
        <f t="shared" si="1"/>
        <v>Weekday</v>
      </c>
      <c r="H130" s="38" t="str">
        <f t="shared" si="2"/>
        <v>Afternoon</v>
      </c>
      <c r="I130" s="38" t="str">
        <f>IF(dataset_A!C130=1,"Spring",IF(dataset_A!C130=2,"Summer",IF(dataset_A!C130=3,"Fail","Winter")))</f>
        <v>Spring</v>
      </c>
      <c r="J130" s="38" t="str">
        <f>IF(dataset_A!I130=1,"Clear",IF(dataset_A!I130,"Mist/Cloudy",IF(dataset_A!I130=3,"Light Rain/Snow","Heavy Rain/Snow")))</f>
        <v>Mist/Cloudy</v>
      </c>
      <c r="K130" s="38">
        <f>dataset_A!N130</f>
        <v>14</v>
      </c>
      <c r="L130" s="38">
        <f>dataset_A!O130</f>
        <v>102</v>
      </c>
      <c r="M130" s="38">
        <f>dataset_A!P130</f>
        <v>116</v>
      </c>
      <c r="N130" s="38" t="str">
        <f t="shared" si="3"/>
        <v>Ok</v>
      </c>
      <c r="O130" s="38" t="str">
        <f>IF(M130&gt;Analysis!$B$3*1.5,"High",IF(M130&lt;Analysis!$B$3*0.5,"Low","Medium"))</f>
        <v>High</v>
      </c>
      <c r="P130" s="38" t="str">
        <f>VLOOKUP(dataset_A!C130,$Q$2:$R$5,2,0)</f>
        <v>Spring</v>
      </c>
      <c r="S130" s="38" t="str">
        <f t="array" ref="S130">INDEX($R$2:$R$5,MATCH(dataset_A!C130,$Q$2:$Q$5,0))</f>
        <v>Spring</v>
      </c>
      <c r="T130" s="38" t="str">
        <f t="shared" si="4"/>
        <v>Match</v>
      </c>
    </row>
    <row r="131" ht="12.75" customHeight="1">
      <c r="A131" s="38">
        <f>dataset_A!A131</f>
        <v>697</v>
      </c>
      <c r="B131" s="39">
        <f>dataset_A!B131</f>
        <v>40575</v>
      </c>
      <c r="C131" s="38">
        <f>dataset_A!F131</f>
        <v>9</v>
      </c>
      <c r="D131" s="38">
        <f>dataset_A!H131</f>
        <v>2</v>
      </c>
      <c r="E131" s="38" t="b">
        <f>dataset_A!G131</f>
        <v>0</v>
      </c>
      <c r="F131" s="38" t="b">
        <f>dataset_A!G131</f>
        <v>0</v>
      </c>
      <c r="G131" s="38" t="str">
        <f t="shared" si="1"/>
        <v>Weekday</v>
      </c>
      <c r="H131" s="38" t="str">
        <f t="shared" si="2"/>
        <v>Morning</v>
      </c>
      <c r="I131" s="38" t="str">
        <f>IF(dataset_A!C131=1,"Spring",IF(dataset_A!C131=2,"Summer",IF(dataset_A!C131=3,"Fail","Winter")))</f>
        <v>Spring</v>
      </c>
      <c r="J131" s="38" t="str">
        <f>IF(dataset_A!I131=1,"Clear",IF(dataset_A!I131,"Mist/Cloudy",IF(dataset_A!I131=3,"Light Rain/Snow","Heavy Rain/Snow")))</f>
        <v>Mist/Cloudy</v>
      </c>
      <c r="K131" s="38">
        <f>dataset_A!N131</f>
        <v>2</v>
      </c>
      <c r="L131" s="38">
        <f>dataset_A!O131</f>
        <v>114</v>
      </c>
      <c r="M131" s="38">
        <f>dataset_A!P131</f>
        <v>116</v>
      </c>
      <c r="N131" s="38" t="str">
        <f t="shared" si="3"/>
        <v>Ok</v>
      </c>
      <c r="O131" s="38" t="str">
        <f>IF(M131&gt;Analysis!$B$3*1.5,"High",IF(M131&lt;Analysis!$B$3*0.5,"Low","Medium"))</f>
        <v>High</v>
      </c>
      <c r="P131" s="38" t="str">
        <f>VLOOKUP(dataset_A!C131,$Q$2:$R$5,2,0)</f>
        <v>Spring</v>
      </c>
      <c r="S131" s="38" t="str">
        <f t="array" ref="S131">INDEX($R$2:$R$5,MATCH(dataset_A!C131,$Q$2:$Q$5,0))</f>
        <v>Spring</v>
      </c>
      <c r="T131" s="38" t="str">
        <f t="shared" si="4"/>
        <v>Match</v>
      </c>
    </row>
    <row r="132" ht="12.75" customHeight="1">
      <c r="A132" s="38">
        <f>dataset_A!A132</f>
        <v>101</v>
      </c>
      <c r="B132" s="39">
        <f>dataset_A!B132</f>
        <v>40548</v>
      </c>
      <c r="C132" s="38">
        <f>dataset_A!F132</f>
        <v>9</v>
      </c>
      <c r="D132" s="38">
        <f>dataset_A!H132</f>
        <v>3</v>
      </c>
      <c r="E132" s="38" t="b">
        <f>dataset_A!G132</f>
        <v>0</v>
      </c>
      <c r="F132" s="38" t="b">
        <f>dataset_A!G132</f>
        <v>0</v>
      </c>
      <c r="G132" s="38" t="str">
        <f t="shared" si="1"/>
        <v>Weekday</v>
      </c>
      <c r="H132" s="38" t="str">
        <f t="shared" si="2"/>
        <v>Morning</v>
      </c>
      <c r="I132" s="38" t="str">
        <f>IF(dataset_A!C132=1,"Spring",IF(dataset_A!C132=2,"Summer",IF(dataset_A!C132=3,"Fail","Winter")))</f>
        <v>Spring</v>
      </c>
      <c r="J132" s="38" t="str">
        <f>IF(dataset_A!I132=1,"Clear",IF(dataset_A!I132,"Mist/Cloudy",IF(dataset_A!I132=3,"Light Rain/Snow","Heavy Rain/Snow")))</f>
        <v>Clear</v>
      </c>
      <c r="K132" s="38">
        <f>dataset_A!N132</f>
        <v>6</v>
      </c>
      <c r="L132" s="38">
        <f>dataset_A!O132</f>
        <v>109</v>
      </c>
      <c r="M132" s="38">
        <f>dataset_A!P132</f>
        <v>115</v>
      </c>
      <c r="N132" s="38" t="str">
        <f t="shared" si="3"/>
        <v>Ok</v>
      </c>
      <c r="O132" s="38" t="str">
        <f>IF(M132&gt;Analysis!$B$3*1.5,"High",IF(M132&lt;Analysis!$B$3*0.5,"Low","Medium"))</f>
        <v>High</v>
      </c>
      <c r="P132" s="38" t="str">
        <f>VLOOKUP(dataset_A!C132,$Q$2:$R$5,2,0)</f>
        <v>Spring</v>
      </c>
      <c r="S132" s="38" t="str">
        <f t="array" ref="S132">INDEX($R$2:$R$5,MATCH(dataset_A!C132,$Q$2:$Q$5,0))</f>
        <v>Spring</v>
      </c>
      <c r="T132" s="38" t="str">
        <f t="shared" si="4"/>
        <v>Match</v>
      </c>
    </row>
    <row r="133" ht="12.75" customHeight="1">
      <c r="A133" s="38">
        <f>dataset_A!A133</f>
        <v>846</v>
      </c>
      <c r="B133" s="39">
        <f>dataset_A!B133</f>
        <v>40581</v>
      </c>
      <c r="C133" s="38">
        <f>dataset_A!F133</f>
        <v>16</v>
      </c>
      <c r="D133" s="38">
        <f>dataset_A!H133</f>
        <v>1</v>
      </c>
      <c r="E133" s="38" t="b">
        <f>dataset_A!G133</f>
        <v>0</v>
      </c>
      <c r="F133" s="38" t="b">
        <f>dataset_A!G133</f>
        <v>0</v>
      </c>
      <c r="G133" s="38" t="str">
        <f t="shared" si="1"/>
        <v>Weekday</v>
      </c>
      <c r="H133" s="38" t="str">
        <f t="shared" si="2"/>
        <v>Afternoon</v>
      </c>
      <c r="I133" s="38" t="str">
        <f>IF(dataset_A!C133=1,"Spring",IF(dataset_A!C133=2,"Summer",IF(dataset_A!C133=3,"Fail","Winter")))</f>
        <v>Spring</v>
      </c>
      <c r="J133" s="38" t="str">
        <f>IF(dataset_A!I133=1,"Clear",IF(dataset_A!I133,"Mist/Cloudy",IF(dataset_A!I133=3,"Light Rain/Snow","Heavy Rain/Snow")))</f>
        <v>Mist/Cloudy</v>
      </c>
      <c r="K133" s="38">
        <f>dataset_A!N133</f>
        <v>16</v>
      </c>
      <c r="L133" s="38">
        <f>dataset_A!O133</f>
        <v>98</v>
      </c>
      <c r="M133" s="38">
        <f>dataset_A!P133</f>
        <v>114</v>
      </c>
      <c r="N133" s="38" t="str">
        <f t="shared" si="3"/>
        <v>Ok</v>
      </c>
      <c r="O133" s="38" t="str">
        <f>IF(M133&gt;Analysis!$B$3*1.5,"High",IF(M133&lt;Analysis!$B$3*0.5,"Low","Medium"))</f>
        <v>High</v>
      </c>
      <c r="P133" s="38" t="str">
        <f>VLOOKUP(dataset_A!C133,$Q$2:$R$5,2,0)</f>
        <v>Spring</v>
      </c>
      <c r="S133" s="38" t="str">
        <f t="array" ref="S133">INDEX($R$2:$R$5,MATCH(dataset_A!C133,$Q$2:$Q$5,0))</f>
        <v>Spring</v>
      </c>
      <c r="T133" s="38" t="str">
        <f t="shared" si="4"/>
        <v>Match</v>
      </c>
    </row>
    <row r="134" ht="12.75" customHeight="1">
      <c r="A134" s="38">
        <f>dataset_A!A134</f>
        <v>957</v>
      </c>
      <c r="B134" s="39">
        <f>dataset_A!B134</f>
        <v>40586</v>
      </c>
      <c r="C134" s="38">
        <f>dataset_A!F134</f>
        <v>11</v>
      </c>
      <c r="D134" s="38">
        <f>dataset_A!H134</f>
        <v>6</v>
      </c>
      <c r="E134" s="38" t="b">
        <f>dataset_A!G134</f>
        <v>0</v>
      </c>
      <c r="F134" s="38" t="b">
        <f>dataset_A!G134</f>
        <v>0</v>
      </c>
      <c r="G134" s="38" t="str">
        <f t="shared" si="1"/>
        <v>Weekend</v>
      </c>
      <c r="H134" s="38" t="str">
        <f t="shared" si="2"/>
        <v>Morning</v>
      </c>
      <c r="I134" s="38" t="str">
        <f>IF(dataset_A!C134=1,"Spring",IF(dataset_A!C134=2,"Summer",IF(dataset_A!C134=3,"Fail","Winter")))</f>
        <v>Spring</v>
      </c>
      <c r="J134" s="38" t="str">
        <f>IF(dataset_A!I134=1,"Clear",IF(dataset_A!I134,"Mist/Cloudy",IF(dataset_A!I134=3,"Light Rain/Snow","Heavy Rain/Snow")))</f>
        <v>Clear</v>
      </c>
      <c r="K134" s="38">
        <f>dataset_A!N134</f>
        <v>30</v>
      </c>
      <c r="L134" s="38">
        <f>dataset_A!O134</f>
        <v>84</v>
      </c>
      <c r="M134" s="38">
        <f>dataset_A!P134</f>
        <v>114</v>
      </c>
      <c r="N134" s="38" t="str">
        <f t="shared" si="3"/>
        <v>Ok</v>
      </c>
      <c r="O134" s="38" t="str">
        <f>IF(M134&gt;Analysis!$B$3*1.5,"High",IF(M134&lt;Analysis!$B$3*0.5,"Low","Medium"))</f>
        <v>High</v>
      </c>
      <c r="P134" s="38" t="str">
        <f>VLOOKUP(dataset_A!C134,$Q$2:$R$5,2,0)</f>
        <v>Spring</v>
      </c>
      <c r="S134" s="38" t="str">
        <f t="array" ref="S134">INDEX($R$2:$R$5,MATCH(dataset_A!C134,$Q$2:$Q$5,0))</f>
        <v>Spring</v>
      </c>
      <c r="T134" s="38" t="str">
        <f t="shared" si="4"/>
        <v>Match</v>
      </c>
    </row>
    <row r="135" ht="12.75" customHeight="1">
      <c r="A135" s="38">
        <f>dataset_A!A135</f>
        <v>364</v>
      </c>
      <c r="B135" s="39">
        <f>dataset_A!B135</f>
        <v>40559</v>
      </c>
      <c r="C135" s="38">
        <f>dataset_A!F135</f>
        <v>15</v>
      </c>
      <c r="D135" s="38">
        <f>dataset_A!H135</f>
        <v>0</v>
      </c>
      <c r="E135" s="38" t="b">
        <f>dataset_A!G135</f>
        <v>0</v>
      </c>
      <c r="F135" s="38" t="b">
        <f>dataset_A!G135</f>
        <v>0</v>
      </c>
      <c r="G135" s="38" t="str">
        <f t="shared" si="1"/>
        <v>Weekend</v>
      </c>
      <c r="H135" s="38" t="str">
        <f t="shared" si="2"/>
        <v>Afternoon</v>
      </c>
      <c r="I135" s="38" t="str">
        <f>IF(dataset_A!C135=1,"Spring",IF(dataset_A!C135=2,"Summer",IF(dataset_A!C135=3,"Fail","Winter")))</f>
        <v>Spring</v>
      </c>
      <c r="J135" s="38" t="str">
        <f>IF(dataset_A!I135=1,"Clear",IF(dataset_A!I135,"Mist/Cloudy",IF(dataset_A!I135=3,"Light Rain/Snow","Heavy Rain/Snow")))</f>
        <v>Clear</v>
      </c>
      <c r="K135" s="38">
        <f>dataset_A!N135</f>
        <v>35</v>
      </c>
      <c r="L135" s="38">
        <f>dataset_A!O135</f>
        <v>78</v>
      </c>
      <c r="M135" s="38">
        <f>dataset_A!P135</f>
        <v>113</v>
      </c>
      <c r="N135" s="38" t="str">
        <f t="shared" si="3"/>
        <v>Ok</v>
      </c>
      <c r="O135" s="38" t="str">
        <f>IF(M135&gt;Analysis!$B$3*1.5,"High",IF(M135&lt;Analysis!$B$3*0.5,"Low","Medium"))</f>
        <v>High</v>
      </c>
      <c r="P135" s="38" t="str">
        <f>VLOOKUP(dataset_A!C135,$Q$2:$R$5,2,0)</f>
        <v>Spring</v>
      </c>
      <c r="S135" s="38" t="str">
        <f t="array" ref="S135">INDEX($R$2:$R$5,MATCH(dataset_A!C135,$Q$2:$Q$5,0))</f>
        <v>Spring</v>
      </c>
      <c r="T135" s="38" t="str">
        <f t="shared" si="4"/>
        <v>Match</v>
      </c>
    </row>
    <row r="136" ht="12.75" customHeight="1">
      <c r="A136" s="38">
        <f>dataset_A!A136</f>
        <v>88</v>
      </c>
      <c r="B136" s="39">
        <f>dataset_A!B136</f>
        <v>40547</v>
      </c>
      <c r="C136" s="38">
        <f>dataset_A!F136</f>
        <v>19</v>
      </c>
      <c r="D136" s="38">
        <f>dataset_A!H136</f>
        <v>2</v>
      </c>
      <c r="E136" s="38" t="b">
        <f>dataset_A!G136</f>
        <v>0</v>
      </c>
      <c r="F136" s="38" t="b">
        <f>dataset_A!G136</f>
        <v>0</v>
      </c>
      <c r="G136" s="38" t="str">
        <f t="shared" si="1"/>
        <v>Weekday</v>
      </c>
      <c r="H136" s="38" t="str">
        <f t="shared" si="2"/>
        <v>Evening</v>
      </c>
      <c r="I136" s="38" t="str">
        <f>IF(dataset_A!C136=1,"Spring",IF(dataset_A!C136=2,"Summer",IF(dataset_A!C136=3,"Fail","Winter")))</f>
        <v>Spring</v>
      </c>
      <c r="J136" s="38" t="str">
        <f>IF(dataset_A!I136=1,"Clear",IF(dataset_A!I136,"Mist/Cloudy",IF(dataset_A!I136=3,"Light Rain/Snow","Heavy Rain/Snow")))</f>
        <v>Clear</v>
      </c>
      <c r="K136" s="38">
        <f>dataset_A!N136</f>
        <v>2</v>
      </c>
      <c r="L136" s="38">
        <f>dataset_A!O136</f>
        <v>110</v>
      </c>
      <c r="M136" s="38">
        <f>dataset_A!P136</f>
        <v>112</v>
      </c>
      <c r="N136" s="38" t="str">
        <f t="shared" si="3"/>
        <v>Ok</v>
      </c>
      <c r="O136" s="38" t="str">
        <f>IF(M136&gt;Analysis!$B$3*1.5,"High",IF(M136&lt;Analysis!$B$3*0.5,"Low","Medium"))</f>
        <v>High</v>
      </c>
      <c r="P136" s="38" t="str">
        <f>VLOOKUP(dataset_A!C136,$Q$2:$R$5,2,0)</f>
        <v>Spring</v>
      </c>
      <c r="S136" s="38" t="str">
        <f t="array" ref="S136">INDEX($R$2:$R$5,MATCH(dataset_A!C136,$Q$2:$Q$5,0))</f>
        <v>Spring</v>
      </c>
      <c r="T136" s="38" t="str">
        <f t="shared" si="4"/>
        <v>Match</v>
      </c>
    </row>
    <row r="137" ht="12.75" customHeight="1">
      <c r="A137" s="38">
        <f>dataset_A!A137</f>
        <v>134</v>
      </c>
      <c r="B137" s="39">
        <f>dataset_A!B137</f>
        <v>40549</v>
      </c>
      <c r="C137" s="38">
        <f>dataset_A!F137</f>
        <v>19</v>
      </c>
      <c r="D137" s="38">
        <f>dataset_A!H137</f>
        <v>4</v>
      </c>
      <c r="E137" s="38" t="b">
        <f>dataset_A!G137</f>
        <v>0</v>
      </c>
      <c r="F137" s="38" t="b">
        <f>dataset_A!G137</f>
        <v>0</v>
      </c>
      <c r="G137" s="38" t="str">
        <f t="shared" si="1"/>
        <v>Weekday</v>
      </c>
      <c r="H137" s="38" t="str">
        <f t="shared" si="2"/>
        <v>Evening</v>
      </c>
      <c r="I137" s="38" t="str">
        <f>IF(dataset_A!C137=1,"Spring",IF(dataset_A!C137=2,"Summer",IF(dataset_A!C137=3,"Fail","Winter")))</f>
        <v>Spring</v>
      </c>
      <c r="J137" s="38" t="str">
        <f>IF(dataset_A!I137=1,"Clear",IF(dataset_A!I137,"Mist/Cloudy",IF(dataset_A!I137=3,"Light Rain/Snow","Heavy Rain/Snow")))</f>
        <v>Clear</v>
      </c>
      <c r="K137" s="38">
        <f>dataset_A!N137</f>
        <v>3</v>
      </c>
      <c r="L137" s="38">
        <f>dataset_A!O137</f>
        <v>109</v>
      </c>
      <c r="M137" s="38">
        <f>dataset_A!P137</f>
        <v>112</v>
      </c>
      <c r="N137" s="38" t="str">
        <f t="shared" si="3"/>
        <v>Ok</v>
      </c>
      <c r="O137" s="38" t="str">
        <f>IF(M137&gt;Analysis!$B$3*1.5,"High",IF(M137&lt;Analysis!$B$3*0.5,"Low","Medium"))</f>
        <v>High</v>
      </c>
      <c r="P137" s="38" t="str">
        <f>VLOOKUP(dataset_A!C137,$Q$2:$R$5,2,0)</f>
        <v>Spring</v>
      </c>
      <c r="S137" s="38" t="str">
        <f t="array" ref="S137">INDEX($R$2:$R$5,MATCH(dataset_A!C137,$Q$2:$Q$5,0))</f>
        <v>Spring</v>
      </c>
      <c r="T137" s="38" t="str">
        <f t="shared" si="4"/>
        <v>Match</v>
      </c>
    </row>
    <row r="138" ht="12.75" customHeight="1">
      <c r="A138" s="38">
        <f>dataset_A!A138</f>
        <v>427</v>
      </c>
      <c r="B138" s="39">
        <f>dataset_A!B138</f>
        <v>40562</v>
      </c>
      <c r="C138" s="38">
        <f>dataset_A!F138</f>
        <v>19</v>
      </c>
      <c r="D138" s="38">
        <f>dataset_A!H138</f>
        <v>3</v>
      </c>
      <c r="E138" s="38" t="b">
        <f>dataset_A!G138</f>
        <v>0</v>
      </c>
      <c r="F138" s="38" t="b">
        <f>dataset_A!G138</f>
        <v>0</v>
      </c>
      <c r="G138" s="38" t="str">
        <f t="shared" si="1"/>
        <v>Weekday</v>
      </c>
      <c r="H138" s="38" t="str">
        <f t="shared" si="2"/>
        <v>Evening</v>
      </c>
      <c r="I138" s="38" t="str">
        <f>IF(dataset_A!C138=1,"Spring",IF(dataset_A!C138=2,"Summer",IF(dataset_A!C138=3,"Fail","Winter")))</f>
        <v>Spring</v>
      </c>
      <c r="J138" s="38" t="str">
        <f>IF(dataset_A!I138=1,"Clear",IF(dataset_A!I138,"Mist/Cloudy",IF(dataset_A!I138=3,"Light Rain/Snow","Heavy Rain/Snow")))</f>
        <v>Clear</v>
      </c>
      <c r="K138" s="38">
        <f>dataset_A!N138</f>
        <v>4</v>
      </c>
      <c r="L138" s="38">
        <f>dataset_A!O138</f>
        <v>108</v>
      </c>
      <c r="M138" s="38">
        <f>dataset_A!P138</f>
        <v>112</v>
      </c>
      <c r="N138" s="38" t="str">
        <f t="shared" si="3"/>
        <v>Ok</v>
      </c>
      <c r="O138" s="38" t="str">
        <f>IF(M138&gt;Analysis!$B$3*1.5,"High",IF(M138&lt;Analysis!$B$3*0.5,"Low","Medium"))</f>
        <v>High</v>
      </c>
      <c r="P138" s="38" t="str">
        <f>VLOOKUP(dataset_A!C138,$Q$2:$R$5,2,0)</f>
        <v>Spring</v>
      </c>
      <c r="S138" s="38" t="str">
        <f t="array" ref="S138">INDEX($R$2:$R$5,MATCH(dataset_A!C138,$Q$2:$Q$5,0))</f>
        <v>Spring</v>
      </c>
      <c r="T138" s="38" t="str">
        <f t="shared" si="4"/>
        <v>Match</v>
      </c>
    </row>
    <row r="139" ht="12.75" customHeight="1">
      <c r="A139" s="38">
        <f>dataset_A!A139</f>
        <v>674</v>
      </c>
      <c r="B139" s="39">
        <f>dataset_A!B139</f>
        <v>40574</v>
      </c>
      <c r="C139" s="38">
        <f>dataset_A!F139</f>
        <v>9</v>
      </c>
      <c r="D139" s="38">
        <f>dataset_A!H139</f>
        <v>1</v>
      </c>
      <c r="E139" s="38" t="b">
        <f>dataset_A!G139</f>
        <v>0</v>
      </c>
      <c r="F139" s="38" t="b">
        <f>dataset_A!G139</f>
        <v>0</v>
      </c>
      <c r="G139" s="38" t="str">
        <f t="shared" si="1"/>
        <v>Weekday</v>
      </c>
      <c r="H139" s="38" t="str">
        <f t="shared" si="2"/>
        <v>Morning</v>
      </c>
      <c r="I139" s="38" t="str">
        <f>IF(dataset_A!C139=1,"Spring",IF(dataset_A!C139=2,"Summer",IF(dataset_A!C139=3,"Fail","Winter")))</f>
        <v>Spring</v>
      </c>
      <c r="J139" s="38" t="str">
        <f>IF(dataset_A!I139=1,"Clear",IF(dataset_A!I139,"Mist/Cloudy",IF(dataset_A!I139=3,"Light Rain/Snow","Heavy Rain/Snow")))</f>
        <v>Mist/Cloudy</v>
      </c>
      <c r="K139" s="38">
        <f>dataset_A!N139</f>
        <v>0</v>
      </c>
      <c r="L139" s="38">
        <f>dataset_A!O139</f>
        <v>112</v>
      </c>
      <c r="M139" s="38">
        <f>dataset_A!P139</f>
        <v>112</v>
      </c>
      <c r="N139" s="38" t="str">
        <f t="shared" si="3"/>
        <v>Ok</v>
      </c>
      <c r="O139" s="38" t="str">
        <f>IF(M139&gt;Analysis!$B$3*1.5,"High",IF(M139&lt;Analysis!$B$3*0.5,"Low","Medium"))</f>
        <v>High</v>
      </c>
      <c r="P139" s="38" t="str">
        <f>VLOOKUP(dataset_A!C139,$Q$2:$R$5,2,0)</f>
        <v>Spring</v>
      </c>
      <c r="S139" s="38" t="str">
        <f t="array" ref="S139">INDEX($R$2:$R$5,MATCH(dataset_A!C139,$Q$2:$Q$5,0))</f>
        <v>Spring</v>
      </c>
      <c r="T139" s="38" t="str">
        <f t="shared" si="4"/>
        <v>Match</v>
      </c>
    </row>
    <row r="140" ht="12.75" customHeight="1">
      <c r="A140" s="38">
        <f>dataset_A!A140</f>
        <v>919</v>
      </c>
      <c r="B140" s="39">
        <f>dataset_A!B140</f>
        <v>40584</v>
      </c>
      <c r="C140" s="38">
        <f>dataset_A!F140</f>
        <v>19</v>
      </c>
      <c r="D140" s="38">
        <f>dataset_A!H140</f>
        <v>4</v>
      </c>
      <c r="E140" s="38" t="b">
        <f>dataset_A!G140</f>
        <v>0</v>
      </c>
      <c r="F140" s="38" t="b">
        <f>dataset_A!G140</f>
        <v>0</v>
      </c>
      <c r="G140" s="38" t="str">
        <f t="shared" si="1"/>
        <v>Weekday</v>
      </c>
      <c r="H140" s="38" t="str">
        <f t="shared" si="2"/>
        <v>Evening</v>
      </c>
      <c r="I140" s="38" t="str">
        <f>IF(dataset_A!C140=1,"Spring",IF(dataset_A!C140=2,"Summer",IF(dataset_A!C140=3,"Fail","Winter")))</f>
        <v>Spring</v>
      </c>
      <c r="J140" s="38" t="str">
        <f>IF(dataset_A!I140=1,"Clear",IF(dataset_A!I140,"Mist/Cloudy",IF(dataset_A!I140=3,"Light Rain/Snow","Heavy Rain/Snow")))</f>
        <v>Clear</v>
      </c>
      <c r="K140" s="38">
        <f>dataset_A!N140</f>
        <v>2</v>
      </c>
      <c r="L140" s="38">
        <f>dataset_A!O140</f>
        <v>110</v>
      </c>
      <c r="M140" s="38">
        <f>dataset_A!P140</f>
        <v>112</v>
      </c>
      <c r="N140" s="38" t="str">
        <f t="shared" si="3"/>
        <v>Ok</v>
      </c>
      <c r="O140" s="38" t="str">
        <f>IF(M140&gt;Analysis!$B$3*1.5,"High",IF(M140&lt;Analysis!$B$3*0.5,"Low","Medium"))</f>
        <v>High</v>
      </c>
      <c r="P140" s="38" t="str">
        <f>VLOOKUP(dataset_A!C140,$Q$2:$R$5,2,0)</f>
        <v>Spring</v>
      </c>
      <c r="S140" s="38" t="str">
        <f t="array" ref="S140">INDEX($R$2:$R$5,MATCH(dataset_A!C140,$Q$2:$Q$5,0))</f>
        <v>Spring</v>
      </c>
      <c r="T140" s="38" t="str">
        <f t="shared" si="4"/>
        <v>Match</v>
      </c>
    </row>
    <row r="141" ht="12.75" customHeight="1">
      <c r="A141" s="38">
        <f>dataset_A!A141</f>
        <v>980</v>
      </c>
      <c r="B141" s="39">
        <f>dataset_A!B141</f>
        <v>40587</v>
      </c>
      <c r="C141" s="38">
        <f>dataset_A!F141</f>
        <v>11</v>
      </c>
      <c r="D141" s="38">
        <f>dataset_A!H141</f>
        <v>0</v>
      </c>
      <c r="E141" s="38" t="b">
        <f>dataset_A!G141</f>
        <v>0</v>
      </c>
      <c r="F141" s="38" t="b">
        <f>dataset_A!G141</f>
        <v>0</v>
      </c>
      <c r="G141" s="38" t="str">
        <f t="shared" si="1"/>
        <v>Weekend</v>
      </c>
      <c r="H141" s="38" t="str">
        <f t="shared" si="2"/>
        <v>Morning</v>
      </c>
      <c r="I141" s="38" t="str">
        <f>IF(dataset_A!C141=1,"Spring",IF(dataset_A!C141=2,"Summer",IF(dataset_A!C141=3,"Fail","Winter")))</f>
        <v>Spring</v>
      </c>
      <c r="J141" s="38" t="str">
        <f>IF(dataset_A!I141=1,"Clear",IF(dataset_A!I141,"Mist/Cloudy",IF(dataset_A!I141=3,"Light Rain/Snow","Heavy Rain/Snow")))</f>
        <v>Clear</v>
      </c>
      <c r="K141" s="38">
        <f>dataset_A!N141</f>
        <v>26</v>
      </c>
      <c r="L141" s="38">
        <f>dataset_A!O141</f>
        <v>86</v>
      </c>
      <c r="M141" s="38">
        <f>dataset_A!P141</f>
        <v>112</v>
      </c>
      <c r="N141" s="38" t="str">
        <f t="shared" si="3"/>
        <v>Ok</v>
      </c>
      <c r="O141" s="38" t="str">
        <f>IF(M141&gt;Analysis!$B$3*1.5,"High",IF(M141&lt;Analysis!$B$3*0.5,"Low","Medium"))</f>
        <v>High</v>
      </c>
      <c r="P141" s="38" t="str">
        <f>VLOOKUP(dataset_A!C141,$Q$2:$R$5,2,0)</f>
        <v>Spring</v>
      </c>
      <c r="S141" s="38" t="str">
        <f t="array" ref="S141">INDEX($R$2:$R$5,MATCH(dataset_A!C141,$Q$2:$Q$5,0))</f>
        <v>Spring</v>
      </c>
      <c r="T141" s="38" t="str">
        <f t="shared" si="4"/>
        <v>Match</v>
      </c>
    </row>
    <row r="142" ht="12.75" customHeight="1">
      <c r="A142" s="38">
        <f>dataset_A!A142</f>
        <v>684</v>
      </c>
      <c r="B142" s="39">
        <f>dataset_A!B142</f>
        <v>40574</v>
      </c>
      <c r="C142" s="38">
        <f>dataset_A!F142</f>
        <v>19</v>
      </c>
      <c r="D142" s="38">
        <f>dataset_A!H142</f>
        <v>1</v>
      </c>
      <c r="E142" s="38" t="b">
        <f>dataset_A!G142</f>
        <v>0</v>
      </c>
      <c r="F142" s="38" t="b">
        <f>dataset_A!G142</f>
        <v>0</v>
      </c>
      <c r="G142" s="38" t="str">
        <f t="shared" si="1"/>
        <v>Weekday</v>
      </c>
      <c r="H142" s="38" t="str">
        <f t="shared" si="2"/>
        <v>Evening</v>
      </c>
      <c r="I142" s="38" t="str">
        <f>IF(dataset_A!C142=1,"Spring",IF(dataset_A!C142=2,"Summer",IF(dataset_A!C142=3,"Fail","Winter")))</f>
        <v>Spring</v>
      </c>
      <c r="J142" s="38" t="str">
        <f>IF(dataset_A!I142=1,"Clear",IF(dataset_A!I142,"Mist/Cloudy",IF(dataset_A!I142=3,"Light Rain/Snow","Heavy Rain/Snow")))</f>
        <v>Clear</v>
      </c>
      <c r="K142" s="38">
        <f>dataset_A!N142</f>
        <v>3</v>
      </c>
      <c r="L142" s="38">
        <f>dataset_A!O142</f>
        <v>108</v>
      </c>
      <c r="M142" s="38">
        <f>dataset_A!P142</f>
        <v>111</v>
      </c>
      <c r="N142" s="38" t="str">
        <f t="shared" si="3"/>
        <v>Ok</v>
      </c>
      <c r="O142" s="38" t="str">
        <f>IF(M142&gt;Analysis!$B$3*1.5,"High",IF(M142&lt;Analysis!$B$3*0.5,"Low","Medium"))</f>
        <v>High</v>
      </c>
      <c r="P142" s="38" t="str">
        <f>VLOOKUP(dataset_A!C142,$Q$2:$R$5,2,0)</f>
        <v>Spring</v>
      </c>
      <c r="S142" s="38" t="str">
        <f t="array" ref="S142">INDEX($R$2:$R$5,MATCH(dataset_A!C142,$Q$2:$Q$5,0))</f>
        <v>Spring</v>
      </c>
      <c r="T142" s="38" t="str">
        <f t="shared" si="4"/>
        <v>Match</v>
      </c>
    </row>
    <row r="143" ht="12.75" customHeight="1">
      <c r="A143" s="38">
        <f>dataset_A!A143</f>
        <v>16</v>
      </c>
      <c r="B143" s="39">
        <f>dataset_A!B143</f>
        <v>40544</v>
      </c>
      <c r="C143" s="38">
        <f>dataset_A!F143</f>
        <v>15</v>
      </c>
      <c r="D143" s="38">
        <f>dataset_A!H143</f>
        <v>6</v>
      </c>
      <c r="E143" s="38" t="b">
        <f>dataset_A!G143</f>
        <v>0</v>
      </c>
      <c r="F143" s="38" t="b">
        <f>dataset_A!G143</f>
        <v>0</v>
      </c>
      <c r="G143" s="38" t="str">
        <f t="shared" si="1"/>
        <v>Weekend</v>
      </c>
      <c r="H143" s="38" t="str">
        <f t="shared" si="2"/>
        <v>Afternoon</v>
      </c>
      <c r="I143" s="38" t="str">
        <f>IF(dataset_A!C143=1,"Spring",IF(dataset_A!C143=2,"Summer",IF(dataset_A!C143=3,"Fail","Winter")))</f>
        <v>Spring</v>
      </c>
      <c r="J143" s="38" t="str">
        <f>IF(dataset_A!I143=1,"Clear",IF(dataset_A!I143,"Mist/Cloudy",IF(dataset_A!I143=3,"Light Rain/Snow","Heavy Rain/Snow")))</f>
        <v>Mist/Cloudy</v>
      </c>
      <c r="K143" s="38">
        <f>dataset_A!N143</f>
        <v>40</v>
      </c>
      <c r="L143" s="38">
        <f>dataset_A!O143</f>
        <v>70</v>
      </c>
      <c r="M143" s="38">
        <f>dataset_A!P143</f>
        <v>110</v>
      </c>
      <c r="N143" s="38" t="str">
        <f t="shared" si="3"/>
        <v>Ok</v>
      </c>
      <c r="O143" s="38" t="str">
        <f>IF(M143&gt;Analysis!$B$3*1.5,"High",IF(M143&lt;Analysis!$B$3*0.5,"Low","Medium"))</f>
        <v>High</v>
      </c>
      <c r="P143" s="38" t="str">
        <f>VLOOKUP(dataset_A!C143,$Q$2:$R$5,2,0)</f>
        <v>Spring</v>
      </c>
      <c r="S143" s="38" t="str">
        <f t="array" ref="S143">INDEX($R$2:$R$5,MATCH(dataset_A!C143,$Q$2:$Q$5,0))</f>
        <v>Spring</v>
      </c>
      <c r="T143" s="38" t="str">
        <f t="shared" si="4"/>
        <v>Match</v>
      </c>
    </row>
    <row r="144" ht="12.75" customHeight="1">
      <c r="A144" s="38">
        <f>dataset_A!A144</f>
        <v>65</v>
      </c>
      <c r="B144" s="39">
        <f>dataset_A!B144</f>
        <v>40546</v>
      </c>
      <c r="C144" s="38">
        <f>dataset_A!F144</f>
        <v>19</v>
      </c>
      <c r="D144" s="38">
        <f>dataset_A!H144</f>
        <v>1</v>
      </c>
      <c r="E144" s="38" t="b">
        <f>dataset_A!G144</f>
        <v>0</v>
      </c>
      <c r="F144" s="38" t="b">
        <f>dataset_A!G144</f>
        <v>0</v>
      </c>
      <c r="G144" s="38" t="str">
        <f t="shared" si="1"/>
        <v>Weekday</v>
      </c>
      <c r="H144" s="38" t="str">
        <f t="shared" si="2"/>
        <v>Evening</v>
      </c>
      <c r="I144" s="38" t="str">
        <f>IF(dataset_A!C144=1,"Spring",IF(dataset_A!C144=2,"Summer",IF(dataset_A!C144=3,"Fail","Winter")))</f>
        <v>Spring</v>
      </c>
      <c r="J144" s="38" t="str">
        <f>IF(dataset_A!I144=1,"Clear",IF(dataset_A!I144,"Mist/Cloudy",IF(dataset_A!I144=3,"Light Rain/Snow","Heavy Rain/Snow")))</f>
        <v>Clear</v>
      </c>
      <c r="K144" s="38">
        <f>dataset_A!N144</f>
        <v>8</v>
      </c>
      <c r="L144" s="38">
        <f>dataset_A!O144</f>
        <v>102</v>
      </c>
      <c r="M144" s="38">
        <f>dataset_A!P144</f>
        <v>110</v>
      </c>
      <c r="N144" s="38" t="str">
        <f t="shared" si="3"/>
        <v>Ok</v>
      </c>
      <c r="O144" s="38" t="str">
        <f>IF(M144&gt;Analysis!$B$3*1.5,"High",IF(M144&lt;Analysis!$B$3*0.5,"Low","Medium"))</f>
        <v>High</v>
      </c>
      <c r="P144" s="38" t="str">
        <f>VLOOKUP(dataset_A!C144,$Q$2:$R$5,2,0)</f>
        <v>Spring</v>
      </c>
      <c r="S144" s="38" t="str">
        <f t="array" ref="S144">INDEX($R$2:$R$5,MATCH(dataset_A!C144,$Q$2:$Q$5,0))</f>
        <v>Spring</v>
      </c>
      <c r="T144" s="38" t="str">
        <f t="shared" si="4"/>
        <v>Match</v>
      </c>
    </row>
    <row r="145" ht="12.75" customHeight="1">
      <c r="A145" s="38">
        <f>dataset_A!A145</f>
        <v>516</v>
      </c>
      <c r="B145" s="39">
        <f>dataset_A!B145</f>
        <v>40566</v>
      </c>
      <c r="C145" s="38">
        <f>dataset_A!F145</f>
        <v>14</v>
      </c>
      <c r="D145" s="38">
        <f>dataset_A!H145</f>
        <v>0</v>
      </c>
      <c r="E145" s="38" t="b">
        <f>dataset_A!G145</f>
        <v>0</v>
      </c>
      <c r="F145" s="38" t="b">
        <f>dataset_A!G145</f>
        <v>0</v>
      </c>
      <c r="G145" s="38" t="str">
        <f t="shared" si="1"/>
        <v>Weekend</v>
      </c>
      <c r="H145" s="38" t="str">
        <f t="shared" si="2"/>
        <v>Afternoon</v>
      </c>
      <c r="I145" s="38" t="str">
        <f>IF(dataset_A!C145=1,"Spring",IF(dataset_A!C145=2,"Summer",IF(dataset_A!C145=3,"Fail","Winter")))</f>
        <v>Spring</v>
      </c>
      <c r="J145" s="38" t="str">
        <f>IF(dataset_A!I145=1,"Clear",IF(dataset_A!I145,"Mist/Cloudy",IF(dataset_A!I145=3,"Light Rain/Snow","Heavy Rain/Snow")))</f>
        <v>Clear</v>
      </c>
      <c r="K145" s="38">
        <f>dataset_A!N145</f>
        <v>17</v>
      </c>
      <c r="L145" s="38">
        <f>dataset_A!O145</f>
        <v>93</v>
      </c>
      <c r="M145" s="38">
        <f>dataset_A!P145</f>
        <v>110</v>
      </c>
      <c r="N145" s="38" t="str">
        <f t="shared" si="3"/>
        <v>Ok</v>
      </c>
      <c r="O145" s="38" t="str">
        <f>IF(M145&gt;Analysis!$B$3*1.5,"High",IF(M145&lt;Analysis!$B$3*0.5,"Low","Medium"))</f>
        <v>High</v>
      </c>
      <c r="P145" s="38" t="str">
        <f>VLOOKUP(dataset_A!C145,$Q$2:$R$5,2,0)</f>
        <v>Spring</v>
      </c>
      <c r="S145" s="38" t="str">
        <f t="array" ref="S145">INDEX($R$2:$R$5,MATCH(dataset_A!C145,$Q$2:$Q$5,0))</f>
        <v>Spring</v>
      </c>
      <c r="T145" s="38" t="str">
        <f t="shared" si="4"/>
        <v>Match</v>
      </c>
    </row>
    <row r="146" ht="12.75" customHeight="1">
      <c r="A146" s="38">
        <f>dataset_A!A146</f>
        <v>935</v>
      </c>
      <c r="B146" s="39">
        <f>dataset_A!B146</f>
        <v>40585</v>
      </c>
      <c r="C146" s="38">
        <f>dataset_A!F146</f>
        <v>13</v>
      </c>
      <c r="D146" s="38">
        <f>dataset_A!H146</f>
        <v>5</v>
      </c>
      <c r="E146" s="38" t="b">
        <f>dataset_A!G146</f>
        <v>0</v>
      </c>
      <c r="F146" s="38" t="b">
        <f>dataset_A!G146</f>
        <v>0</v>
      </c>
      <c r="G146" s="38" t="str">
        <f t="shared" si="1"/>
        <v>Weekday</v>
      </c>
      <c r="H146" s="38" t="str">
        <f t="shared" si="2"/>
        <v>Afternoon</v>
      </c>
      <c r="I146" s="38" t="str">
        <f>IF(dataset_A!C146=1,"Spring",IF(dataset_A!C146=2,"Summer",IF(dataset_A!C146=3,"Fail","Winter")))</f>
        <v>Spring</v>
      </c>
      <c r="J146" s="38" t="str">
        <f>IF(dataset_A!I146=1,"Clear",IF(dataset_A!I146,"Mist/Cloudy",IF(dataset_A!I146=3,"Light Rain/Snow","Heavy Rain/Snow")))</f>
        <v>Clear</v>
      </c>
      <c r="K146" s="38">
        <f>dataset_A!N146</f>
        <v>21</v>
      </c>
      <c r="L146" s="38">
        <f>dataset_A!O146</f>
        <v>89</v>
      </c>
      <c r="M146" s="38">
        <f>dataset_A!P146</f>
        <v>110</v>
      </c>
      <c r="N146" s="38" t="str">
        <f t="shared" si="3"/>
        <v>Ok</v>
      </c>
      <c r="O146" s="38" t="str">
        <f>IF(M146&gt;Analysis!$B$3*1.5,"High",IF(M146&lt;Analysis!$B$3*0.5,"Low","Medium"))</f>
        <v>High</v>
      </c>
      <c r="P146" s="38" t="str">
        <f>VLOOKUP(dataset_A!C146,$Q$2:$R$5,2,0)</f>
        <v>Spring</v>
      </c>
      <c r="S146" s="38" t="str">
        <f t="array" ref="S146">INDEX($R$2:$R$5,MATCH(dataset_A!C146,$Q$2:$Q$5,0))</f>
        <v>Spring</v>
      </c>
      <c r="T146" s="38" t="str">
        <f t="shared" si="4"/>
        <v>Match</v>
      </c>
    </row>
    <row r="147" ht="12.75" customHeight="1">
      <c r="A147" s="38">
        <f>dataset_A!A147</f>
        <v>417</v>
      </c>
      <c r="B147" s="39">
        <f>dataset_A!B147</f>
        <v>40562</v>
      </c>
      <c r="C147" s="38">
        <f>dataset_A!F147</f>
        <v>9</v>
      </c>
      <c r="D147" s="38">
        <f>dataset_A!H147</f>
        <v>3</v>
      </c>
      <c r="E147" s="38" t="b">
        <f>dataset_A!G147</f>
        <v>0</v>
      </c>
      <c r="F147" s="38" t="b">
        <f>dataset_A!G147</f>
        <v>0</v>
      </c>
      <c r="G147" s="38" t="str">
        <f t="shared" si="1"/>
        <v>Weekday</v>
      </c>
      <c r="H147" s="38" t="str">
        <f t="shared" si="2"/>
        <v>Morning</v>
      </c>
      <c r="I147" s="38" t="str">
        <f>IF(dataset_A!C147=1,"Spring",IF(dataset_A!C147=2,"Summer",IF(dataset_A!C147=3,"Fail","Winter")))</f>
        <v>Spring</v>
      </c>
      <c r="J147" s="38" t="str">
        <f>IF(dataset_A!I147=1,"Clear",IF(dataset_A!I147,"Mist/Cloudy",IF(dataset_A!I147=3,"Light Rain/Snow","Heavy Rain/Snow")))</f>
        <v>Mist/Cloudy</v>
      </c>
      <c r="K147" s="38">
        <f>dataset_A!N147</f>
        <v>2</v>
      </c>
      <c r="L147" s="38">
        <f>dataset_A!O147</f>
        <v>107</v>
      </c>
      <c r="M147" s="38">
        <f>dataset_A!P147</f>
        <v>109</v>
      </c>
      <c r="N147" s="38" t="str">
        <f t="shared" si="3"/>
        <v>Ok</v>
      </c>
      <c r="O147" s="38" t="str">
        <f>IF(M147&gt;Analysis!$B$3*1.5,"High",IF(M147&lt;Analysis!$B$3*0.5,"Low","Medium"))</f>
        <v>High</v>
      </c>
      <c r="P147" s="38" t="str">
        <f>VLOOKUP(dataset_A!C147,$Q$2:$R$5,2,0)</f>
        <v>Spring</v>
      </c>
      <c r="S147" s="38" t="str">
        <f t="array" ref="S147">INDEX($R$2:$R$5,MATCH(dataset_A!C147,$Q$2:$Q$5,0))</f>
        <v>Spring</v>
      </c>
      <c r="T147" s="38" t="str">
        <f t="shared" si="4"/>
        <v>Match</v>
      </c>
    </row>
    <row r="148" ht="12.75" customHeight="1">
      <c r="A148" s="38">
        <f>dataset_A!A148</f>
        <v>613</v>
      </c>
      <c r="B148" s="39">
        <f>dataset_A!B148</f>
        <v>40571</v>
      </c>
      <c r="C148" s="38">
        <f>dataset_A!F148</f>
        <v>18</v>
      </c>
      <c r="D148" s="38">
        <f>dataset_A!H148</f>
        <v>5</v>
      </c>
      <c r="E148" s="38" t="b">
        <f>dataset_A!G148</f>
        <v>0</v>
      </c>
      <c r="F148" s="38" t="b">
        <f>dataset_A!G148</f>
        <v>0</v>
      </c>
      <c r="G148" s="38" t="str">
        <f t="shared" si="1"/>
        <v>Weekday</v>
      </c>
      <c r="H148" s="38" t="str">
        <f t="shared" si="2"/>
        <v>Evening</v>
      </c>
      <c r="I148" s="38" t="str">
        <f>IF(dataset_A!C148=1,"Spring",IF(dataset_A!C148=2,"Summer",IF(dataset_A!C148=3,"Fail","Winter")))</f>
        <v>Spring</v>
      </c>
      <c r="J148" s="38" t="str">
        <f>IF(dataset_A!I148=1,"Clear",IF(dataset_A!I148,"Mist/Cloudy",IF(dataset_A!I148=3,"Light Rain/Snow","Heavy Rain/Snow")))</f>
        <v>Clear</v>
      </c>
      <c r="K148" s="38">
        <f>dataset_A!N148</f>
        <v>2</v>
      </c>
      <c r="L148" s="38">
        <f>dataset_A!O148</f>
        <v>107</v>
      </c>
      <c r="M148" s="38">
        <f>dataset_A!P148</f>
        <v>109</v>
      </c>
      <c r="N148" s="38" t="str">
        <f t="shared" si="3"/>
        <v>Ok</v>
      </c>
      <c r="O148" s="38" t="str">
        <f>IF(M148&gt;Analysis!$B$3*1.5,"High",IF(M148&lt;Analysis!$B$3*0.5,"Low","Medium"))</f>
        <v>High</v>
      </c>
      <c r="P148" s="38" t="str">
        <f>VLOOKUP(dataset_A!C148,$Q$2:$R$5,2,0)</f>
        <v>Spring</v>
      </c>
      <c r="S148" s="38" t="str">
        <f t="array" ref="S148">INDEX($R$2:$R$5,MATCH(dataset_A!C148,$Q$2:$Q$5,0))</f>
        <v>Spring</v>
      </c>
      <c r="T148" s="38" t="str">
        <f t="shared" si="4"/>
        <v>Match</v>
      </c>
    </row>
    <row r="149" ht="12.75" customHeight="1">
      <c r="A149" s="38">
        <f>dataset_A!A149</f>
        <v>656</v>
      </c>
      <c r="B149" s="39">
        <f>dataset_A!B149</f>
        <v>40573</v>
      </c>
      <c r="C149" s="38">
        <f>dataset_A!F149</f>
        <v>15</v>
      </c>
      <c r="D149" s="38">
        <f>dataset_A!H149</f>
        <v>0</v>
      </c>
      <c r="E149" s="38" t="b">
        <f>dataset_A!G149</f>
        <v>0</v>
      </c>
      <c r="F149" s="38" t="b">
        <f>dataset_A!G149</f>
        <v>0</v>
      </c>
      <c r="G149" s="38" t="str">
        <f t="shared" si="1"/>
        <v>Weekend</v>
      </c>
      <c r="H149" s="38" t="str">
        <f t="shared" si="2"/>
        <v>Afternoon</v>
      </c>
      <c r="I149" s="38" t="str">
        <f>IF(dataset_A!C149=1,"Spring",IF(dataset_A!C149=2,"Summer",IF(dataset_A!C149=3,"Fail","Winter")))</f>
        <v>Spring</v>
      </c>
      <c r="J149" s="38" t="str">
        <f>IF(dataset_A!I149=1,"Clear",IF(dataset_A!I149,"Mist/Cloudy",IF(dataset_A!I149=3,"Light Rain/Snow","Heavy Rain/Snow")))</f>
        <v>Clear</v>
      </c>
      <c r="K149" s="38">
        <f>dataset_A!N149</f>
        <v>14</v>
      </c>
      <c r="L149" s="38">
        <f>dataset_A!O149</f>
        <v>95</v>
      </c>
      <c r="M149" s="38">
        <f>dataset_A!P149</f>
        <v>109</v>
      </c>
      <c r="N149" s="38" t="str">
        <f t="shared" si="3"/>
        <v>Ok</v>
      </c>
      <c r="O149" s="38" t="str">
        <f>IF(M149&gt;Analysis!$B$3*1.5,"High",IF(M149&lt;Analysis!$B$3*0.5,"Low","Medium"))</f>
        <v>High</v>
      </c>
      <c r="P149" s="38" t="str">
        <f>VLOOKUP(dataset_A!C149,$Q$2:$R$5,2,0)</f>
        <v>Spring</v>
      </c>
      <c r="S149" s="38" t="str">
        <f t="array" ref="S149">INDEX($R$2:$R$5,MATCH(dataset_A!C149,$Q$2:$Q$5,0))</f>
        <v>Spring</v>
      </c>
      <c r="T149" s="38" t="str">
        <f t="shared" si="4"/>
        <v>Match</v>
      </c>
    </row>
    <row r="150" ht="12.75" customHeight="1">
      <c r="A150" s="38">
        <f>dataset_A!A150</f>
        <v>755</v>
      </c>
      <c r="B150" s="39">
        <f>dataset_A!B150</f>
        <v>40577</v>
      </c>
      <c r="C150" s="38">
        <f>dataset_A!F150</f>
        <v>20</v>
      </c>
      <c r="D150" s="38">
        <f>dataset_A!H150</f>
        <v>4</v>
      </c>
      <c r="E150" s="38" t="b">
        <f>dataset_A!G150</f>
        <v>0</v>
      </c>
      <c r="F150" s="38" t="b">
        <f>dataset_A!G150</f>
        <v>0</v>
      </c>
      <c r="G150" s="38" t="str">
        <f t="shared" si="1"/>
        <v>Weekday</v>
      </c>
      <c r="H150" s="38" t="str">
        <f t="shared" si="2"/>
        <v>Evening</v>
      </c>
      <c r="I150" s="38" t="str">
        <f>IF(dataset_A!C150=1,"Spring",IF(dataset_A!C150=2,"Summer",IF(dataset_A!C150=3,"Fail","Winter")))</f>
        <v>Spring</v>
      </c>
      <c r="J150" s="38" t="str">
        <f>IF(dataset_A!I150=1,"Clear",IF(dataset_A!I150,"Mist/Cloudy",IF(dataset_A!I150=3,"Light Rain/Snow","Heavy Rain/Snow")))</f>
        <v>Clear</v>
      </c>
      <c r="K150" s="38">
        <f>dataset_A!N150</f>
        <v>1</v>
      </c>
      <c r="L150" s="38">
        <f>dataset_A!O150</f>
        <v>108</v>
      </c>
      <c r="M150" s="38">
        <f>dataset_A!P150</f>
        <v>109</v>
      </c>
      <c r="N150" s="38" t="str">
        <f t="shared" si="3"/>
        <v>Ok</v>
      </c>
      <c r="O150" s="38" t="str">
        <f>IF(M150&gt;Analysis!$B$3*1.5,"High",IF(M150&lt;Analysis!$B$3*0.5,"Low","Medium"))</f>
        <v>High</v>
      </c>
      <c r="P150" s="38" t="str">
        <f>VLOOKUP(dataset_A!C150,$Q$2:$R$5,2,0)</f>
        <v>Spring</v>
      </c>
      <c r="S150" s="38" t="str">
        <f t="array" ref="S150">INDEX($R$2:$R$5,MATCH(dataset_A!C150,$Q$2:$Q$5,0))</f>
        <v>Spring</v>
      </c>
      <c r="T150" s="38" t="str">
        <f t="shared" si="4"/>
        <v>Match</v>
      </c>
    </row>
    <row r="151" ht="12.75" customHeight="1">
      <c r="A151" s="38">
        <f>dataset_A!A151</f>
        <v>555</v>
      </c>
      <c r="B151" s="39">
        <f>dataset_A!B151</f>
        <v>40568</v>
      </c>
      <c r="C151" s="38">
        <f>dataset_A!F151</f>
        <v>7</v>
      </c>
      <c r="D151" s="38">
        <f>dataset_A!H151</f>
        <v>2</v>
      </c>
      <c r="E151" s="38" t="b">
        <f>dataset_A!G151</f>
        <v>0</v>
      </c>
      <c r="F151" s="38" t="b">
        <f>dataset_A!G151</f>
        <v>0</v>
      </c>
      <c r="G151" s="38" t="str">
        <f t="shared" si="1"/>
        <v>Weekday</v>
      </c>
      <c r="H151" s="38" t="str">
        <f t="shared" si="2"/>
        <v>Morning</v>
      </c>
      <c r="I151" s="38" t="str">
        <f>IF(dataset_A!C151=1,"Spring",IF(dataset_A!C151=2,"Summer",IF(dataset_A!C151=3,"Fail","Winter")))</f>
        <v>Spring</v>
      </c>
      <c r="J151" s="38" t="str">
        <f>IF(dataset_A!I151=1,"Clear",IF(dataset_A!I151,"Mist/Cloudy",IF(dataset_A!I151=3,"Light Rain/Snow","Heavy Rain/Snow")))</f>
        <v>Clear</v>
      </c>
      <c r="K151" s="38">
        <f>dataset_A!N151</f>
        <v>5</v>
      </c>
      <c r="L151" s="38">
        <f>dataset_A!O151</f>
        <v>103</v>
      </c>
      <c r="M151" s="38">
        <f>dataset_A!P151</f>
        <v>108</v>
      </c>
      <c r="N151" s="38" t="str">
        <f t="shared" si="3"/>
        <v>Ok</v>
      </c>
      <c r="O151" s="38" t="str">
        <f>IF(M151&gt;Analysis!$B$3*1.5,"High",IF(M151&lt;Analysis!$B$3*0.5,"Low","Medium"))</f>
        <v>High</v>
      </c>
      <c r="P151" s="38" t="str">
        <f>VLOOKUP(dataset_A!C151,$Q$2:$R$5,2,0)</f>
        <v>Spring</v>
      </c>
      <c r="S151" s="38" t="str">
        <f t="array" ref="S151">INDEX($R$2:$R$5,MATCH(dataset_A!C151,$Q$2:$Q$5,0))</f>
        <v>Spring</v>
      </c>
      <c r="T151" s="38" t="str">
        <f t="shared" si="4"/>
        <v>Match</v>
      </c>
    </row>
    <row r="152" ht="12.75" customHeight="1">
      <c r="A152" s="38">
        <f>dataset_A!A152</f>
        <v>707</v>
      </c>
      <c r="B152" s="39">
        <f>dataset_A!B152</f>
        <v>40575</v>
      </c>
      <c r="C152" s="38">
        <f>dataset_A!F152</f>
        <v>19</v>
      </c>
      <c r="D152" s="38">
        <f>dataset_A!H152</f>
        <v>2</v>
      </c>
      <c r="E152" s="38" t="b">
        <f>dataset_A!G152</f>
        <v>0</v>
      </c>
      <c r="F152" s="38" t="b">
        <f>dataset_A!G152</f>
        <v>0</v>
      </c>
      <c r="G152" s="38" t="str">
        <f t="shared" si="1"/>
        <v>Weekday</v>
      </c>
      <c r="H152" s="38" t="str">
        <f t="shared" si="2"/>
        <v>Evening</v>
      </c>
      <c r="I152" s="38" t="str">
        <f>IF(dataset_A!C152=1,"Spring",IF(dataset_A!C152=2,"Summer",IF(dataset_A!C152=3,"Fail","Winter")))</f>
        <v>Spring</v>
      </c>
      <c r="J152" s="38" t="str">
        <f>IF(dataset_A!I152=1,"Clear",IF(dataset_A!I152,"Mist/Cloudy",IF(dataset_A!I152=3,"Light Rain/Snow","Heavy Rain/Snow")))</f>
        <v>Mist/Cloudy</v>
      </c>
      <c r="K152" s="38">
        <f>dataset_A!N152</f>
        <v>3</v>
      </c>
      <c r="L152" s="38">
        <f>dataset_A!O152</f>
        <v>105</v>
      </c>
      <c r="M152" s="38">
        <f>dataset_A!P152</f>
        <v>108</v>
      </c>
      <c r="N152" s="38" t="str">
        <f t="shared" si="3"/>
        <v>Ok</v>
      </c>
      <c r="O152" s="38" t="str">
        <f>IF(M152&gt;Analysis!$B$3*1.5,"High",IF(M152&lt;Analysis!$B$3*0.5,"Low","Medium"))</f>
        <v>High</v>
      </c>
      <c r="P152" s="38" t="str">
        <f>VLOOKUP(dataset_A!C152,$Q$2:$R$5,2,0)</f>
        <v>Spring</v>
      </c>
      <c r="S152" s="38" t="str">
        <f t="array" ref="S152">INDEX($R$2:$R$5,MATCH(dataset_A!C152,$Q$2:$Q$5,0))</f>
        <v>Spring</v>
      </c>
      <c r="T152" s="38" t="str">
        <f t="shared" si="4"/>
        <v>Match</v>
      </c>
    </row>
    <row r="153" ht="12.75" customHeight="1">
      <c r="A153" s="38">
        <f>dataset_A!A153</f>
        <v>634</v>
      </c>
      <c r="B153" s="39">
        <f>dataset_A!B153</f>
        <v>40572</v>
      </c>
      <c r="C153" s="38">
        <f>dataset_A!F153</f>
        <v>16</v>
      </c>
      <c r="D153" s="38">
        <f>dataset_A!H153</f>
        <v>6</v>
      </c>
      <c r="E153" s="38" t="b">
        <f>dataset_A!G153</f>
        <v>0</v>
      </c>
      <c r="F153" s="38" t="b">
        <f>dataset_A!G153</f>
        <v>0</v>
      </c>
      <c r="G153" s="38" t="str">
        <f t="shared" si="1"/>
        <v>Weekend</v>
      </c>
      <c r="H153" s="38" t="str">
        <f t="shared" si="2"/>
        <v>Afternoon</v>
      </c>
      <c r="I153" s="38" t="str">
        <f>IF(dataset_A!C153=1,"Spring",IF(dataset_A!C153=2,"Summer",IF(dataset_A!C153=3,"Fail","Winter")))</f>
        <v>Spring</v>
      </c>
      <c r="J153" s="38" t="str">
        <f>IF(dataset_A!I153=1,"Clear",IF(dataset_A!I153,"Mist/Cloudy",IF(dataset_A!I153=3,"Light Rain/Snow","Heavy Rain/Snow")))</f>
        <v>Clear</v>
      </c>
      <c r="K153" s="38">
        <f>dataset_A!N153</f>
        <v>19</v>
      </c>
      <c r="L153" s="38">
        <f>dataset_A!O153</f>
        <v>88</v>
      </c>
      <c r="M153" s="38">
        <f>dataset_A!P153</f>
        <v>107</v>
      </c>
      <c r="N153" s="38" t="str">
        <f t="shared" si="3"/>
        <v>Ok</v>
      </c>
      <c r="O153" s="38" t="str">
        <f>IF(M153&gt;Analysis!$B$3*1.5,"High",IF(M153&lt;Analysis!$B$3*0.5,"Low","Medium"))</f>
        <v>High</v>
      </c>
      <c r="P153" s="38" t="str">
        <f>VLOOKUP(dataset_A!C153,$Q$2:$R$5,2,0)</f>
        <v>Spring</v>
      </c>
      <c r="S153" s="38" t="str">
        <f t="array" ref="S153">INDEX($R$2:$R$5,MATCH(dataset_A!C153,$Q$2:$Q$5,0))</f>
        <v>Spring</v>
      </c>
      <c r="T153" s="38" t="str">
        <f t="shared" si="4"/>
        <v>Match</v>
      </c>
    </row>
    <row r="154" ht="12.75" customHeight="1">
      <c r="A154" s="38">
        <f>dataset_A!A154</f>
        <v>15</v>
      </c>
      <c r="B154" s="39">
        <f>dataset_A!B154</f>
        <v>40544</v>
      </c>
      <c r="C154" s="38">
        <f>dataset_A!F154</f>
        <v>14</v>
      </c>
      <c r="D154" s="38">
        <f>dataset_A!H154</f>
        <v>6</v>
      </c>
      <c r="E154" s="38" t="b">
        <f>dataset_A!G154</f>
        <v>0</v>
      </c>
      <c r="F154" s="38" t="b">
        <f>dataset_A!G154</f>
        <v>0</v>
      </c>
      <c r="G154" s="38" t="str">
        <f t="shared" si="1"/>
        <v>Weekend</v>
      </c>
      <c r="H154" s="38" t="str">
        <f t="shared" si="2"/>
        <v>Afternoon</v>
      </c>
      <c r="I154" s="38" t="str">
        <f>IF(dataset_A!C154=1,"Spring",IF(dataset_A!C154=2,"Summer",IF(dataset_A!C154=3,"Fail","Winter")))</f>
        <v>Spring</v>
      </c>
      <c r="J154" s="38" t="str">
        <f>IF(dataset_A!I154=1,"Clear",IF(dataset_A!I154,"Mist/Cloudy",IF(dataset_A!I154=3,"Light Rain/Snow","Heavy Rain/Snow")))</f>
        <v>Mist/Cloudy</v>
      </c>
      <c r="K154" s="38">
        <f>dataset_A!N154</f>
        <v>35</v>
      </c>
      <c r="L154" s="38">
        <f>dataset_A!O154</f>
        <v>71</v>
      </c>
      <c r="M154" s="38">
        <f>dataset_A!P154</f>
        <v>106</v>
      </c>
      <c r="N154" s="38" t="str">
        <f t="shared" si="3"/>
        <v>Ok</v>
      </c>
      <c r="O154" s="38" t="str">
        <f>IF(M154&gt;Analysis!$B$3*1.5,"High",IF(M154&lt;Analysis!$B$3*0.5,"Low","Medium"))</f>
        <v>High</v>
      </c>
      <c r="P154" s="38" t="str">
        <f>VLOOKUP(dataset_A!C154,$Q$2:$R$5,2,0)</f>
        <v>Spring</v>
      </c>
      <c r="S154" s="38" t="str">
        <f t="array" ref="S154">INDEX($R$2:$R$5,MATCH(dataset_A!C154,$Q$2:$Q$5,0))</f>
        <v>Spring</v>
      </c>
      <c r="T154" s="38" t="str">
        <f t="shared" si="4"/>
        <v>Match</v>
      </c>
    </row>
    <row r="155" ht="12.75" customHeight="1">
      <c r="A155" s="38">
        <f>dataset_A!A155</f>
        <v>544</v>
      </c>
      <c r="B155" s="39">
        <f>dataset_A!B155</f>
        <v>40567</v>
      </c>
      <c r="C155" s="38">
        <f>dataset_A!F155</f>
        <v>19</v>
      </c>
      <c r="D155" s="38">
        <f>dataset_A!H155</f>
        <v>1</v>
      </c>
      <c r="E155" s="38" t="b">
        <f>dataset_A!G155</f>
        <v>0</v>
      </c>
      <c r="F155" s="38" t="b">
        <f>dataset_A!G155</f>
        <v>0</v>
      </c>
      <c r="G155" s="38" t="str">
        <f t="shared" si="1"/>
        <v>Weekday</v>
      </c>
      <c r="H155" s="38" t="str">
        <f t="shared" si="2"/>
        <v>Evening</v>
      </c>
      <c r="I155" s="38" t="str">
        <f>IF(dataset_A!C155=1,"Spring",IF(dataset_A!C155=2,"Summer",IF(dataset_A!C155=3,"Fail","Winter")))</f>
        <v>Spring</v>
      </c>
      <c r="J155" s="38" t="str">
        <f>IF(dataset_A!I155=1,"Clear",IF(dataset_A!I155,"Mist/Cloudy",IF(dataset_A!I155=3,"Light Rain/Snow","Heavy Rain/Snow")))</f>
        <v>Clear</v>
      </c>
      <c r="K155" s="38">
        <f>dataset_A!N155</f>
        <v>5</v>
      </c>
      <c r="L155" s="38">
        <f>dataset_A!O155</f>
        <v>101</v>
      </c>
      <c r="M155" s="38">
        <f>dataset_A!P155</f>
        <v>106</v>
      </c>
      <c r="N155" s="38" t="str">
        <f t="shared" si="3"/>
        <v>Ok</v>
      </c>
      <c r="O155" s="38" t="str">
        <f>IF(M155&gt;Analysis!$B$3*1.5,"High",IF(M155&lt;Analysis!$B$3*0.5,"Low","Medium"))</f>
        <v>High</v>
      </c>
      <c r="P155" s="38" t="str">
        <f>VLOOKUP(dataset_A!C155,$Q$2:$R$5,2,0)</f>
        <v>Spring</v>
      </c>
      <c r="S155" s="38" t="str">
        <f t="array" ref="S155">INDEX($R$2:$R$5,MATCH(dataset_A!C155,$Q$2:$Q$5,0))</f>
        <v>Spring</v>
      </c>
      <c r="T155" s="38" t="str">
        <f t="shared" si="4"/>
        <v>Match</v>
      </c>
    </row>
    <row r="156" ht="12.75" customHeight="1">
      <c r="A156" s="38">
        <f>dataset_A!A156</f>
        <v>560</v>
      </c>
      <c r="B156" s="39">
        <f>dataset_A!B156</f>
        <v>40568</v>
      </c>
      <c r="C156" s="38">
        <f>dataset_A!F156</f>
        <v>12</v>
      </c>
      <c r="D156" s="38">
        <f>dataset_A!H156</f>
        <v>2</v>
      </c>
      <c r="E156" s="38" t="b">
        <f>dataset_A!G156</f>
        <v>0</v>
      </c>
      <c r="F156" s="38" t="b">
        <f>dataset_A!G156</f>
        <v>0</v>
      </c>
      <c r="G156" s="38" t="str">
        <f t="shared" si="1"/>
        <v>Weekday</v>
      </c>
      <c r="H156" s="38" t="str">
        <f t="shared" si="2"/>
        <v>Afternoon</v>
      </c>
      <c r="I156" s="38" t="str">
        <f>IF(dataset_A!C156=1,"Spring",IF(dataset_A!C156=2,"Summer",IF(dataset_A!C156=3,"Fail","Winter")))</f>
        <v>Spring</v>
      </c>
      <c r="J156" s="38" t="str">
        <f>IF(dataset_A!I156=1,"Clear",IF(dataset_A!I156,"Mist/Cloudy",IF(dataset_A!I156=3,"Light Rain/Snow","Heavy Rain/Snow")))</f>
        <v>Mist/Cloudy</v>
      </c>
      <c r="K156" s="38">
        <f>dataset_A!N156</f>
        <v>21</v>
      </c>
      <c r="L156" s="38">
        <f>dataset_A!O156</f>
        <v>85</v>
      </c>
      <c r="M156" s="38">
        <f>dataset_A!P156</f>
        <v>106</v>
      </c>
      <c r="N156" s="38" t="str">
        <f t="shared" si="3"/>
        <v>Ok</v>
      </c>
      <c r="O156" s="38" t="str">
        <f>IF(M156&gt;Analysis!$B$3*1.5,"High",IF(M156&lt;Analysis!$B$3*0.5,"Low","Medium"))</f>
        <v>High</v>
      </c>
      <c r="P156" s="38" t="str">
        <f>VLOOKUP(dataset_A!C156,$Q$2:$R$5,2,0)</f>
        <v>Spring</v>
      </c>
      <c r="S156" s="38" t="str">
        <f t="array" ref="S156">INDEX($R$2:$R$5,MATCH(dataset_A!C156,$Q$2:$Q$5,0))</f>
        <v>Spring</v>
      </c>
      <c r="T156" s="38" t="str">
        <f t="shared" si="4"/>
        <v>Match</v>
      </c>
    </row>
    <row r="157" ht="12.75" customHeight="1">
      <c r="A157" s="38">
        <f>dataset_A!A157</f>
        <v>366</v>
      </c>
      <c r="B157" s="39">
        <f>dataset_A!B157</f>
        <v>40559</v>
      </c>
      <c r="C157" s="38">
        <f>dataset_A!F157</f>
        <v>17</v>
      </c>
      <c r="D157" s="38">
        <f>dataset_A!H157</f>
        <v>0</v>
      </c>
      <c r="E157" s="38" t="b">
        <f>dataset_A!G157</f>
        <v>0</v>
      </c>
      <c r="F157" s="38" t="b">
        <f>dataset_A!G157</f>
        <v>0</v>
      </c>
      <c r="G157" s="38" t="str">
        <f t="shared" si="1"/>
        <v>Weekend</v>
      </c>
      <c r="H157" s="38" t="str">
        <f t="shared" si="2"/>
        <v>Afternoon</v>
      </c>
      <c r="I157" s="38" t="str">
        <f>IF(dataset_A!C157=1,"Spring",IF(dataset_A!C157=2,"Summer",IF(dataset_A!C157=3,"Fail","Winter")))</f>
        <v>Spring</v>
      </c>
      <c r="J157" s="38" t="str">
        <f>IF(dataset_A!I157=1,"Clear",IF(dataset_A!I157,"Mist/Cloudy",IF(dataset_A!I157=3,"Light Rain/Snow","Heavy Rain/Snow")))</f>
        <v>Clear</v>
      </c>
      <c r="K157" s="38">
        <f>dataset_A!N157</f>
        <v>23</v>
      </c>
      <c r="L157" s="38">
        <f>dataset_A!O157</f>
        <v>82</v>
      </c>
      <c r="M157" s="38">
        <f>dataset_A!P157</f>
        <v>105</v>
      </c>
      <c r="N157" s="38" t="str">
        <f t="shared" si="3"/>
        <v>Ok</v>
      </c>
      <c r="O157" s="38" t="str">
        <f>IF(M157&gt;Analysis!$B$3*1.5,"High",IF(M157&lt;Analysis!$B$3*0.5,"Low","Medium"))</f>
        <v>High</v>
      </c>
      <c r="P157" s="38" t="str">
        <f>VLOOKUP(dataset_A!C157,$Q$2:$R$5,2,0)</f>
        <v>Spring</v>
      </c>
      <c r="S157" s="38" t="str">
        <f t="array" ref="S157">INDEX($R$2:$R$5,MATCH(dataset_A!C157,$Q$2:$Q$5,0))</f>
        <v>Spring</v>
      </c>
      <c r="T157" s="38" t="str">
        <f t="shared" si="4"/>
        <v>Match</v>
      </c>
    </row>
    <row r="158" ht="12.75" customHeight="1">
      <c r="A158" s="38">
        <f>dataset_A!A158</f>
        <v>979</v>
      </c>
      <c r="B158" s="39">
        <f>dataset_A!B158</f>
        <v>40587</v>
      </c>
      <c r="C158" s="38">
        <f>dataset_A!F158</f>
        <v>10</v>
      </c>
      <c r="D158" s="38">
        <f>dataset_A!H158</f>
        <v>0</v>
      </c>
      <c r="E158" s="38" t="b">
        <f>dataset_A!G158</f>
        <v>0</v>
      </c>
      <c r="F158" s="38" t="b">
        <f>dataset_A!G158</f>
        <v>0</v>
      </c>
      <c r="G158" s="38" t="str">
        <f t="shared" si="1"/>
        <v>Weekend</v>
      </c>
      <c r="H158" s="38" t="str">
        <f t="shared" si="2"/>
        <v>Morning</v>
      </c>
      <c r="I158" s="38" t="str">
        <f>IF(dataset_A!C158=1,"Spring",IF(dataset_A!C158=2,"Summer",IF(dataset_A!C158=3,"Fail","Winter")))</f>
        <v>Spring</v>
      </c>
      <c r="J158" s="38" t="str">
        <f>IF(dataset_A!I158=1,"Clear",IF(dataset_A!I158,"Mist/Cloudy",IF(dataset_A!I158=3,"Light Rain/Snow","Heavy Rain/Snow")))</f>
        <v>Clear</v>
      </c>
      <c r="K158" s="38">
        <f>dataset_A!N158</f>
        <v>19</v>
      </c>
      <c r="L158" s="38">
        <f>dataset_A!O158</f>
        <v>86</v>
      </c>
      <c r="M158" s="38">
        <f>dataset_A!P158</f>
        <v>105</v>
      </c>
      <c r="N158" s="38" t="str">
        <f t="shared" si="3"/>
        <v>Ok</v>
      </c>
      <c r="O158" s="38" t="str">
        <f>IF(M158&gt;Analysis!$B$3*1.5,"High",IF(M158&lt;Analysis!$B$3*0.5,"Low","Medium"))</f>
        <v>High</v>
      </c>
      <c r="P158" s="38" t="str">
        <f>VLOOKUP(dataset_A!C158,$Q$2:$R$5,2,0)</f>
        <v>Spring</v>
      </c>
      <c r="S158" s="38" t="str">
        <f t="array" ref="S158">INDEX($R$2:$R$5,MATCH(dataset_A!C158,$Q$2:$Q$5,0))</f>
        <v>Spring</v>
      </c>
      <c r="T158" s="38" t="str">
        <f t="shared" si="4"/>
        <v>Match</v>
      </c>
    </row>
    <row r="159" ht="12.75" customHeight="1">
      <c r="A159" s="38">
        <f>dataset_A!A159</f>
        <v>361</v>
      </c>
      <c r="B159" s="39">
        <f>dataset_A!B159</f>
        <v>40559</v>
      </c>
      <c r="C159" s="38">
        <f>dataset_A!F159</f>
        <v>12</v>
      </c>
      <c r="D159" s="38">
        <f>dataset_A!H159</f>
        <v>0</v>
      </c>
      <c r="E159" s="38" t="b">
        <f>dataset_A!G159</f>
        <v>0</v>
      </c>
      <c r="F159" s="38" t="b">
        <f>dataset_A!G159</f>
        <v>0</v>
      </c>
      <c r="G159" s="38" t="str">
        <f t="shared" si="1"/>
        <v>Weekend</v>
      </c>
      <c r="H159" s="38" t="str">
        <f t="shared" si="2"/>
        <v>Afternoon</v>
      </c>
      <c r="I159" s="38" t="str">
        <f>IF(dataset_A!C159=1,"Spring",IF(dataset_A!C159=2,"Summer",IF(dataset_A!C159=3,"Fail","Winter")))</f>
        <v>Spring</v>
      </c>
      <c r="J159" s="38" t="str">
        <f>IF(dataset_A!I159=1,"Clear",IF(dataset_A!I159,"Mist/Cloudy",IF(dataset_A!I159=3,"Light Rain/Snow","Heavy Rain/Snow")))</f>
        <v>Clear</v>
      </c>
      <c r="K159" s="38">
        <f>dataset_A!N159</f>
        <v>29</v>
      </c>
      <c r="L159" s="38">
        <f>dataset_A!O159</f>
        <v>75</v>
      </c>
      <c r="M159" s="38">
        <f>dataset_A!P159</f>
        <v>104</v>
      </c>
      <c r="N159" s="38" t="str">
        <f t="shared" si="3"/>
        <v>Ok</v>
      </c>
      <c r="O159" s="38" t="str">
        <f>IF(M159&gt;Analysis!$B$3*1.5,"High",IF(M159&lt;Analysis!$B$3*0.5,"Low","Medium"))</f>
        <v>High</v>
      </c>
      <c r="P159" s="38" t="str">
        <f>VLOOKUP(dataset_A!C159,$Q$2:$R$5,2,0)</f>
        <v>Spring</v>
      </c>
      <c r="S159" s="38" t="str">
        <f t="array" ref="S159">INDEX($R$2:$R$5,MATCH(dataset_A!C159,$Q$2:$Q$5,0))</f>
        <v>Spring</v>
      </c>
      <c r="T159" s="38" t="str">
        <f t="shared" si="4"/>
        <v>Match</v>
      </c>
    </row>
    <row r="160" ht="12.75" customHeight="1">
      <c r="A160" s="38">
        <f>dataset_A!A160</f>
        <v>424</v>
      </c>
      <c r="B160" s="39">
        <f>dataset_A!B160</f>
        <v>40562</v>
      </c>
      <c r="C160" s="38">
        <f>dataset_A!F160</f>
        <v>16</v>
      </c>
      <c r="D160" s="38">
        <f>dataset_A!H160</f>
        <v>3</v>
      </c>
      <c r="E160" s="38" t="b">
        <f>dataset_A!G160</f>
        <v>0</v>
      </c>
      <c r="F160" s="38" t="b">
        <f>dataset_A!G160</f>
        <v>0</v>
      </c>
      <c r="G160" s="38" t="str">
        <f t="shared" si="1"/>
        <v>Weekday</v>
      </c>
      <c r="H160" s="38" t="str">
        <f t="shared" si="2"/>
        <v>Afternoon</v>
      </c>
      <c r="I160" s="38" t="str">
        <f>IF(dataset_A!C160=1,"Spring",IF(dataset_A!C160=2,"Summer",IF(dataset_A!C160=3,"Fail","Winter")))</f>
        <v>Spring</v>
      </c>
      <c r="J160" s="38" t="str">
        <f>IF(dataset_A!I160=1,"Clear",IF(dataset_A!I160,"Mist/Cloudy",IF(dataset_A!I160=3,"Light Rain/Snow","Heavy Rain/Snow")))</f>
        <v>Clear</v>
      </c>
      <c r="K160" s="38">
        <f>dataset_A!N160</f>
        <v>10</v>
      </c>
      <c r="L160" s="38">
        <f>dataset_A!O160</f>
        <v>94</v>
      </c>
      <c r="M160" s="38">
        <f>dataset_A!P160</f>
        <v>104</v>
      </c>
      <c r="N160" s="38" t="str">
        <f t="shared" si="3"/>
        <v>Ok</v>
      </c>
      <c r="O160" s="38" t="str">
        <f>IF(M160&gt;Analysis!$B$3*1.5,"High",IF(M160&lt;Analysis!$B$3*0.5,"Low","Medium"))</f>
        <v>High</v>
      </c>
      <c r="P160" s="38" t="str">
        <f>VLOOKUP(dataset_A!C160,$Q$2:$R$5,2,0)</f>
        <v>Spring</v>
      </c>
      <c r="S160" s="38" t="str">
        <f t="array" ref="S160">INDEX($R$2:$R$5,MATCH(dataset_A!C160,$Q$2:$Q$5,0))</f>
        <v>Spring</v>
      </c>
      <c r="T160" s="38" t="str">
        <f t="shared" si="4"/>
        <v>Match</v>
      </c>
    </row>
    <row r="161" ht="12.75" customHeight="1">
      <c r="A161" s="38">
        <f>dataset_A!A161</f>
        <v>590</v>
      </c>
      <c r="B161" s="39">
        <f>dataset_A!B161</f>
        <v>40570</v>
      </c>
      <c r="C161" s="38">
        <f>dataset_A!F161</f>
        <v>18</v>
      </c>
      <c r="D161" s="38">
        <f>dataset_A!H161</f>
        <v>4</v>
      </c>
      <c r="E161" s="38" t="b">
        <f>dataset_A!G161</f>
        <v>0</v>
      </c>
      <c r="F161" s="38" t="b">
        <f>dataset_A!G161</f>
        <v>0</v>
      </c>
      <c r="G161" s="38" t="str">
        <f t="shared" si="1"/>
        <v>Weekday</v>
      </c>
      <c r="H161" s="38" t="str">
        <f t="shared" si="2"/>
        <v>Evening</v>
      </c>
      <c r="I161" s="38" t="str">
        <f>IF(dataset_A!C161=1,"Spring",IF(dataset_A!C161=2,"Summer",IF(dataset_A!C161=3,"Fail","Winter")))</f>
        <v>Spring</v>
      </c>
      <c r="J161" s="38" t="str">
        <f>IF(dataset_A!I161=1,"Clear",IF(dataset_A!I161,"Mist/Cloudy",IF(dataset_A!I161=3,"Light Rain/Snow","Heavy Rain/Snow")))</f>
        <v>Clear</v>
      </c>
      <c r="K161" s="38">
        <f>dataset_A!N161</f>
        <v>3</v>
      </c>
      <c r="L161" s="38">
        <f>dataset_A!O161</f>
        <v>101</v>
      </c>
      <c r="M161" s="38">
        <f>dataset_A!P161</f>
        <v>104</v>
      </c>
      <c r="N161" s="38" t="str">
        <f t="shared" si="3"/>
        <v>Ok</v>
      </c>
      <c r="O161" s="38" t="str">
        <f>IF(M161&gt;Analysis!$B$3*1.5,"High",IF(M161&lt;Analysis!$B$3*0.5,"Low","Medium"))</f>
        <v>High</v>
      </c>
      <c r="P161" s="38" t="str">
        <f>VLOOKUP(dataset_A!C161,$Q$2:$R$5,2,0)</f>
        <v>Spring</v>
      </c>
      <c r="S161" s="38" t="str">
        <f t="array" ref="S161">INDEX($R$2:$R$5,MATCH(dataset_A!C161,$Q$2:$Q$5,0))</f>
        <v>Spring</v>
      </c>
      <c r="T161" s="38" t="str">
        <f t="shared" si="4"/>
        <v>Match</v>
      </c>
    </row>
    <row r="162" ht="12.75" customHeight="1">
      <c r="A162" s="38">
        <f>dataset_A!A162</f>
        <v>494</v>
      </c>
      <c r="B162" s="39">
        <f>dataset_A!B162</f>
        <v>40565</v>
      </c>
      <c r="C162" s="38">
        <f>dataset_A!F162</f>
        <v>15</v>
      </c>
      <c r="D162" s="38">
        <f>dataset_A!H162</f>
        <v>6</v>
      </c>
      <c r="E162" s="38" t="b">
        <f>dataset_A!G162</f>
        <v>0</v>
      </c>
      <c r="F162" s="38" t="b">
        <f>dataset_A!G162</f>
        <v>0</v>
      </c>
      <c r="G162" s="38" t="str">
        <f t="shared" si="1"/>
        <v>Weekend</v>
      </c>
      <c r="H162" s="38" t="str">
        <f t="shared" si="2"/>
        <v>Afternoon</v>
      </c>
      <c r="I162" s="38" t="str">
        <f>IF(dataset_A!C162=1,"Spring",IF(dataset_A!C162=2,"Summer",IF(dataset_A!C162=3,"Fail","Winter")))</f>
        <v>Spring</v>
      </c>
      <c r="J162" s="38" t="str">
        <f>IF(dataset_A!I162=1,"Clear",IF(dataset_A!I162,"Mist/Cloudy",IF(dataset_A!I162=3,"Light Rain/Snow","Heavy Rain/Snow")))</f>
        <v>Clear</v>
      </c>
      <c r="K162" s="38">
        <f>dataset_A!N162</f>
        <v>10</v>
      </c>
      <c r="L162" s="38">
        <f>dataset_A!O162</f>
        <v>93</v>
      </c>
      <c r="M162" s="38">
        <f>dataset_A!P162</f>
        <v>103</v>
      </c>
      <c r="N162" s="38" t="str">
        <f t="shared" si="3"/>
        <v>Ok</v>
      </c>
      <c r="O162" s="38" t="str">
        <f>IF(M162&gt;Analysis!$B$3*1.5,"High",IF(M162&lt;Analysis!$B$3*0.5,"Low","Medium"))</f>
        <v>High</v>
      </c>
      <c r="P162" s="38" t="str">
        <f>VLOOKUP(dataset_A!C162,$Q$2:$R$5,2,0)</f>
        <v>Spring</v>
      </c>
      <c r="S162" s="38" t="str">
        <f t="array" ref="S162">INDEX($R$2:$R$5,MATCH(dataset_A!C162,$Q$2:$Q$5,0))</f>
        <v>Spring</v>
      </c>
      <c r="T162" s="38" t="str">
        <f t="shared" si="4"/>
        <v>Match</v>
      </c>
    </row>
    <row r="163" ht="12.75" customHeight="1">
      <c r="A163" s="38">
        <f>dataset_A!A163</f>
        <v>728</v>
      </c>
      <c r="B163" s="39">
        <f>dataset_A!B163</f>
        <v>40576</v>
      </c>
      <c r="C163" s="38">
        <f>dataset_A!F163</f>
        <v>16</v>
      </c>
      <c r="D163" s="38">
        <f>dataset_A!H163</f>
        <v>3</v>
      </c>
      <c r="E163" s="38" t="b">
        <f>dataset_A!G163</f>
        <v>0</v>
      </c>
      <c r="F163" s="38" t="b">
        <f>dataset_A!G163</f>
        <v>0</v>
      </c>
      <c r="G163" s="38" t="str">
        <f t="shared" si="1"/>
        <v>Weekday</v>
      </c>
      <c r="H163" s="38" t="str">
        <f t="shared" si="2"/>
        <v>Afternoon</v>
      </c>
      <c r="I163" s="38" t="str">
        <f>IF(dataset_A!C163=1,"Spring",IF(dataset_A!C163=2,"Summer",IF(dataset_A!C163=3,"Fail","Winter")))</f>
        <v>Spring</v>
      </c>
      <c r="J163" s="38" t="str">
        <f>IF(dataset_A!I163=1,"Clear",IF(dataset_A!I163,"Mist/Cloudy",IF(dataset_A!I163=3,"Light Rain/Snow","Heavy Rain/Snow")))</f>
        <v>Clear</v>
      </c>
      <c r="K163" s="38">
        <f>dataset_A!N163</f>
        <v>8</v>
      </c>
      <c r="L163" s="38">
        <f>dataset_A!O163</f>
        <v>95</v>
      </c>
      <c r="M163" s="38">
        <f>dataset_A!P163</f>
        <v>103</v>
      </c>
      <c r="N163" s="38" t="str">
        <f t="shared" si="3"/>
        <v>Ok</v>
      </c>
      <c r="O163" s="38" t="str">
        <f>IF(M163&gt;Analysis!$B$3*1.5,"High",IF(M163&lt;Analysis!$B$3*0.5,"Low","Medium"))</f>
        <v>High</v>
      </c>
      <c r="P163" s="38" t="str">
        <f>VLOOKUP(dataset_A!C163,$Q$2:$R$5,2,0)</f>
        <v>Spring</v>
      </c>
      <c r="S163" s="38" t="str">
        <f t="array" ref="S163">INDEX($R$2:$R$5,MATCH(dataset_A!C163,$Q$2:$Q$5,0))</f>
        <v>Spring</v>
      </c>
      <c r="T163" s="38" t="str">
        <f t="shared" si="4"/>
        <v>Match</v>
      </c>
    </row>
    <row r="164" ht="12.75" customHeight="1">
      <c r="A164" s="38">
        <f>dataset_A!A164</f>
        <v>777</v>
      </c>
      <c r="B164" s="39">
        <f>dataset_A!B164</f>
        <v>40578</v>
      </c>
      <c r="C164" s="38">
        <f>dataset_A!F164</f>
        <v>19</v>
      </c>
      <c r="D164" s="38">
        <f>dataset_A!H164</f>
        <v>5</v>
      </c>
      <c r="E164" s="38" t="b">
        <f>dataset_A!G164</f>
        <v>0</v>
      </c>
      <c r="F164" s="38" t="b">
        <f>dataset_A!G164</f>
        <v>0</v>
      </c>
      <c r="G164" s="38" t="str">
        <f t="shared" si="1"/>
        <v>Weekday</v>
      </c>
      <c r="H164" s="38" t="str">
        <f t="shared" si="2"/>
        <v>Evening</v>
      </c>
      <c r="I164" s="38" t="str">
        <f>IF(dataset_A!C164=1,"Spring",IF(dataset_A!C164=2,"Summer",IF(dataset_A!C164=3,"Fail","Winter")))</f>
        <v>Spring</v>
      </c>
      <c r="J164" s="38" t="str">
        <f>IF(dataset_A!I164=1,"Clear",IF(dataset_A!I164,"Mist/Cloudy",IF(dataset_A!I164=3,"Light Rain/Snow","Heavy Rain/Snow")))</f>
        <v>Mist/Cloudy</v>
      </c>
      <c r="K164" s="38">
        <f>dataset_A!N164</f>
        <v>1</v>
      </c>
      <c r="L164" s="38">
        <f>dataset_A!O164</f>
        <v>102</v>
      </c>
      <c r="M164" s="38">
        <f>dataset_A!P164</f>
        <v>103</v>
      </c>
      <c r="N164" s="38" t="str">
        <f t="shared" si="3"/>
        <v>Ok</v>
      </c>
      <c r="O164" s="38" t="str">
        <f>IF(M164&gt;Analysis!$B$3*1.5,"High",IF(M164&lt;Analysis!$B$3*0.5,"Low","Medium"))</f>
        <v>High</v>
      </c>
      <c r="P164" s="38" t="str">
        <f>VLOOKUP(dataset_A!C164,$Q$2:$R$5,2,0)</f>
        <v>Spring</v>
      </c>
      <c r="S164" s="38" t="str">
        <f t="array" ref="S164">INDEX($R$2:$R$5,MATCH(dataset_A!C164,$Q$2:$Q$5,0))</f>
        <v>Spring</v>
      </c>
      <c r="T164" s="38" t="str">
        <f t="shared" si="4"/>
        <v>Match</v>
      </c>
    </row>
    <row r="165" ht="12.75" customHeight="1">
      <c r="A165" s="38">
        <f>dataset_A!A165</f>
        <v>175</v>
      </c>
      <c r="B165" s="39">
        <f>dataset_A!B165</f>
        <v>40551</v>
      </c>
      <c r="C165" s="38">
        <f>dataset_A!F165</f>
        <v>13</v>
      </c>
      <c r="D165" s="38">
        <f>dataset_A!H165</f>
        <v>6</v>
      </c>
      <c r="E165" s="38" t="b">
        <f>dataset_A!G165</f>
        <v>0</v>
      </c>
      <c r="F165" s="38" t="b">
        <f>dataset_A!G165</f>
        <v>0</v>
      </c>
      <c r="G165" s="38" t="str">
        <f t="shared" si="1"/>
        <v>Weekend</v>
      </c>
      <c r="H165" s="38" t="str">
        <f t="shared" si="2"/>
        <v>Afternoon</v>
      </c>
      <c r="I165" s="38" t="str">
        <f>IF(dataset_A!C165=1,"Spring",IF(dataset_A!C165=2,"Summer",IF(dataset_A!C165=3,"Fail","Winter")))</f>
        <v>Spring</v>
      </c>
      <c r="J165" s="38" t="str">
        <f>IF(dataset_A!I165=1,"Clear",IF(dataset_A!I165,"Mist/Cloudy",IF(dataset_A!I165=3,"Light Rain/Snow","Heavy Rain/Snow")))</f>
        <v>Clear</v>
      </c>
      <c r="K165" s="38">
        <f>dataset_A!N165</f>
        <v>7</v>
      </c>
      <c r="L165" s="38">
        <f>dataset_A!O165</f>
        <v>95</v>
      </c>
      <c r="M165" s="38">
        <f>dataset_A!P165</f>
        <v>102</v>
      </c>
      <c r="N165" s="38" t="str">
        <f t="shared" si="3"/>
        <v>Ok</v>
      </c>
      <c r="O165" s="38" t="str">
        <f>IF(M165&gt;Analysis!$B$3*1.5,"High",IF(M165&lt;Analysis!$B$3*0.5,"Low","Medium"))</f>
        <v>High</v>
      </c>
      <c r="P165" s="38" t="str">
        <f>VLOOKUP(dataset_A!C165,$Q$2:$R$5,2,0)</f>
        <v>Spring</v>
      </c>
      <c r="S165" s="38" t="str">
        <f t="array" ref="S165">INDEX($R$2:$R$5,MATCH(dataset_A!C165,$Q$2:$Q$5,0))</f>
        <v>Spring</v>
      </c>
      <c r="T165" s="38" t="str">
        <f t="shared" si="4"/>
        <v>Match</v>
      </c>
    </row>
    <row r="166" ht="12.75" customHeight="1">
      <c r="A166" s="38">
        <f>dataset_A!A166</f>
        <v>534</v>
      </c>
      <c r="B166" s="39">
        <f>dataset_A!B166</f>
        <v>40567</v>
      </c>
      <c r="C166" s="38">
        <f>dataset_A!F166</f>
        <v>9</v>
      </c>
      <c r="D166" s="38">
        <f>dataset_A!H166</f>
        <v>1</v>
      </c>
      <c r="E166" s="38" t="b">
        <f>dataset_A!G166</f>
        <v>0</v>
      </c>
      <c r="F166" s="38" t="b">
        <f>dataset_A!G166</f>
        <v>0</v>
      </c>
      <c r="G166" s="38" t="str">
        <f t="shared" si="1"/>
        <v>Weekday</v>
      </c>
      <c r="H166" s="38" t="str">
        <f t="shared" si="2"/>
        <v>Morning</v>
      </c>
      <c r="I166" s="38" t="str">
        <f>IF(dataset_A!C166=1,"Spring",IF(dataset_A!C166=2,"Summer",IF(dataset_A!C166=3,"Fail","Winter")))</f>
        <v>Spring</v>
      </c>
      <c r="J166" s="38" t="str">
        <f>IF(dataset_A!I166=1,"Clear",IF(dataset_A!I166,"Mist/Cloudy",IF(dataset_A!I166=3,"Light Rain/Snow","Heavy Rain/Snow")))</f>
        <v>Clear</v>
      </c>
      <c r="K166" s="38">
        <f>dataset_A!N166</f>
        <v>4</v>
      </c>
      <c r="L166" s="38">
        <f>dataset_A!O166</f>
        <v>98</v>
      </c>
      <c r="M166" s="38">
        <f>dataset_A!P166</f>
        <v>102</v>
      </c>
      <c r="N166" s="38" t="str">
        <f t="shared" si="3"/>
        <v>Ok</v>
      </c>
      <c r="O166" s="38" t="str">
        <f>IF(M166&gt;Analysis!$B$3*1.5,"High",IF(M166&lt;Analysis!$B$3*0.5,"Low","Medium"))</f>
        <v>High</v>
      </c>
      <c r="P166" s="38" t="str">
        <f>VLOOKUP(dataset_A!C166,$Q$2:$R$5,2,0)</f>
        <v>Spring</v>
      </c>
      <c r="S166" s="38" t="str">
        <f t="array" ref="S166">INDEX($R$2:$R$5,MATCH(dataset_A!C166,$Q$2:$Q$5,0))</f>
        <v>Spring</v>
      </c>
      <c r="T166" s="38" t="str">
        <f t="shared" si="4"/>
        <v>Match</v>
      </c>
    </row>
    <row r="167" ht="12.75" customHeight="1">
      <c r="A167" s="38">
        <f>dataset_A!A167</f>
        <v>338</v>
      </c>
      <c r="B167" s="39">
        <f>dataset_A!B167</f>
        <v>40558</v>
      </c>
      <c r="C167" s="38">
        <f>dataset_A!F167</f>
        <v>13</v>
      </c>
      <c r="D167" s="38">
        <f>dataset_A!H167</f>
        <v>6</v>
      </c>
      <c r="E167" s="38" t="b">
        <f>dataset_A!G167</f>
        <v>0</v>
      </c>
      <c r="F167" s="38" t="b">
        <f>dataset_A!G167</f>
        <v>0</v>
      </c>
      <c r="G167" s="38" t="str">
        <f t="shared" si="1"/>
        <v>Weekend</v>
      </c>
      <c r="H167" s="38" t="str">
        <f t="shared" si="2"/>
        <v>Afternoon</v>
      </c>
      <c r="I167" s="38" t="str">
        <f>IF(dataset_A!C167=1,"Spring",IF(dataset_A!C167=2,"Summer",IF(dataset_A!C167=3,"Fail","Winter")))</f>
        <v>Spring</v>
      </c>
      <c r="J167" s="38" t="str">
        <f>IF(dataset_A!I167=1,"Clear",IF(dataset_A!I167,"Mist/Cloudy",IF(dataset_A!I167=3,"Light Rain/Snow","Heavy Rain/Snow")))</f>
        <v>Clear</v>
      </c>
      <c r="K167" s="38">
        <f>dataset_A!N167</f>
        <v>21</v>
      </c>
      <c r="L167" s="38">
        <f>dataset_A!O167</f>
        <v>80</v>
      </c>
      <c r="M167" s="38">
        <f>dataset_A!P167</f>
        <v>101</v>
      </c>
      <c r="N167" s="38" t="str">
        <f t="shared" si="3"/>
        <v>Ok</v>
      </c>
      <c r="O167" s="38" t="str">
        <f>IF(M167&gt;Analysis!$B$3*1.5,"High",IF(M167&lt;Analysis!$B$3*0.5,"Low","Medium"))</f>
        <v>High</v>
      </c>
      <c r="P167" s="38" t="str">
        <f>VLOOKUP(dataset_A!C167,$Q$2:$R$5,2,0)</f>
        <v>Spring</v>
      </c>
      <c r="S167" s="38" t="str">
        <f t="array" ref="S167">INDEX($R$2:$R$5,MATCH(dataset_A!C167,$Q$2:$Q$5,0))</f>
        <v>Spring</v>
      </c>
      <c r="T167" s="38" t="str">
        <f t="shared" si="4"/>
        <v>Match</v>
      </c>
    </row>
    <row r="168" ht="12.75" customHeight="1">
      <c r="A168" s="38">
        <f>dataset_A!A168</f>
        <v>439</v>
      </c>
      <c r="B168" s="39">
        <f>dataset_A!B168</f>
        <v>40563</v>
      </c>
      <c r="C168" s="38">
        <f>dataset_A!F168</f>
        <v>7</v>
      </c>
      <c r="D168" s="38">
        <f>dataset_A!H168</f>
        <v>4</v>
      </c>
      <c r="E168" s="38" t="b">
        <f>dataset_A!G168</f>
        <v>0</v>
      </c>
      <c r="F168" s="38" t="b">
        <f>dataset_A!G168</f>
        <v>0</v>
      </c>
      <c r="G168" s="38" t="str">
        <f t="shared" si="1"/>
        <v>Weekday</v>
      </c>
      <c r="H168" s="38" t="str">
        <f t="shared" si="2"/>
        <v>Morning</v>
      </c>
      <c r="I168" s="38" t="str">
        <f>IF(dataset_A!C168=1,"Spring",IF(dataset_A!C168=2,"Summer",IF(dataset_A!C168=3,"Fail","Winter")))</f>
        <v>Spring</v>
      </c>
      <c r="J168" s="38" t="str">
        <f>IF(dataset_A!I168=1,"Clear",IF(dataset_A!I168,"Mist/Cloudy",IF(dataset_A!I168=3,"Light Rain/Snow","Heavy Rain/Snow")))</f>
        <v>Clear</v>
      </c>
      <c r="K168" s="38">
        <f>dataset_A!N168</f>
        <v>1</v>
      </c>
      <c r="L168" s="38">
        <f>dataset_A!O168</f>
        <v>100</v>
      </c>
      <c r="M168" s="38">
        <f>dataset_A!P168</f>
        <v>101</v>
      </c>
      <c r="N168" s="38" t="str">
        <f t="shared" si="3"/>
        <v>Ok</v>
      </c>
      <c r="O168" s="38" t="str">
        <f>IF(M168&gt;Analysis!$B$3*1.5,"High",IF(M168&lt;Analysis!$B$3*0.5,"Low","Medium"))</f>
        <v>High</v>
      </c>
      <c r="P168" s="38" t="str">
        <f>VLOOKUP(dataset_A!C168,$Q$2:$R$5,2,0)</f>
        <v>Spring</v>
      </c>
      <c r="S168" s="38" t="str">
        <f t="array" ref="S168">INDEX($R$2:$R$5,MATCH(dataset_A!C168,$Q$2:$Q$5,0))</f>
        <v>Spring</v>
      </c>
      <c r="T168" s="38" t="str">
        <f t="shared" si="4"/>
        <v>Match</v>
      </c>
    </row>
    <row r="169" ht="12.75" customHeight="1">
      <c r="A169" s="38">
        <f>dataset_A!A169</f>
        <v>604</v>
      </c>
      <c r="B169" s="39">
        <f>dataset_A!B169</f>
        <v>40571</v>
      </c>
      <c r="C169" s="38">
        <f>dataset_A!F169</f>
        <v>9</v>
      </c>
      <c r="D169" s="38">
        <f>dataset_A!H169</f>
        <v>5</v>
      </c>
      <c r="E169" s="38" t="b">
        <f>dataset_A!G169</f>
        <v>0</v>
      </c>
      <c r="F169" s="38" t="b">
        <f>dataset_A!G169</f>
        <v>0</v>
      </c>
      <c r="G169" s="38" t="str">
        <f t="shared" si="1"/>
        <v>Weekday</v>
      </c>
      <c r="H169" s="38" t="str">
        <f t="shared" si="2"/>
        <v>Morning</v>
      </c>
      <c r="I169" s="38" t="str">
        <f>IF(dataset_A!C169=1,"Spring",IF(dataset_A!C169=2,"Summer",IF(dataset_A!C169=3,"Fail","Winter")))</f>
        <v>Spring</v>
      </c>
      <c r="J169" s="38" t="str">
        <f>IF(dataset_A!I169=1,"Clear",IF(dataset_A!I169,"Mist/Cloudy",IF(dataset_A!I169=3,"Light Rain/Snow","Heavy Rain/Snow")))</f>
        <v>Mist/Cloudy</v>
      </c>
      <c r="K169" s="38">
        <f>dataset_A!N169</f>
        <v>6</v>
      </c>
      <c r="L169" s="38">
        <f>dataset_A!O169</f>
        <v>95</v>
      </c>
      <c r="M169" s="38">
        <f>dataset_A!P169</f>
        <v>101</v>
      </c>
      <c r="N169" s="38" t="str">
        <f t="shared" si="3"/>
        <v>Ok</v>
      </c>
      <c r="O169" s="38" t="str">
        <f>IF(M169&gt;Analysis!$B$3*1.5,"High",IF(M169&lt;Analysis!$B$3*0.5,"Low","Medium"))</f>
        <v>High</v>
      </c>
      <c r="P169" s="38" t="str">
        <f>VLOOKUP(dataset_A!C169,$Q$2:$R$5,2,0)</f>
        <v>Spring</v>
      </c>
      <c r="S169" s="38" t="str">
        <f t="array" ref="S169">INDEX($R$2:$R$5,MATCH(dataset_A!C169,$Q$2:$Q$5,0))</f>
        <v>Spring</v>
      </c>
      <c r="T169" s="38" t="str">
        <f t="shared" si="4"/>
        <v>Match</v>
      </c>
    </row>
    <row r="170" ht="12.75" customHeight="1">
      <c r="A170" s="38">
        <f>dataset_A!A170</f>
        <v>873</v>
      </c>
      <c r="B170" s="39">
        <f>dataset_A!B170</f>
        <v>40582</v>
      </c>
      <c r="C170" s="38">
        <f>dataset_A!F170</f>
        <v>19</v>
      </c>
      <c r="D170" s="38">
        <f>dataset_A!H170</f>
        <v>2</v>
      </c>
      <c r="E170" s="38" t="b">
        <f>dataset_A!G170</f>
        <v>0</v>
      </c>
      <c r="F170" s="38" t="b">
        <f>dataset_A!G170</f>
        <v>0</v>
      </c>
      <c r="G170" s="38" t="str">
        <f t="shared" si="1"/>
        <v>Weekday</v>
      </c>
      <c r="H170" s="38" t="str">
        <f t="shared" si="2"/>
        <v>Evening</v>
      </c>
      <c r="I170" s="38" t="str">
        <f>IF(dataset_A!C170=1,"Spring",IF(dataset_A!C170=2,"Summer",IF(dataset_A!C170=3,"Fail","Winter")))</f>
        <v>Spring</v>
      </c>
      <c r="J170" s="38" t="str">
        <f>IF(dataset_A!I170=1,"Clear",IF(dataset_A!I170,"Mist/Cloudy",IF(dataset_A!I170=3,"Light Rain/Snow","Heavy Rain/Snow")))</f>
        <v>Clear</v>
      </c>
      <c r="K170" s="38">
        <f>dataset_A!N170</f>
        <v>1</v>
      </c>
      <c r="L170" s="38">
        <f>dataset_A!O170</f>
        <v>100</v>
      </c>
      <c r="M170" s="38">
        <f>dataset_A!P170</f>
        <v>101</v>
      </c>
      <c r="N170" s="38" t="str">
        <f t="shared" si="3"/>
        <v>Ok</v>
      </c>
      <c r="O170" s="38" t="str">
        <f>IF(M170&gt;Analysis!$B$3*1.5,"High",IF(M170&lt;Analysis!$B$3*0.5,"Low","Medium"))</f>
        <v>High</v>
      </c>
      <c r="P170" s="38" t="str">
        <f>VLOOKUP(dataset_A!C170,$Q$2:$R$5,2,0)</f>
        <v>Spring</v>
      </c>
      <c r="S170" s="38" t="str">
        <f t="array" ref="S170">INDEX($R$2:$R$5,MATCH(dataset_A!C170,$Q$2:$Q$5,0))</f>
        <v>Spring</v>
      </c>
      <c r="T170" s="38" t="str">
        <f t="shared" si="4"/>
        <v>Match</v>
      </c>
    </row>
    <row r="171" ht="12.75" customHeight="1">
      <c r="A171" s="38">
        <f>dataset_A!A171</f>
        <v>941</v>
      </c>
      <c r="B171" s="39">
        <f>dataset_A!B171</f>
        <v>40585</v>
      </c>
      <c r="C171" s="38">
        <f>dataset_A!F171</f>
        <v>19</v>
      </c>
      <c r="D171" s="38">
        <f>dataset_A!H171</f>
        <v>5</v>
      </c>
      <c r="E171" s="38" t="b">
        <f>dataset_A!G171</f>
        <v>0</v>
      </c>
      <c r="F171" s="38" t="b">
        <f>dataset_A!G171</f>
        <v>0</v>
      </c>
      <c r="G171" s="38" t="str">
        <f t="shared" si="1"/>
        <v>Weekday</v>
      </c>
      <c r="H171" s="38" t="str">
        <f t="shared" si="2"/>
        <v>Evening</v>
      </c>
      <c r="I171" s="38" t="str">
        <f>IF(dataset_A!C171=1,"Spring",IF(dataset_A!C171=2,"Summer",IF(dataset_A!C171=3,"Fail","Winter")))</f>
        <v>Spring</v>
      </c>
      <c r="J171" s="38" t="str">
        <f>IF(dataset_A!I171=1,"Clear",IF(dataset_A!I171,"Mist/Cloudy",IF(dataset_A!I171=3,"Light Rain/Snow","Heavy Rain/Snow")))</f>
        <v>Clear</v>
      </c>
      <c r="K171" s="38">
        <f>dataset_A!N171</f>
        <v>7</v>
      </c>
      <c r="L171" s="38">
        <f>dataset_A!O171</f>
        <v>94</v>
      </c>
      <c r="M171" s="38">
        <f>dataset_A!P171</f>
        <v>101</v>
      </c>
      <c r="N171" s="38" t="str">
        <f t="shared" si="3"/>
        <v>Ok</v>
      </c>
      <c r="O171" s="38" t="str">
        <f>IF(M171&gt;Analysis!$B$3*1.5,"High",IF(M171&lt;Analysis!$B$3*0.5,"Low","Medium"))</f>
        <v>High</v>
      </c>
      <c r="P171" s="38" t="str">
        <f>VLOOKUP(dataset_A!C171,$Q$2:$R$5,2,0)</f>
        <v>Spring</v>
      </c>
      <c r="S171" s="38" t="str">
        <f t="array" ref="S171">INDEX($R$2:$R$5,MATCH(dataset_A!C171,$Q$2:$Q$5,0))</f>
        <v>Spring</v>
      </c>
      <c r="T171" s="38" t="str">
        <f t="shared" si="4"/>
        <v>Match</v>
      </c>
    </row>
    <row r="172" ht="12.75" customHeight="1">
      <c r="A172" s="38">
        <f>dataset_A!A172</f>
        <v>78</v>
      </c>
      <c r="B172" s="39">
        <f>dataset_A!B172</f>
        <v>40547</v>
      </c>
      <c r="C172" s="38">
        <f>dataset_A!F172</f>
        <v>9</v>
      </c>
      <c r="D172" s="38">
        <f>dataset_A!H172</f>
        <v>2</v>
      </c>
      <c r="E172" s="38" t="b">
        <f>dataset_A!G172</f>
        <v>0</v>
      </c>
      <c r="F172" s="38" t="b">
        <f>dataset_A!G172</f>
        <v>0</v>
      </c>
      <c r="G172" s="38" t="str">
        <f t="shared" si="1"/>
        <v>Weekday</v>
      </c>
      <c r="H172" s="38" t="str">
        <f t="shared" si="2"/>
        <v>Morning</v>
      </c>
      <c r="I172" s="38" t="str">
        <f>IF(dataset_A!C172=1,"Spring",IF(dataset_A!C172=2,"Summer",IF(dataset_A!C172=3,"Fail","Winter")))</f>
        <v>Spring</v>
      </c>
      <c r="J172" s="38" t="str">
        <f>IF(dataset_A!I172=1,"Clear",IF(dataset_A!I172,"Mist/Cloudy",IF(dataset_A!I172=3,"Light Rain/Snow","Heavy Rain/Snow")))</f>
        <v>Clear</v>
      </c>
      <c r="K172" s="38">
        <f>dataset_A!N172</f>
        <v>2</v>
      </c>
      <c r="L172" s="38">
        <f>dataset_A!O172</f>
        <v>98</v>
      </c>
      <c r="M172" s="38">
        <f>dataset_A!P172</f>
        <v>100</v>
      </c>
      <c r="N172" s="38" t="str">
        <f t="shared" si="3"/>
        <v>Ok</v>
      </c>
      <c r="O172" s="38" t="str">
        <f>IF(M172&gt;Analysis!$B$3*1.5,"High",IF(M172&lt;Analysis!$B$3*0.5,"Low","Medium"))</f>
        <v>High</v>
      </c>
      <c r="P172" s="38" t="str">
        <f>VLOOKUP(dataset_A!C172,$Q$2:$R$5,2,0)</f>
        <v>Spring</v>
      </c>
      <c r="S172" s="38" t="str">
        <f t="array" ref="S172">INDEX($R$2:$R$5,MATCH(dataset_A!C172,$Q$2:$Q$5,0))</f>
        <v>Spring</v>
      </c>
      <c r="T172" s="38" t="str">
        <f t="shared" si="4"/>
        <v>Match</v>
      </c>
    </row>
    <row r="173" ht="12.75" customHeight="1">
      <c r="A173" s="38">
        <f>dataset_A!A173</f>
        <v>861</v>
      </c>
      <c r="B173" s="39">
        <f>dataset_A!B173</f>
        <v>40582</v>
      </c>
      <c r="C173" s="38">
        <f>dataset_A!F173</f>
        <v>7</v>
      </c>
      <c r="D173" s="38">
        <f>dataset_A!H173</f>
        <v>2</v>
      </c>
      <c r="E173" s="38" t="b">
        <f>dataset_A!G173</f>
        <v>0</v>
      </c>
      <c r="F173" s="38" t="b">
        <f>dataset_A!G173</f>
        <v>0</v>
      </c>
      <c r="G173" s="38" t="str">
        <f t="shared" si="1"/>
        <v>Weekday</v>
      </c>
      <c r="H173" s="38" t="str">
        <f t="shared" si="2"/>
        <v>Morning</v>
      </c>
      <c r="I173" s="38" t="str">
        <f>IF(dataset_A!C173=1,"Spring",IF(dataset_A!C173=2,"Summer",IF(dataset_A!C173=3,"Fail","Winter")))</f>
        <v>Spring</v>
      </c>
      <c r="J173" s="38" t="str">
        <f>IF(dataset_A!I173=1,"Clear",IF(dataset_A!I173,"Mist/Cloudy",IF(dataset_A!I173=3,"Light Rain/Snow","Heavy Rain/Snow")))</f>
        <v>Clear</v>
      </c>
      <c r="K173" s="38">
        <f>dataset_A!N173</f>
        <v>3</v>
      </c>
      <c r="L173" s="38">
        <f>dataset_A!O173</f>
        <v>97</v>
      </c>
      <c r="M173" s="38">
        <f>dataset_A!P173</f>
        <v>100</v>
      </c>
      <c r="N173" s="38" t="str">
        <f t="shared" si="3"/>
        <v>Ok</v>
      </c>
      <c r="O173" s="38" t="str">
        <f>IF(M173&gt;Analysis!$B$3*1.5,"High",IF(M173&lt;Analysis!$B$3*0.5,"Low","Medium"))</f>
        <v>High</v>
      </c>
      <c r="P173" s="38" t="str">
        <f>VLOOKUP(dataset_A!C173,$Q$2:$R$5,2,0)</f>
        <v>Spring</v>
      </c>
      <c r="S173" s="38" t="str">
        <f t="array" ref="S173">INDEX($R$2:$R$5,MATCH(dataset_A!C173,$Q$2:$Q$5,0))</f>
        <v>Spring</v>
      </c>
      <c r="T173" s="38" t="str">
        <f t="shared" si="4"/>
        <v>Match</v>
      </c>
    </row>
    <row r="174" ht="12.75" customHeight="1">
      <c r="A174" s="38">
        <f>dataset_A!A174</f>
        <v>239</v>
      </c>
      <c r="B174" s="39">
        <f>dataset_A!B174</f>
        <v>40554</v>
      </c>
      <c r="C174" s="38">
        <f>dataset_A!F174</f>
        <v>7</v>
      </c>
      <c r="D174" s="38">
        <f>dataset_A!H174</f>
        <v>2</v>
      </c>
      <c r="E174" s="38" t="b">
        <f>dataset_A!G174</f>
        <v>0</v>
      </c>
      <c r="F174" s="38" t="b">
        <f>dataset_A!G174</f>
        <v>0</v>
      </c>
      <c r="G174" s="38" t="str">
        <f t="shared" si="1"/>
        <v>Weekday</v>
      </c>
      <c r="H174" s="38" t="str">
        <f t="shared" si="2"/>
        <v>Morning</v>
      </c>
      <c r="I174" s="38" t="str">
        <f>IF(dataset_A!C174=1,"Spring",IF(dataset_A!C174=2,"Summer",IF(dataset_A!C174=3,"Fail","Winter")))</f>
        <v>Spring</v>
      </c>
      <c r="J174" s="38" t="str">
        <f>IF(dataset_A!I174=1,"Clear",IF(dataset_A!I174,"Mist/Cloudy",IF(dataset_A!I174=3,"Light Rain/Snow","Heavy Rain/Snow")))</f>
        <v>Mist/Cloudy</v>
      </c>
      <c r="K174" s="38">
        <f>dataset_A!N174</f>
        <v>2</v>
      </c>
      <c r="L174" s="38">
        <f>dataset_A!O174</f>
        <v>97</v>
      </c>
      <c r="M174" s="38">
        <f>dataset_A!P174</f>
        <v>99</v>
      </c>
      <c r="N174" s="38" t="str">
        <f t="shared" si="3"/>
        <v>Ok</v>
      </c>
      <c r="O174" s="38" t="str">
        <f>IF(M174&gt;Analysis!$B$3*1.5,"High",IF(M174&lt;Analysis!$B$3*0.5,"Low","Medium"))</f>
        <v>High</v>
      </c>
      <c r="P174" s="38" t="str">
        <f>VLOOKUP(dataset_A!C174,$Q$2:$R$5,2,0)</f>
        <v>Spring</v>
      </c>
      <c r="S174" s="38" t="str">
        <f t="array" ref="S174">INDEX($R$2:$R$5,MATCH(dataset_A!C174,$Q$2:$Q$5,0))</f>
        <v>Spring</v>
      </c>
      <c r="T174" s="38" t="str">
        <f t="shared" si="4"/>
        <v>Match</v>
      </c>
    </row>
    <row r="175" ht="12.75" customHeight="1">
      <c r="A175" s="38">
        <f>dataset_A!A175</f>
        <v>297</v>
      </c>
      <c r="B175" s="39">
        <f>dataset_A!B175</f>
        <v>40556</v>
      </c>
      <c r="C175" s="38">
        <f>dataset_A!F175</f>
        <v>19</v>
      </c>
      <c r="D175" s="38">
        <f>dataset_A!H175</f>
        <v>4</v>
      </c>
      <c r="E175" s="38" t="b">
        <f>dataset_A!G175</f>
        <v>0</v>
      </c>
      <c r="F175" s="38" t="b">
        <f>dataset_A!G175</f>
        <v>0</v>
      </c>
      <c r="G175" s="38" t="str">
        <f t="shared" si="1"/>
        <v>Weekday</v>
      </c>
      <c r="H175" s="38" t="str">
        <f t="shared" si="2"/>
        <v>Evening</v>
      </c>
      <c r="I175" s="38" t="str">
        <f>IF(dataset_A!C175=1,"Spring",IF(dataset_A!C175=2,"Summer",IF(dataset_A!C175=3,"Fail","Winter")))</f>
        <v>Spring</v>
      </c>
      <c r="J175" s="38" t="str">
        <f>IF(dataset_A!I175=1,"Clear",IF(dataset_A!I175,"Mist/Cloudy",IF(dataset_A!I175=3,"Light Rain/Snow","Heavy Rain/Snow")))</f>
        <v>Clear</v>
      </c>
      <c r="K175" s="38">
        <f>dataset_A!N175</f>
        <v>1</v>
      </c>
      <c r="L175" s="38">
        <f>dataset_A!O175</f>
        <v>98</v>
      </c>
      <c r="M175" s="38">
        <f>dataset_A!P175</f>
        <v>99</v>
      </c>
      <c r="N175" s="38" t="str">
        <f t="shared" si="3"/>
        <v>Ok</v>
      </c>
      <c r="O175" s="38" t="str">
        <f>IF(M175&gt;Analysis!$B$3*1.5,"High",IF(M175&lt;Analysis!$B$3*0.5,"Low","Medium"))</f>
        <v>High</v>
      </c>
      <c r="P175" s="38" t="str">
        <f>VLOOKUP(dataset_A!C175,$Q$2:$R$5,2,0)</f>
        <v>Spring</v>
      </c>
      <c r="S175" s="38" t="str">
        <f t="array" ref="S175">INDEX($R$2:$R$5,MATCH(dataset_A!C175,$Q$2:$Q$5,0))</f>
        <v>Spring</v>
      </c>
      <c r="T175" s="38" t="str">
        <f t="shared" si="4"/>
        <v>Match</v>
      </c>
    </row>
    <row r="176" ht="12.75" customHeight="1">
      <c r="A176" s="38">
        <f>dataset_A!A176</f>
        <v>365</v>
      </c>
      <c r="B176" s="39">
        <f>dataset_A!B176</f>
        <v>40559</v>
      </c>
      <c r="C176" s="38">
        <f>dataset_A!F176</f>
        <v>16</v>
      </c>
      <c r="D176" s="38">
        <f>dataset_A!H176</f>
        <v>0</v>
      </c>
      <c r="E176" s="38" t="b">
        <f>dataset_A!G176</f>
        <v>0</v>
      </c>
      <c r="F176" s="38" t="b">
        <f>dataset_A!G176</f>
        <v>0</v>
      </c>
      <c r="G176" s="38" t="str">
        <f t="shared" si="1"/>
        <v>Weekend</v>
      </c>
      <c r="H176" s="38" t="str">
        <f t="shared" si="2"/>
        <v>Afternoon</v>
      </c>
      <c r="I176" s="38" t="str">
        <f>IF(dataset_A!C176=1,"Spring",IF(dataset_A!C176=2,"Summer",IF(dataset_A!C176=3,"Fail","Winter")))</f>
        <v>Spring</v>
      </c>
      <c r="J176" s="38" t="str">
        <f>IF(dataset_A!I176=1,"Clear",IF(dataset_A!I176,"Mist/Cloudy",IF(dataset_A!I176=3,"Light Rain/Snow","Heavy Rain/Snow")))</f>
        <v>Clear</v>
      </c>
      <c r="K176" s="38">
        <f>dataset_A!N176</f>
        <v>22</v>
      </c>
      <c r="L176" s="38">
        <f>dataset_A!O176</f>
        <v>77</v>
      </c>
      <c r="M176" s="38">
        <f>dataset_A!P176</f>
        <v>99</v>
      </c>
      <c r="N176" s="38" t="str">
        <f t="shared" si="3"/>
        <v>Ok</v>
      </c>
      <c r="O176" s="38" t="str">
        <f>IF(M176&gt;Analysis!$B$3*1.5,"High",IF(M176&lt;Analysis!$B$3*0.5,"Low","Medium"))</f>
        <v>High</v>
      </c>
      <c r="P176" s="38" t="str">
        <f>VLOOKUP(dataset_A!C176,$Q$2:$R$5,2,0)</f>
        <v>Spring</v>
      </c>
      <c r="S176" s="38" t="str">
        <f t="array" ref="S176">INDEX($R$2:$R$5,MATCH(dataset_A!C176,$Q$2:$Q$5,0))</f>
        <v>Spring</v>
      </c>
      <c r="T176" s="38" t="str">
        <f t="shared" si="4"/>
        <v>Match</v>
      </c>
    </row>
    <row r="177" ht="12.75" customHeight="1">
      <c r="A177" s="38">
        <f>dataset_A!A177</f>
        <v>404</v>
      </c>
      <c r="B177" s="39">
        <f>dataset_A!B177</f>
        <v>40561</v>
      </c>
      <c r="C177" s="38">
        <f>dataset_A!F177</f>
        <v>19</v>
      </c>
      <c r="D177" s="38">
        <f>dataset_A!H177</f>
        <v>2</v>
      </c>
      <c r="E177" s="38" t="b">
        <f>dataset_A!G177</f>
        <v>0</v>
      </c>
      <c r="F177" s="38" t="b">
        <f>dataset_A!G177</f>
        <v>0</v>
      </c>
      <c r="G177" s="38" t="str">
        <f t="shared" si="1"/>
        <v>Weekday</v>
      </c>
      <c r="H177" s="38" t="str">
        <f t="shared" si="2"/>
        <v>Evening</v>
      </c>
      <c r="I177" s="38" t="str">
        <f>IF(dataset_A!C177=1,"Spring",IF(dataset_A!C177=2,"Summer",IF(dataset_A!C177=3,"Fail","Winter")))</f>
        <v>Spring</v>
      </c>
      <c r="J177" s="38" t="str">
        <f>IF(dataset_A!I177=1,"Clear",IF(dataset_A!I177,"Mist/Cloudy",IF(dataset_A!I177=3,"Light Rain/Snow","Heavy Rain/Snow")))</f>
        <v>Mist/Cloudy</v>
      </c>
      <c r="K177" s="38">
        <f>dataset_A!N177</f>
        <v>1</v>
      </c>
      <c r="L177" s="38">
        <f>dataset_A!O177</f>
        <v>98</v>
      </c>
      <c r="M177" s="38">
        <f>dataset_A!P177</f>
        <v>99</v>
      </c>
      <c r="N177" s="38" t="str">
        <f t="shared" si="3"/>
        <v>Ok</v>
      </c>
      <c r="O177" s="38" t="str">
        <f>IF(M177&gt;Analysis!$B$3*1.5,"High",IF(M177&lt;Analysis!$B$3*0.5,"Low","Medium"))</f>
        <v>High</v>
      </c>
      <c r="P177" s="38" t="str">
        <f>VLOOKUP(dataset_A!C177,$Q$2:$R$5,2,0)</f>
        <v>Spring</v>
      </c>
      <c r="S177" s="38" t="str">
        <f t="array" ref="S177">INDEX($R$2:$R$5,MATCH(dataset_A!C177,$Q$2:$Q$5,0))</f>
        <v>Spring</v>
      </c>
      <c r="T177" s="38" t="str">
        <f t="shared" si="4"/>
        <v>Match</v>
      </c>
    </row>
    <row r="178" ht="12.75" customHeight="1">
      <c r="A178" s="38">
        <f>dataset_A!A178</f>
        <v>513</v>
      </c>
      <c r="B178" s="39">
        <f>dataset_A!B178</f>
        <v>40566</v>
      </c>
      <c r="C178" s="38">
        <f>dataset_A!F178</f>
        <v>11</v>
      </c>
      <c r="D178" s="38">
        <f>dataset_A!H178</f>
        <v>0</v>
      </c>
      <c r="E178" s="38" t="b">
        <f>dataset_A!G178</f>
        <v>0</v>
      </c>
      <c r="F178" s="38" t="b">
        <f>dataset_A!G178</f>
        <v>0</v>
      </c>
      <c r="G178" s="38" t="str">
        <f t="shared" si="1"/>
        <v>Weekend</v>
      </c>
      <c r="H178" s="38" t="str">
        <f t="shared" si="2"/>
        <v>Morning</v>
      </c>
      <c r="I178" s="38" t="str">
        <f>IF(dataset_A!C178=1,"Spring",IF(dataset_A!C178=2,"Summer",IF(dataset_A!C178=3,"Fail","Winter")))</f>
        <v>Spring</v>
      </c>
      <c r="J178" s="38" t="str">
        <f>IF(dataset_A!I178=1,"Clear",IF(dataset_A!I178,"Mist/Cloudy",IF(dataset_A!I178=3,"Light Rain/Snow","Heavy Rain/Snow")))</f>
        <v>Clear</v>
      </c>
      <c r="K178" s="38">
        <f>dataset_A!N178</f>
        <v>22</v>
      </c>
      <c r="L178" s="38">
        <f>dataset_A!O178</f>
        <v>77</v>
      </c>
      <c r="M178" s="38">
        <f>dataset_A!P178</f>
        <v>99</v>
      </c>
      <c r="N178" s="38" t="str">
        <f t="shared" si="3"/>
        <v>Ok</v>
      </c>
      <c r="O178" s="38" t="str">
        <f>IF(M178&gt;Analysis!$B$3*1.5,"High",IF(M178&lt;Analysis!$B$3*0.5,"Low","Medium"))</f>
        <v>High</v>
      </c>
      <c r="P178" s="38" t="str">
        <f>VLOOKUP(dataset_A!C178,$Q$2:$R$5,2,0)</f>
        <v>Spring</v>
      </c>
      <c r="S178" s="38" t="str">
        <f t="array" ref="S178">INDEX($R$2:$R$5,MATCH(dataset_A!C178,$Q$2:$Q$5,0))</f>
        <v>Spring</v>
      </c>
      <c r="T178" s="38" t="str">
        <f t="shared" si="4"/>
        <v>Match</v>
      </c>
    </row>
    <row r="179" ht="12.75" customHeight="1">
      <c r="A179" s="38">
        <f>dataset_A!A179</f>
        <v>632</v>
      </c>
      <c r="B179" s="39">
        <f>dataset_A!B179</f>
        <v>40572</v>
      </c>
      <c r="C179" s="38">
        <f>dataset_A!F179</f>
        <v>14</v>
      </c>
      <c r="D179" s="38">
        <f>dataset_A!H179</f>
        <v>6</v>
      </c>
      <c r="E179" s="38" t="b">
        <f>dataset_A!G179</f>
        <v>0</v>
      </c>
      <c r="F179" s="38" t="b">
        <f>dataset_A!G179</f>
        <v>0</v>
      </c>
      <c r="G179" s="38" t="str">
        <f t="shared" si="1"/>
        <v>Weekend</v>
      </c>
      <c r="H179" s="38" t="str">
        <f t="shared" si="2"/>
        <v>Afternoon</v>
      </c>
      <c r="I179" s="38" t="str">
        <f>IF(dataset_A!C179=1,"Spring",IF(dataset_A!C179=2,"Summer",IF(dataset_A!C179=3,"Fail","Winter")))</f>
        <v>Spring</v>
      </c>
      <c r="J179" s="38" t="str">
        <f>IF(dataset_A!I179=1,"Clear",IF(dataset_A!I179,"Mist/Cloudy",IF(dataset_A!I179=3,"Light Rain/Snow","Heavy Rain/Snow")))</f>
        <v>Mist/Cloudy</v>
      </c>
      <c r="K179" s="38">
        <f>dataset_A!N179</f>
        <v>10</v>
      </c>
      <c r="L179" s="38">
        <f>dataset_A!O179</f>
        <v>89</v>
      </c>
      <c r="M179" s="38">
        <f>dataset_A!P179</f>
        <v>99</v>
      </c>
      <c r="N179" s="38" t="str">
        <f t="shared" si="3"/>
        <v>Ok</v>
      </c>
      <c r="O179" s="38" t="str">
        <f>IF(M179&gt;Analysis!$B$3*1.5,"High",IF(M179&lt;Analysis!$B$3*0.5,"Low","Medium"))</f>
        <v>High</v>
      </c>
      <c r="P179" s="38" t="str">
        <f>VLOOKUP(dataset_A!C179,$Q$2:$R$5,2,0)</f>
        <v>Spring</v>
      </c>
      <c r="S179" s="38" t="str">
        <f t="array" ref="S179">INDEX($R$2:$R$5,MATCH(dataset_A!C179,$Q$2:$Q$5,0))</f>
        <v>Spring</v>
      </c>
      <c r="T179" s="38" t="str">
        <f t="shared" si="4"/>
        <v>Match</v>
      </c>
    </row>
    <row r="180" ht="12.75" customHeight="1">
      <c r="A180" s="38">
        <f>dataset_A!A180</f>
        <v>774</v>
      </c>
      <c r="B180" s="39">
        <f>dataset_A!B180</f>
        <v>40578</v>
      </c>
      <c r="C180" s="38">
        <f>dataset_A!F180</f>
        <v>16</v>
      </c>
      <c r="D180" s="38">
        <f>dataset_A!H180</f>
        <v>5</v>
      </c>
      <c r="E180" s="38" t="b">
        <f>dataset_A!G180</f>
        <v>0</v>
      </c>
      <c r="F180" s="38" t="b">
        <f>dataset_A!G180</f>
        <v>0</v>
      </c>
      <c r="G180" s="38" t="str">
        <f t="shared" si="1"/>
        <v>Weekday</v>
      </c>
      <c r="H180" s="38" t="str">
        <f t="shared" si="2"/>
        <v>Afternoon</v>
      </c>
      <c r="I180" s="38" t="str">
        <f>IF(dataset_A!C180=1,"Spring",IF(dataset_A!C180=2,"Summer",IF(dataset_A!C180=3,"Fail","Winter")))</f>
        <v>Spring</v>
      </c>
      <c r="J180" s="38" t="str">
        <f>IF(dataset_A!I180=1,"Clear",IF(dataset_A!I180,"Mist/Cloudy",IF(dataset_A!I180=3,"Light Rain/Snow","Heavy Rain/Snow")))</f>
        <v>Mist/Cloudy</v>
      </c>
      <c r="K180" s="38">
        <f>dataset_A!N180</f>
        <v>8</v>
      </c>
      <c r="L180" s="38">
        <f>dataset_A!O180</f>
        <v>91</v>
      </c>
      <c r="M180" s="38">
        <f>dataset_A!P180</f>
        <v>99</v>
      </c>
      <c r="N180" s="38" t="str">
        <f t="shared" si="3"/>
        <v>Ok</v>
      </c>
      <c r="O180" s="38" t="str">
        <f>IF(M180&gt;Analysis!$B$3*1.5,"High",IF(M180&lt;Analysis!$B$3*0.5,"Low","Medium"))</f>
        <v>High</v>
      </c>
      <c r="P180" s="38" t="str">
        <f>VLOOKUP(dataset_A!C180,$Q$2:$R$5,2,0)</f>
        <v>Spring</v>
      </c>
      <c r="S180" s="38" t="str">
        <f t="array" ref="S180">INDEX($R$2:$R$5,MATCH(dataset_A!C180,$Q$2:$Q$5,0))</f>
        <v>Spring</v>
      </c>
      <c r="T180" s="38" t="str">
        <f t="shared" si="4"/>
        <v>Match</v>
      </c>
    </row>
    <row r="181" ht="12.75" customHeight="1">
      <c r="A181" s="38">
        <f>dataset_A!A181</f>
        <v>884</v>
      </c>
      <c r="B181" s="39">
        <f>dataset_A!B181</f>
        <v>40583</v>
      </c>
      <c r="C181" s="38">
        <f>dataset_A!F181</f>
        <v>7</v>
      </c>
      <c r="D181" s="38">
        <f>dataset_A!H181</f>
        <v>3</v>
      </c>
      <c r="E181" s="38" t="b">
        <f>dataset_A!G181</f>
        <v>0</v>
      </c>
      <c r="F181" s="38" t="b">
        <f>dataset_A!G181</f>
        <v>0</v>
      </c>
      <c r="G181" s="38" t="str">
        <f t="shared" si="1"/>
        <v>Weekday</v>
      </c>
      <c r="H181" s="38" t="str">
        <f t="shared" si="2"/>
        <v>Morning</v>
      </c>
      <c r="I181" s="38" t="str">
        <f>IF(dataset_A!C181=1,"Spring",IF(dataset_A!C181=2,"Summer",IF(dataset_A!C181=3,"Fail","Winter")))</f>
        <v>Spring</v>
      </c>
      <c r="J181" s="38" t="str">
        <f>IF(dataset_A!I181=1,"Clear",IF(dataset_A!I181,"Mist/Cloudy",IF(dataset_A!I181=3,"Light Rain/Snow","Heavy Rain/Snow")))</f>
        <v>Clear</v>
      </c>
      <c r="K181" s="38">
        <f>dataset_A!N181</f>
        <v>4</v>
      </c>
      <c r="L181" s="38">
        <f>dataset_A!O181</f>
        <v>95</v>
      </c>
      <c r="M181" s="38">
        <f>dataset_A!P181</f>
        <v>99</v>
      </c>
      <c r="N181" s="38" t="str">
        <f t="shared" si="3"/>
        <v>Ok</v>
      </c>
      <c r="O181" s="38" t="str">
        <f>IF(M181&gt;Analysis!$B$3*1.5,"High",IF(M181&lt;Analysis!$B$3*0.5,"Low","Medium"))</f>
        <v>High</v>
      </c>
      <c r="P181" s="38" t="str">
        <f>VLOOKUP(dataset_A!C181,$Q$2:$R$5,2,0)</f>
        <v>Spring</v>
      </c>
      <c r="S181" s="38" t="str">
        <f t="array" ref="S181">INDEX($R$2:$R$5,MATCH(dataset_A!C181,$Q$2:$Q$5,0))</f>
        <v>Spring</v>
      </c>
      <c r="T181" s="38" t="str">
        <f t="shared" si="4"/>
        <v>Match</v>
      </c>
    </row>
    <row r="182" ht="12.75" customHeight="1">
      <c r="A182" s="38">
        <f>dataset_A!A182</f>
        <v>907</v>
      </c>
      <c r="B182" s="39">
        <f>dataset_A!B182</f>
        <v>40584</v>
      </c>
      <c r="C182" s="38">
        <f>dataset_A!F182</f>
        <v>7</v>
      </c>
      <c r="D182" s="38">
        <f>dataset_A!H182</f>
        <v>4</v>
      </c>
      <c r="E182" s="38" t="b">
        <f>dataset_A!G182</f>
        <v>0</v>
      </c>
      <c r="F182" s="38" t="b">
        <f>dataset_A!G182</f>
        <v>0</v>
      </c>
      <c r="G182" s="38" t="str">
        <f t="shared" si="1"/>
        <v>Weekday</v>
      </c>
      <c r="H182" s="38" t="str">
        <f t="shared" si="2"/>
        <v>Morning</v>
      </c>
      <c r="I182" s="38" t="str">
        <f>IF(dataset_A!C182=1,"Spring",IF(dataset_A!C182=2,"Summer",IF(dataset_A!C182=3,"Fail","Winter")))</f>
        <v>Spring</v>
      </c>
      <c r="J182" s="38" t="str">
        <f>IF(dataset_A!I182=1,"Clear",IF(dataset_A!I182,"Mist/Cloudy",IF(dataset_A!I182=3,"Light Rain/Snow","Heavy Rain/Snow")))</f>
        <v>Clear</v>
      </c>
      <c r="K182" s="38">
        <f>dataset_A!N182</f>
        <v>0</v>
      </c>
      <c r="L182" s="38">
        <f>dataset_A!O182</f>
        <v>99</v>
      </c>
      <c r="M182" s="38">
        <f>dataset_A!P182</f>
        <v>99</v>
      </c>
      <c r="N182" s="38" t="str">
        <f t="shared" si="3"/>
        <v>Ok</v>
      </c>
      <c r="O182" s="38" t="str">
        <f>IF(M182&gt;Analysis!$B$3*1.5,"High",IF(M182&lt;Analysis!$B$3*0.5,"Low","Medium"))</f>
        <v>High</v>
      </c>
      <c r="P182" s="38" t="str">
        <f>VLOOKUP(dataset_A!C182,$Q$2:$R$5,2,0)</f>
        <v>Spring</v>
      </c>
      <c r="S182" s="38" t="str">
        <f t="array" ref="S182">INDEX($R$2:$R$5,MATCH(dataset_A!C182,$Q$2:$Q$5,0))</f>
        <v>Spring</v>
      </c>
      <c r="T182" s="38" t="str">
        <f t="shared" si="4"/>
        <v>Match</v>
      </c>
    </row>
    <row r="183" ht="12.75" customHeight="1">
      <c r="A183" s="38">
        <f>dataset_A!A183</f>
        <v>174</v>
      </c>
      <c r="B183" s="39">
        <f>dataset_A!B183</f>
        <v>40551</v>
      </c>
      <c r="C183" s="38">
        <f>dataset_A!F183</f>
        <v>12</v>
      </c>
      <c r="D183" s="38">
        <f>dataset_A!H183</f>
        <v>6</v>
      </c>
      <c r="E183" s="38" t="b">
        <f>dataset_A!G183</f>
        <v>0</v>
      </c>
      <c r="F183" s="38" t="b">
        <f>dataset_A!G183</f>
        <v>0</v>
      </c>
      <c r="G183" s="38" t="str">
        <f t="shared" si="1"/>
        <v>Weekend</v>
      </c>
      <c r="H183" s="38" t="str">
        <f t="shared" si="2"/>
        <v>Afternoon</v>
      </c>
      <c r="I183" s="38" t="str">
        <f>IF(dataset_A!C183=1,"Spring",IF(dataset_A!C183=2,"Summer",IF(dataset_A!C183=3,"Fail","Winter")))</f>
        <v>Spring</v>
      </c>
      <c r="J183" s="38" t="str">
        <f>IF(dataset_A!I183=1,"Clear",IF(dataset_A!I183,"Mist/Cloudy",IF(dataset_A!I183=3,"Light Rain/Snow","Heavy Rain/Snow")))</f>
        <v>Mist/Cloudy</v>
      </c>
      <c r="K183" s="38">
        <f>dataset_A!N183</f>
        <v>8</v>
      </c>
      <c r="L183" s="38">
        <f>dataset_A!O183</f>
        <v>90</v>
      </c>
      <c r="M183" s="38">
        <f>dataset_A!P183</f>
        <v>98</v>
      </c>
      <c r="N183" s="38" t="str">
        <f t="shared" si="3"/>
        <v>Ok</v>
      </c>
      <c r="O183" s="38" t="str">
        <f>IF(M183&gt;Analysis!$B$3*1.5,"High",IF(M183&lt;Analysis!$B$3*0.5,"Low","Medium"))</f>
        <v>High</v>
      </c>
      <c r="P183" s="38" t="str">
        <f>VLOOKUP(dataset_A!C183,$Q$2:$R$5,2,0)</f>
        <v>Spring</v>
      </c>
      <c r="S183" s="38" t="str">
        <f t="array" ref="S183">INDEX($R$2:$R$5,MATCH(dataset_A!C183,$Q$2:$Q$5,0))</f>
        <v>Spring</v>
      </c>
      <c r="T183" s="38" t="str">
        <f t="shared" si="4"/>
        <v>Match</v>
      </c>
    </row>
    <row r="184" ht="12.75" customHeight="1">
      <c r="A184" s="38">
        <f>dataset_A!A184</f>
        <v>445</v>
      </c>
      <c r="B184" s="39">
        <f>dataset_A!B184</f>
        <v>40563</v>
      </c>
      <c r="C184" s="38">
        <f>dataset_A!F184</f>
        <v>13</v>
      </c>
      <c r="D184" s="38">
        <f>dataset_A!H184</f>
        <v>4</v>
      </c>
      <c r="E184" s="38" t="b">
        <f>dataset_A!G184</f>
        <v>0</v>
      </c>
      <c r="F184" s="38" t="b">
        <f>dataset_A!G184</f>
        <v>0</v>
      </c>
      <c r="G184" s="38" t="str">
        <f t="shared" si="1"/>
        <v>Weekday</v>
      </c>
      <c r="H184" s="38" t="str">
        <f t="shared" si="2"/>
        <v>Afternoon</v>
      </c>
      <c r="I184" s="38" t="str">
        <f>IF(dataset_A!C184=1,"Spring",IF(dataset_A!C184=2,"Summer",IF(dataset_A!C184=3,"Fail","Winter")))</f>
        <v>Spring</v>
      </c>
      <c r="J184" s="38" t="str">
        <f>IF(dataset_A!I184=1,"Clear",IF(dataset_A!I184,"Mist/Cloudy",IF(dataset_A!I184=3,"Light Rain/Snow","Heavy Rain/Snow")))</f>
        <v>Mist/Cloudy</v>
      </c>
      <c r="K184" s="38">
        <f>dataset_A!N184</f>
        <v>12</v>
      </c>
      <c r="L184" s="38">
        <f>dataset_A!O184</f>
        <v>86</v>
      </c>
      <c r="M184" s="38">
        <f>dataset_A!P184</f>
        <v>98</v>
      </c>
      <c r="N184" s="38" t="str">
        <f t="shared" si="3"/>
        <v>Ok</v>
      </c>
      <c r="O184" s="38" t="str">
        <f>IF(M184&gt;Analysis!$B$3*1.5,"High",IF(M184&lt;Analysis!$B$3*0.5,"Low","Medium"))</f>
        <v>High</v>
      </c>
      <c r="P184" s="38" t="str">
        <f>VLOOKUP(dataset_A!C184,$Q$2:$R$5,2,0)</f>
        <v>Spring</v>
      </c>
      <c r="S184" s="38" t="str">
        <f t="array" ref="S184">INDEX($R$2:$R$5,MATCH(dataset_A!C184,$Q$2:$Q$5,0))</f>
        <v>Spring</v>
      </c>
      <c r="T184" s="38" t="str">
        <f t="shared" si="4"/>
        <v>Match</v>
      </c>
    </row>
    <row r="185" ht="12.75" customHeight="1">
      <c r="A185" s="38">
        <f>dataset_A!A185</f>
        <v>1000</v>
      </c>
      <c r="B185" s="39">
        <f>dataset_A!B185</f>
        <v>40588</v>
      </c>
      <c r="C185" s="38">
        <f>dataset_A!F185</f>
        <v>7</v>
      </c>
      <c r="D185" s="38">
        <f>dataset_A!H185</f>
        <v>1</v>
      </c>
      <c r="E185" s="38" t="b">
        <f>dataset_A!G185</f>
        <v>0</v>
      </c>
      <c r="F185" s="38" t="b">
        <f>dataset_A!G185</f>
        <v>0</v>
      </c>
      <c r="G185" s="38" t="str">
        <f t="shared" si="1"/>
        <v>Weekday</v>
      </c>
      <c r="H185" s="38" t="str">
        <f t="shared" si="2"/>
        <v>Morning</v>
      </c>
      <c r="I185" s="38" t="str">
        <f>IF(dataset_A!C185=1,"Spring",IF(dataset_A!C185=2,"Summer",IF(dataset_A!C185=3,"Fail","Winter")))</f>
        <v>Spring</v>
      </c>
      <c r="J185" s="38" t="str">
        <f>IF(dataset_A!I185=1,"Clear",IF(dataset_A!I185,"Mist/Cloudy",IF(dataset_A!I185=3,"Light Rain/Snow","Heavy Rain/Snow")))</f>
        <v>Clear</v>
      </c>
      <c r="K185" s="38">
        <f>dataset_A!N185</f>
        <v>2</v>
      </c>
      <c r="L185" s="38">
        <f>dataset_A!O185</f>
        <v>96</v>
      </c>
      <c r="M185" s="38">
        <f>dataset_A!P185</f>
        <v>98</v>
      </c>
      <c r="N185" s="38" t="str">
        <f t="shared" si="3"/>
        <v>Ok</v>
      </c>
      <c r="O185" s="38" t="str">
        <f>IF(M185&gt;Analysis!$B$3*1.5,"High",IF(M185&lt;Analysis!$B$3*0.5,"Low","Medium"))</f>
        <v>High</v>
      </c>
      <c r="P185" s="38" t="str">
        <f>VLOOKUP(dataset_A!C185,$Q$2:$R$5,2,0)</f>
        <v>Spring</v>
      </c>
      <c r="S185" s="38" t="str">
        <f t="array" ref="S185">INDEX($R$2:$R$5,MATCH(dataset_A!C185,$Q$2:$Q$5,0))</f>
        <v>Spring</v>
      </c>
      <c r="T185" s="38" t="str">
        <f t="shared" si="4"/>
        <v>Match</v>
      </c>
    </row>
    <row r="186" ht="12.75" customHeight="1">
      <c r="A186" s="38">
        <f>dataset_A!A186</f>
        <v>82</v>
      </c>
      <c r="B186" s="39">
        <f>dataset_A!B186</f>
        <v>40547</v>
      </c>
      <c r="C186" s="38">
        <f>dataset_A!F186</f>
        <v>13</v>
      </c>
      <c r="D186" s="38">
        <f>dataset_A!H186</f>
        <v>2</v>
      </c>
      <c r="E186" s="38" t="b">
        <f>dataset_A!G186</f>
        <v>0</v>
      </c>
      <c r="F186" s="38" t="b">
        <f>dataset_A!G186</f>
        <v>0</v>
      </c>
      <c r="G186" s="38" t="str">
        <f t="shared" si="1"/>
        <v>Weekday</v>
      </c>
      <c r="H186" s="38" t="str">
        <f t="shared" si="2"/>
        <v>Afternoon</v>
      </c>
      <c r="I186" s="38" t="str">
        <f>IF(dataset_A!C186=1,"Spring",IF(dataset_A!C186=2,"Summer",IF(dataset_A!C186=3,"Fail","Winter")))</f>
        <v>Spring</v>
      </c>
      <c r="J186" s="38" t="str">
        <f>IF(dataset_A!I186=1,"Clear",IF(dataset_A!I186,"Mist/Cloudy",IF(dataset_A!I186=3,"Light Rain/Snow","Heavy Rain/Snow")))</f>
        <v>Clear</v>
      </c>
      <c r="K186" s="38">
        <f>dataset_A!N186</f>
        <v>18</v>
      </c>
      <c r="L186" s="38">
        <f>dataset_A!O186</f>
        <v>79</v>
      </c>
      <c r="M186" s="38">
        <f>dataset_A!P186</f>
        <v>97</v>
      </c>
      <c r="N186" s="38" t="str">
        <f t="shared" si="3"/>
        <v>Ok</v>
      </c>
      <c r="O186" s="38" t="str">
        <f>IF(M186&gt;Analysis!$B$3*1.5,"High",IF(M186&lt;Analysis!$B$3*0.5,"Low","Medium"))</f>
        <v>High</v>
      </c>
      <c r="P186" s="38" t="str">
        <f>VLOOKUP(dataset_A!C186,$Q$2:$R$5,2,0)</f>
        <v>Spring</v>
      </c>
      <c r="S186" s="38" t="str">
        <f t="array" ref="S186">INDEX($R$2:$R$5,MATCH(dataset_A!C186,$Q$2:$Q$5,0))</f>
        <v>Spring</v>
      </c>
      <c r="T186" s="38" t="str">
        <f t="shared" si="4"/>
        <v>Match</v>
      </c>
    </row>
    <row r="187" ht="12.75" customHeight="1">
      <c r="A187" s="38">
        <f>dataset_A!A187</f>
        <v>472</v>
      </c>
      <c r="B187" s="39">
        <f>dataset_A!B187</f>
        <v>40564</v>
      </c>
      <c r="C187" s="38">
        <f>dataset_A!F187</f>
        <v>16</v>
      </c>
      <c r="D187" s="38">
        <f>dataset_A!H187</f>
        <v>5</v>
      </c>
      <c r="E187" s="38" t="b">
        <f>dataset_A!G187</f>
        <v>0</v>
      </c>
      <c r="F187" s="38" t="b">
        <f>dataset_A!G187</f>
        <v>0</v>
      </c>
      <c r="G187" s="38" t="str">
        <f t="shared" si="1"/>
        <v>Weekday</v>
      </c>
      <c r="H187" s="38" t="str">
        <f t="shared" si="2"/>
        <v>Afternoon</v>
      </c>
      <c r="I187" s="38" t="str">
        <f>IF(dataset_A!C187=1,"Spring",IF(dataset_A!C187=2,"Summer",IF(dataset_A!C187=3,"Fail","Winter")))</f>
        <v>Spring</v>
      </c>
      <c r="J187" s="38" t="str">
        <f>IF(dataset_A!I187=1,"Clear",IF(dataset_A!I187,"Mist/Cloudy",IF(dataset_A!I187=3,"Light Rain/Snow","Heavy Rain/Snow")))</f>
        <v>Clear</v>
      </c>
      <c r="K187" s="38">
        <f>dataset_A!N187</f>
        <v>0</v>
      </c>
      <c r="L187" s="38">
        <f>dataset_A!O187</f>
        <v>97</v>
      </c>
      <c r="M187" s="38">
        <f>dataset_A!P187</f>
        <v>97</v>
      </c>
      <c r="N187" s="38" t="str">
        <f t="shared" si="3"/>
        <v>Ok</v>
      </c>
      <c r="O187" s="38" t="str">
        <f>IF(M187&gt;Analysis!$B$3*1.5,"High",IF(M187&lt;Analysis!$B$3*0.5,"Low","Medium"))</f>
        <v>High</v>
      </c>
      <c r="P187" s="38" t="str">
        <f>VLOOKUP(dataset_A!C187,$Q$2:$R$5,2,0)</f>
        <v>Spring</v>
      </c>
      <c r="S187" s="38" t="str">
        <f t="array" ref="S187">INDEX($R$2:$R$5,MATCH(dataset_A!C187,$Q$2:$Q$5,0))</f>
        <v>Spring</v>
      </c>
      <c r="T187" s="38" t="str">
        <f t="shared" si="4"/>
        <v>Match</v>
      </c>
    </row>
    <row r="188" ht="12.75" customHeight="1">
      <c r="A188" s="38">
        <f>dataset_A!A188</f>
        <v>653</v>
      </c>
      <c r="B188" s="39">
        <f>dataset_A!B188</f>
        <v>40573</v>
      </c>
      <c r="C188" s="38">
        <f>dataset_A!F188</f>
        <v>12</v>
      </c>
      <c r="D188" s="38">
        <f>dataset_A!H188</f>
        <v>0</v>
      </c>
      <c r="E188" s="38" t="b">
        <f>dataset_A!G188</f>
        <v>0</v>
      </c>
      <c r="F188" s="38" t="b">
        <f>dataset_A!G188</f>
        <v>0</v>
      </c>
      <c r="G188" s="38" t="str">
        <f t="shared" si="1"/>
        <v>Weekend</v>
      </c>
      <c r="H188" s="38" t="str">
        <f t="shared" si="2"/>
        <v>Afternoon</v>
      </c>
      <c r="I188" s="38" t="str">
        <f>IF(dataset_A!C188=1,"Spring",IF(dataset_A!C188=2,"Summer",IF(dataset_A!C188=3,"Fail","Winter")))</f>
        <v>Spring</v>
      </c>
      <c r="J188" s="38" t="str">
        <f>IF(dataset_A!I188=1,"Clear",IF(dataset_A!I188,"Mist/Cloudy",IF(dataset_A!I188=3,"Light Rain/Snow","Heavy Rain/Snow")))</f>
        <v>Clear</v>
      </c>
      <c r="K188" s="38">
        <f>dataset_A!N188</f>
        <v>10</v>
      </c>
      <c r="L188" s="38">
        <f>dataset_A!O188</f>
        <v>87</v>
      </c>
      <c r="M188" s="38">
        <f>dataset_A!P188</f>
        <v>97</v>
      </c>
      <c r="N188" s="38" t="str">
        <f t="shared" si="3"/>
        <v>Ok</v>
      </c>
      <c r="O188" s="38" t="str">
        <f>IF(M188&gt;Analysis!$B$3*1.5,"High",IF(M188&lt;Analysis!$B$3*0.5,"Low","Medium"))</f>
        <v>High</v>
      </c>
      <c r="P188" s="38" t="str">
        <f>VLOOKUP(dataset_A!C188,$Q$2:$R$5,2,0)</f>
        <v>Spring</v>
      </c>
      <c r="S188" s="38" t="str">
        <f t="array" ref="S188">INDEX($R$2:$R$5,MATCH(dataset_A!C188,$Q$2:$Q$5,0))</f>
        <v>Spring</v>
      </c>
      <c r="T188" s="38" t="str">
        <f t="shared" si="4"/>
        <v>Match</v>
      </c>
    </row>
    <row r="189" ht="12.75" customHeight="1">
      <c r="A189" s="38">
        <f>dataset_A!A189</f>
        <v>920</v>
      </c>
      <c r="B189" s="39">
        <f>dataset_A!B189</f>
        <v>40584</v>
      </c>
      <c r="C189" s="38">
        <f>dataset_A!F189</f>
        <v>20</v>
      </c>
      <c r="D189" s="38">
        <f>dataset_A!H189</f>
        <v>4</v>
      </c>
      <c r="E189" s="38" t="b">
        <f>dataset_A!G189</f>
        <v>0</v>
      </c>
      <c r="F189" s="38" t="b">
        <f>dataset_A!G189</f>
        <v>0</v>
      </c>
      <c r="G189" s="38" t="str">
        <f t="shared" si="1"/>
        <v>Weekday</v>
      </c>
      <c r="H189" s="38" t="str">
        <f t="shared" si="2"/>
        <v>Evening</v>
      </c>
      <c r="I189" s="38" t="str">
        <f>IF(dataset_A!C189=1,"Spring",IF(dataset_A!C189=2,"Summer",IF(dataset_A!C189=3,"Fail","Winter")))</f>
        <v>Spring</v>
      </c>
      <c r="J189" s="38" t="str">
        <f>IF(dataset_A!I189=1,"Clear",IF(dataset_A!I189,"Mist/Cloudy",IF(dataset_A!I189=3,"Light Rain/Snow","Heavy Rain/Snow")))</f>
        <v>Clear</v>
      </c>
      <c r="K189" s="38">
        <f>dataset_A!N189</f>
        <v>4</v>
      </c>
      <c r="L189" s="38">
        <f>dataset_A!O189</f>
        <v>93</v>
      </c>
      <c r="M189" s="38">
        <f>dataset_A!P189</f>
        <v>97</v>
      </c>
      <c r="N189" s="38" t="str">
        <f t="shared" si="3"/>
        <v>Ok</v>
      </c>
      <c r="O189" s="38" t="str">
        <f>IF(M189&gt;Analysis!$B$3*1.5,"High",IF(M189&lt;Analysis!$B$3*0.5,"Low","Medium"))</f>
        <v>High</v>
      </c>
      <c r="P189" s="38" t="str">
        <f>VLOOKUP(dataset_A!C189,$Q$2:$R$5,2,0)</f>
        <v>Spring</v>
      </c>
      <c r="S189" s="38" t="str">
        <f t="array" ref="S189">INDEX($R$2:$R$5,MATCH(dataset_A!C189,$Q$2:$Q$5,0))</f>
        <v>Spring</v>
      </c>
      <c r="T189" s="38" t="str">
        <f t="shared" si="4"/>
        <v>Match</v>
      </c>
    </row>
    <row r="190" ht="12.75" customHeight="1">
      <c r="A190" s="38">
        <f>dataset_A!A190</f>
        <v>475</v>
      </c>
      <c r="B190" s="39">
        <f>dataset_A!B190</f>
        <v>40564</v>
      </c>
      <c r="C190" s="38">
        <f>dataset_A!F190</f>
        <v>19</v>
      </c>
      <c r="D190" s="38">
        <f>dataset_A!H190</f>
        <v>5</v>
      </c>
      <c r="E190" s="38" t="b">
        <f>dataset_A!G190</f>
        <v>0</v>
      </c>
      <c r="F190" s="38" t="b">
        <f>dataset_A!G190</f>
        <v>0</v>
      </c>
      <c r="G190" s="38" t="str">
        <f t="shared" si="1"/>
        <v>Weekday</v>
      </c>
      <c r="H190" s="38" t="str">
        <f t="shared" si="2"/>
        <v>Evening</v>
      </c>
      <c r="I190" s="38" t="str">
        <f>IF(dataset_A!C190=1,"Spring",IF(dataset_A!C190=2,"Summer",IF(dataset_A!C190=3,"Fail","Winter")))</f>
        <v>Spring</v>
      </c>
      <c r="J190" s="38" t="str">
        <f>IF(dataset_A!I190=1,"Clear",IF(dataset_A!I190,"Mist/Cloudy",IF(dataset_A!I190=3,"Light Rain/Snow","Heavy Rain/Snow")))</f>
        <v>Clear</v>
      </c>
      <c r="K190" s="38">
        <f>dataset_A!N190</f>
        <v>3</v>
      </c>
      <c r="L190" s="38">
        <f>dataset_A!O190</f>
        <v>93</v>
      </c>
      <c r="M190" s="38">
        <f>dataset_A!P190</f>
        <v>96</v>
      </c>
      <c r="N190" s="38" t="str">
        <f t="shared" si="3"/>
        <v>Ok</v>
      </c>
      <c r="O190" s="38" t="str">
        <f>IF(M190&gt;Analysis!$B$3*1.5,"High",IF(M190&lt;Analysis!$B$3*0.5,"Low","Medium"))</f>
        <v>High</v>
      </c>
      <c r="P190" s="38" t="str">
        <f>VLOOKUP(dataset_A!C190,$Q$2:$R$5,2,0)</f>
        <v>Spring</v>
      </c>
      <c r="S190" s="38" t="str">
        <f t="array" ref="S190">INDEX($R$2:$R$5,MATCH(dataset_A!C190,$Q$2:$Q$5,0))</f>
        <v>Spring</v>
      </c>
      <c r="T190" s="38" t="str">
        <f t="shared" si="4"/>
        <v>Match</v>
      </c>
    </row>
    <row r="191" ht="12.75" customHeight="1">
      <c r="A191" s="38">
        <f>dataset_A!A191</f>
        <v>754</v>
      </c>
      <c r="B191" s="39">
        <f>dataset_A!B191</f>
        <v>40577</v>
      </c>
      <c r="C191" s="38">
        <f>dataset_A!F191</f>
        <v>19</v>
      </c>
      <c r="D191" s="38">
        <f>dataset_A!H191</f>
        <v>4</v>
      </c>
      <c r="E191" s="38" t="b">
        <f>dataset_A!G191</f>
        <v>0</v>
      </c>
      <c r="F191" s="38" t="b">
        <f>dataset_A!G191</f>
        <v>0</v>
      </c>
      <c r="G191" s="38" t="str">
        <f t="shared" si="1"/>
        <v>Weekday</v>
      </c>
      <c r="H191" s="38" t="str">
        <f t="shared" si="2"/>
        <v>Evening</v>
      </c>
      <c r="I191" s="38" t="str">
        <f>IF(dataset_A!C191=1,"Spring",IF(dataset_A!C191=2,"Summer",IF(dataset_A!C191=3,"Fail","Winter")))</f>
        <v>Spring</v>
      </c>
      <c r="J191" s="38" t="str">
        <f>IF(dataset_A!I191=1,"Clear",IF(dataset_A!I191,"Mist/Cloudy",IF(dataset_A!I191=3,"Light Rain/Snow","Heavy Rain/Snow")))</f>
        <v>Clear</v>
      </c>
      <c r="K191" s="38">
        <f>dataset_A!N191</f>
        <v>4</v>
      </c>
      <c r="L191" s="38">
        <f>dataset_A!O191</f>
        <v>92</v>
      </c>
      <c r="M191" s="38">
        <f>dataset_A!P191</f>
        <v>96</v>
      </c>
      <c r="N191" s="38" t="str">
        <f t="shared" si="3"/>
        <v>Ok</v>
      </c>
      <c r="O191" s="38" t="str">
        <f>IF(M191&gt;Analysis!$B$3*1.5,"High",IF(M191&lt;Analysis!$B$3*0.5,"Low","Medium"))</f>
        <v>High</v>
      </c>
      <c r="P191" s="38" t="str">
        <f>VLOOKUP(dataset_A!C191,$Q$2:$R$5,2,0)</f>
        <v>Spring</v>
      </c>
      <c r="S191" s="38" t="str">
        <f t="array" ref="S191">INDEX($R$2:$R$5,MATCH(dataset_A!C191,$Q$2:$Q$5,0))</f>
        <v>Spring</v>
      </c>
      <c r="T191" s="38" t="str">
        <f t="shared" si="4"/>
        <v>Match</v>
      </c>
    </row>
    <row r="192" ht="12.75" customHeight="1">
      <c r="A192" s="38">
        <f>dataset_A!A192</f>
        <v>122</v>
      </c>
      <c r="B192" s="39">
        <f>dataset_A!B192</f>
        <v>40549</v>
      </c>
      <c r="C192" s="38">
        <f>dataset_A!F192</f>
        <v>7</v>
      </c>
      <c r="D192" s="38">
        <f>dataset_A!H192</f>
        <v>4</v>
      </c>
      <c r="E192" s="38" t="b">
        <f>dataset_A!G192</f>
        <v>0</v>
      </c>
      <c r="F192" s="38" t="b">
        <f>dataset_A!G192</f>
        <v>0</v>
      </c>
      <c r="G192" s="38" t="str">
        <f t="shared" si="1"/>
        <v>Weekday</v>
      </c>
      <c r="H192" s="38" t="str">
        <f t="shared" si="2"/>
        <v>Morning</v>
      </c>
      <c r="I192" s="38" t="str">
        <f>IF(dataset_A!C192=1,"Spring",IF(dataset_A!C192=2,"Summer",IF(dataset_A!C192=3,"Fail","Winter")))</f>
        <v>Spring</v>
      </c>
      <c r="J192" s="38" t="str">
        <f>IF(dataset_A!I192=1,"Clear",IF(dataset_A!I192,"Mist/Cloudy",IF(dataset_A!I192=3,"Light Rain/Snow","Heavy Rain/Snow")))</f>
        <v>Mist/Cloudy</v>
      </c>
      <c r="K192" s="38">
        <f>dataset_A!N192</f>
        <v>0</v>
      </c>
      <c r="L192" s="38">
        <f>dataset_A!O192</f>
        <v>95</v>
      </c>
      <c r="M192" s="38">
        <f>dataset_A!P192</f>
        <v>95</v>
      </c>
      <c r="N192" s="38" t="str">
        <f t="shared" si="3"/>
        <v>Ok</v>
      </c>
      <c r="O192" s="38" t="str">
        <f>IF(M192&gt;Analysis!$B$3*1.5,"High",IF(M192&lt;Analysis!$B$3*0.5,"Low","Medium"))</f>
        <v>High</v>
      </c>
      <c r="P192" s="38" t="str">
        <f>VLOOKUP(dataset_A!C192,$Q$2:$R$5,2,0)</f>
        <v>Spring</v>
      </c>
      <c r="S192" s="38" t="str">
        <f t="array" ref="S192">INDEX($R$2:$R$5,MATCH(dataset_A!C192,$Q$2:$Q$5,0))</f>
        <v>Spring</v>
      </c>
      <c r="T192" s="38" t="str">
        <f t="shared" si="4"/>
        <v>Match</v>
      </c>
    </row>
    <row r="193" ht="12.75" customHeight="1">
      <c r="A193" s="38">
        <f>dataset_A!A193</f>
        <v>157</v>
      </c>
      <c r="B193" s="39">
        <f>dataset_A!B193</f>
        <v>40550</v>
      </c>
      <c r="C193" s="38">
        <f>dataset_A!F193</f>
        <v>19</v>
      </c>
      <c r="D193" s="38">
        <f>dataset_A!H193</f>
        <v>5</v>
      </c>
      <c r="E193" s="38" t="b">
        <f>dataset_A!G193</f>
        <v>0</v>
      </c>
      <c r="F193" s="38" t="b">
        <f>dataset_A!G193</f>
        <v>0</v>
      </c>
      <c r="G193" s="38" t="str">
        <f t="shared" si="1"/>
        <v>Weekday</v>
      </c>
      <c r="H193" s="38" t="str">
        <f t="shared" si="2"/>
        <v>Evening</v>
      </c>
      <c r="I193" s="38" t="str">
        <f>IF(dataset_A!C193=1,"Spring",IF(dataset_A!C193=2,"Summer",IF(dataset_A!C193=3,"Fail","Winter")))</f>
        <v>Spring</v>
      </c>
      <c r="J193" s="38" t="str">
        <f>IF(dataset_A!I193=1,"Clear",IF(dataset_A!I193,"Mist/Cloudy",IF(dataset_A!I193=3,"Light Rain/Snow","Heavy Rain/Snow")))</f>
        <v>Clear</v>
      </c>
      <c r="K193" s="38">
        <f>dataset_A!N193</f>
        <v>3</v>
      </c>
      <c r="L193" s="38">
        <f>dataset_A!O193</f>
        <v>92</v>
      </c>
      <c r="M193" s="38">
        <f>dataset_A!P193</f>
        <v>95</v>
      </c>
      <c r="N193" s="38" t="str">
        <f t="shared" si="3"/>
        <v>Ok</v>
      </c>
      <c r="O193" s="38" t="str">
        <f>IF(M193&gt;Analysis!$B$3*1.5,"High",IF(M193&lt;Analysis!$B$3*0.5,"Low","Medium"))</f>
        <v>High</v>
      </c>
      <c r="P193" s="38" t="str">
        <f>VLOOKUP(dataset_A!C193,$Q$2:$R$5,2,0)</f>
        <v>Spring</v>
      </c>
      <c r="S193" s="38" t="str">
        <f t="array" ref="S193">INDEX($R$2:$R$5,MATCH(dataset_A!C193,$Q$2:$Q$5,0))</f>
        <v>Spring</v>
      </c>
      <c r="T193" s="38" t="str">
        <f t="shared" si="4"/>
        <v>Match</v>
      </c>
    </row>
    <row r="194" ht="12.75" customHeight="1">
      <c r="A194" s="38">
        <f>dataset_A!A194</f>
        <v>176</v>
      </c>
      <c r="B194" s="39">
        <f>dataset_A!B194</f>
        <v>40551</v>
      </c>
      <c r="C194" s="38">
        <f>dataset_A!F194</f>
        <v>14</v>
      </c>
      <c r="D194" s="38">
        <f>dataset_A!H194</f>
        <v>6</v>
      </c>
      <c r="E194" s="38" t="b">
        <f>dataset_A!G194</f>
        <v>0</v>
      </c>
      <c r="F194" s="38" t="b">
        <f>dataset_A!G194</f>
        <v>0</v>
      </c>
      <c r="G194" s="38" t="str">
        <f t="shared" si="1"/>
        <v>Weekend</v>
      </c>
      <c r="H194" s="38" t="str">
        <f t="shared" si="2"/>
        <v>Afternoon</v>
      </c>
      <c r="I194" s="38" t="str">
        <f>IF(dataset_A!C194=1,"Spring",IF(dataset_A!C194=2,"Summer",IF(dataset_A!C194=3,"Fail","Winter")))</f>
        <v>Spring</v>
      </c>
      <c r="J194" s="38" t="str">
        <f>IF(dataset_A!I194=1,"Clear",IF(dataset_A!I194,"Mist/Cloudy",IF(dataset_A!I194=3,"Light Rain/Snow","Heavy Rain/Snow")))</f>
        <v>Clear</v>
      </c>
      <c r="K194" s="38">
        <f>dataset_A!N194</f>
        <v>12</v>
      </c>
      <c r="L194" s="38">
        <f>dataset_A!O194</f>
        <v>83</v>
      </c>
      <c r="M194" s="38">
        <f>dataset_A!P194</f>
        <v>95</v>
      </c>
      <c r="N194" s="38" t="str">
        <f t="shared" si="3"/>
        <v>Ok</v>
      </c>
      <c r="O194" s="38" t="str">
        <f>IF(M194&gt;Analysis!$B$3*1.5,"High",IF(M194&lt;Analysis!$B$3*0.5,"Low","Medium"))</f>
        <v>High</v>
      </c>
      <c r="P194" s="38" t="str">
        <f>VLOOKUP(dataset_A!C194,$Q$2:$R$5,2,0)</f>
        <v>Spring</v>
      </c>
      <c r="S194" s="38" t="str">
        <f t="array" ref="S194">INDEX($R$2:$R$5,MATCH(dataset_A!C194,$Q$2:$Q$5,0))</f>
        <v>Spring</v>
      </c>
      <c r="T194" s="38" t="str">
        <f t="shared" si="4"/>
        <v>Match</v>
      </c>
    </row>
    <row r="195" ht="12.75" customHeight="1">
      <c r="A195" s="38">
        <f>dataset_A!A195</f>
        <v>229</v>
      </c>
      <c r="B195" s="39">
        <f>dataset_A!B195</f>
        <v>40553</v>
      </c>
      <c r="C195" s="38">
        <f>dataset_A!F195</f>
        <v>19</v>
      </c>
      <c r="D195" s="38">
        <f>dataset_A!H195</f>
        <v>1</v>
      </c>
      <c r="E195" s="38" t="b">
        <f>dataset_A!G195</f>
        <v>0</v>
      </c>
      <c r="F195" s="38" t="b">
        <f>dataset_A!G195</f>
        <v>0</v>
      </c>
      <c r="G195" s="38" t="str">
        <f t="shared" si="1"/>
        <v>Weekday</v>
      </c>
      <c r="H195" s="38" t="str">
        <f t="shared" si="2"/>
        <v>Evening</v>
      </c>
      <c r="I195" s="38" t="str">
        <f>IF(dataset_A!C195=1,"Spring",IF(dataset_A!C195=2,"Summer",IF(dataset_A!C195=3,"Fail","Winter")))</f>
        <v>Spring</v>
      </c>
      <c r="J195" s="38" t="str">
        <f>IF(dataset_A!I195=1,"Clear",IF(dataset_A!I195,"Mist/Cloudy",IF(dataset_A!I195=3,"Light Rain/Snow","Heavy Rain/Snow")))</f>
        <v>Clear</v>
      </c>
      <c r="K195" s="38">
        <f>dataset_A!N195</f>
        <v>3</v>
      </c>
      <c r="L195" s="38">
        <f>dataset_A!O195</f>
        <v>92</v>
      </c>
      <c r="M195" s="38">
        <f>dataset_A!P195</f>
        <v>95</v>
      </c>
      <c r="N195" s="38" t="str">
        <f t="shared" si="3"/>
        <v>Ok</v>
      </c>
      <c r="O195" s="38" t="str">
        <f>IF(M195&gt;Analysis!$B$3*1.5,"High",IF(M195&lt;Analysis!$B$3*0.5,"Low","Medium"))</f>
        <v>High</v>
      </c>
      <c r="P195" s="38" t="str">
        <f>VLOOKUP(dataset_A!C195,$Q$2:$R$5,2,0)</f>
        <v>Spring</v>
      </c>
      <c r="S195" s="38" t="str">
        <f t="array" ref="S195">INDEX($R$2:$R$5,MATCH(dataset_A!C195,$Q$2:$Q$5,0))</f>
        <v>Spring</v>
      </c>
      <c r="T195" s="38" t="str">
        <f t="shared" si="4"/>
        <v>Match</v>
      </c>
    </row>
    <row r="196" ht="12.75" customHeight="1">
      <c r="A196" s="38">
        <f>dataset_A!A196</f>
        <v>250</v>
      </c>
      <c r="B196" s="39">
        <f>dataset_A!B196</f>
        <v>40554</v>
      </c>
      <c r="C196" s="38">
        <f>dataset_A!F196</f>
        <v>18</v>
      </c>
      <c r="D196" s="38">
        <f>dataset_A!H196</f>
        <v>2</v>
      </c>
      <c r="E196" s="38" t="b">
        <f>dataset_A!G196</f>
        <v>0</v>
      </c>
      <c r="F196" s="38" t="b">
        <f>dataset_A!G196</f>
        <v>0</v>
      </c>
      <c r="G196" s="38" t="str">
        <f t="shared" si="1"/>
        <v>Weekday</v>
      </c>
      <c r="H196" s="38" t="str">
        <f t="shared" si="2"/>
        <v>Evening</v>
      </c>
      <c r="I196" s="38" t="str">
        <f>IF(dataset_A!C196=1,"Spring",IF(dataset_A!C196=2,"Summer",IF(dataset_A!C196=3,"Fail","Winter")))</f>
        <v>Spring</v>
      </c>
      <c r="J196" s="38" t="str">
        <f>IF(dataset_A!I196=1,"Clear",IF(dataset_A!I196,"Mist/Cloudy",IF(dataset_A!I196=3,"Light Rain/Snow","Heavy Rain/Snow")))</f>
        <v>Mist/Cloudy</v>
      </c>
      <c r="K196" s="38">
        <f>dataset_A!N196</f>
        <v>1</v>
      </c>
      <c r="L196" s="38">
        <f>dataset_A!O196</f>
        <v>94</v>
      </c>
      <c r="M196" s="38">
        <f>dataset_A!P196</f>
        <v>95</v>
      </c>
      <c r="N196" s="38" t="str">
        <f t="shared" si="3"/>
        <v>Ok</v>
      </c>
      <c r="O196" s="38" t="str">
        <f>IF(M196&gt;Analysis!$B$3*1.5,"High",IF(M196&lt;Analysis!$B$3*0.5,"Low","Medium"))</f>
        <v>High</v>
      </c>
      <c r="P196" s="38" t="str">
        <f>VLOOKUP(dataset_A!C196,$Q$2:$R$5,2,0)</f>
        <v>Spring</v>
      </c>
      <c r="S196" s="38" t="str">
        <f t="array" ref="S196">INDEX($R$2:$R$5,MATCH(dataset_A!C196,$Q$2:$Q$5,0))</f>
        <v>Spring</v>
      </c>
      <c r="T196" s="38" t="str">
        <f t="shared" si="4"/>
        <v>Match</v>
      </c>
    </row>
    <row r="197" ht="12.75" customHeight="1">
      <c r="A197" s="38">
        <f>dataset_A!A197</f>
        <v>837</v>
      </c>
      <c r="B197" s="39">
        <f>dataset_A!B197</f>
        <v>40581</v>
      </c>
      <c r="C197" s="38">
        <f>dataset_A!F197</f>
        <v>7</v>
      </c>
      <c r="D197" s="38">
        <f>dataset_A!H197</f>
        <v>1</v>
      </c>
      <c r="E197" s="38" t="b">
        <f>dataset_A!G197</f>
        <v>0</v>
      </c>
      <c r="F197" s="38" t="b">
        <f>dataset_A!G197</f>
        <v>0</v>
      </c>
      <c r="G197" s="38" t="str">
        <f t="shared" si="1"/>
        <v>Weekday</v>
      </c>
      <c r="H197" s="38" t="str">
        <f t="shared" si="2"/>
        <v>Morning</v>
      </c>
      <c r="I197" s="38" t="str">
        <f>IF(dataset_A!C197=1,"Spring",IF(dataset_A!C197=2,"Summer",IF(dataset_A!C197=3,"Fail","Winter")))</f>
        <v>Spring</v>
      </c>
      <c r="J197" s="38" t="str">
        <f>IF(dataset_A!I197=1,"Clear",IF(dataset_A!I197,"Mist/Cloudy",IF(dataset_A!I197=3,"Light Rain/Snow","Heavy Rain/Snow")))</f>
        <v>Clear</v>
      </c>
      <c r="K197" s="38">
        <f>dataset_A!N197</f>
        <v>6</v>
      </c>
      <c r="L197" s="38">
        <f>dataset_A!O197</f>
        <v>89</v>
      </c>
      <c r="M197" s="38">
        <f>dataset_A!P197</f>
        <v>95</v>
      </c>
      <c r="N197" s="38" t="str">
        <f t="shared" si="3"/>
        <v>Ok</v>
      </c>
      <c r="O197" s="38" t="str">
        <f>IF(M197&gt;Analysis!$B$3*1.5,"High",IF(M197&lt;Analysis!$B$3*0.5,"Low","Medium"))</f>
        <v>High</v>
      </c>
      <c r="P197" s="38" t="str">
        <f>VLOOKUP(dataset_A!C197,$Q$2:$R$5,2,0)</f>
        <v>Spring</v>
      </c>
      <c r="S197" s="38" t="str">
        <f t="array" ref="S197">INDEX($R$2:$R$5,MATCH(dataset_A!C197,$Q$2:$Q$5,0))</f>
        <v>Spring</v>
      </c>
      <c r="T197" s="38" t="str">
        <f t="shared" si="4"/>
        <v>Match</v>
      </c>
    </row>
    <row r="198" ht="12.75" customHeight="1">
      <c r="A198" s="38">
        <f>dataset_A!A198</f>
        <v>987</v>
      </c>
      <c r="B198" s="39">
        <f>dataset_A!B198</f>
        <v>40587</v>
      </c>
      <c r="C198" s="38">
        <f>dataset_A!F198</f>
        <v>18</v>
      </c>
      <c r="D198" s="38">
        <f>dataset_A!H198</f>
        <v>0</v>
      </c>
      <c r="E198" s="38" t="b">
        <f>dataset_A!G198</f>
        <v>0</v>
      </c>
      <c r="F198" s="38" t="b">
        <f>dataset_A!G198</f>
        <v>0</v>
      </c>
      <c r="G198" s="38" t="str">
        <f t="shared" si="1"/>
        <v>Weekend</v>
      </c>
      <c r="H198" s="38" t="str">
        <f t="shared" si="2"/>
        <v>Evening</v>
      </c>
      <c r="I198" s="38" t="str">
        <f>IF(dataset_A!C198=1,"Spring",IF(dataset_A!C198=2,"Summer",IF(dataset_A!C198=3,"Fail","Winter")))</f>
        <v>Spring</v>
      </c>
      <c r="J198" s="38" t="str">
        <f>IF(dataset_A!I198=1,"Clear",IF(dataset_A!I198,"Mist/Cloudy",IF(dataset_A!I198=3,"Light Rain/Snow","Heavy Rain/Snow")))</f>
        <v>Clear</v>
      </c>
      <c r="K198" s="38">
        <f>dataset_A!N198</f>
        <v>17</v>
      </c>
      <c r="L198" s="38">
        <f>dataset_A!O198</f>
        <v>78</v>
      </c>
      <c r="M198" s="38">
        <f>dataset_A!P198</f>
        <v>95</v>
      </c>
      <c r="N198" s="38" t="str">
        <f t="shared" si="3"/>
        <v>Ok</v>
      </c>
      <c r="O198" s="38" t="str">
        <f>IF(M198&gt;Analysis!$B$3*1.5,"High",IF(M198&lt;Analysis!$B$3*0.5,"Low","Medium"))</f>
        <v>High</v>
      </c>
      <c r="P198" s="38" t="str">
        <f>VLOOKUP(dataset_A!C198,$Q$2:$R$5,2,0)</f>
        <v>Spring</v>
      </c>
      <c r="S198" s="38" t="str">
        <f t="array" ref="S198">INDEX($R$2:$R$5,MATCH(dataset_A!C198,$Q$2:$Q$5,0))</f>
        <v>Spring</v>
      </c>
      <c r="T198" s="38" t="str">
        <f t="shared" si="4"/>
        <v>Match</v>
      </c>
    </row>
    <row r="199" ht="12.75" customHeight="1">
      <c r="A199" s="38">
        <f>dataset_A!A199</f>
        <v>14</v>
      </c>
      <c r="B199" s="39">
        <f>dataset_A!B199</f>
        <v>40544</v>
      </c>
      <c r="C199" s="38">
        <f>dataset_A!F199</f>
        <v>13</v>
      </c>
      <c r="D199" s="38">
        <f>dataset_A!H199</f>
        <v>6</v>
      </c>
      <c r="E199" s="38" t="b">
        <f>dataset_A!G199</f>
        <v>0</v>
      </c>
      <c r="F199" s="38" t="b">
        <f>dataset_A!G199</f>
        <v>0</v>
      </c>
      <c r="G199" s="38" t="str">
        <f t="shared" si="1"/>
        <v>Weekend</v>
      </c>
      <c r="H199" s="38" t="str">
        <f t="shared" si="2"/>
        <v>Afternoon</v>
      </c>
      <c r="I199" s="38" t="str">
        <f>IF(dataset_A!C199=1,"Spring",IF(dataset_A!C199=2,"Summer",IF(dataset_A!C199=3,"Fail","Winter")))</f>
        <v>Spring</v>
      </c>
      <c r="J199" s="38" t="str">
        <f>IF(dataset_A!I199=1,"Clear",IF(dataset_A!I199,"Mist/Cloudy",IF(dataset_A!I199=3,"Light Rain/Snow","Heavy Rain/Snow")))</f>
        <v>Mist/Cloudy</v>
      </c>
      <c r="K199" s="38">
        <f>dataset_A!N199</f>
        <v>47</v>
      </c>
      <c r="L199" s="38">
        <f>dataset_A!O199</f>
        <v>47</v>
      </c>
      <c r="M199" s="38">
        <f>dataset_A!P199</f>
        <v>94</v>
      </c>
      <c r="N199" s="38" t="str">
        <f t="shared" si="3"/>
        <v>Ok</v>
      </c>
      <c r="O199" s="38" t="str">
        <f>IF(M199&gt;Analysis!$B$3*1.5,"High",IF(M199&lt;Analysis!$B$3*0.5,"Low","Medium"))</f>
        <v>High</v>
      </c>
      <c r="P199" s="38" t="str">
        <f>VLOOKUP(dataset_A!C199,$Q$2:$R$5,2,0)</f>
        <v>Spring</v>
      </c>
      <c r="S199" s="38" t="str">
        <f t="array" ref="S199">INDEX($R$2:$R$5,MATCH(dataset_A!C199,$Q$2:$Q$5,0))</f>
        <v>Spring</v>
      </c>
      <c r="T199" s="38" t="str">
        <f t="shared" si="4"/>
        <v>Match</v>
      </c>
    </row>
    <row r="200" ht="12.75" customHeight="1">
      <c r="A200" s="38">
        <f>dataset_A!A200</f>
        <v>76</v>
      </c>
      <c r="B200" s="39">
        <f>dataset_A!B200</f>
        <v>40547</v>
      </c>
      <c r="C200" s="38">
        <f>dataset_A!F200</f>
        <v>7</v>
      </c>
      <c r="D200" s="38">
        <f>dataset_A!H200</f>
        <v>2</v>
      </c>
      <c r="E200" s="38" t="b">
        <f>dataset_A!G200</f>
        <v>0</v>
      </c>
      <c r="F200" s="38" t="b">
        <f>dataset_A!G200</f>
        <v>0</v>
      </c>
      <c r="G200" s="38" t="str">
        <f t="shared" si="1"/>
        <v>Weekday</v>
      </c>
      <c r="H200" s="38" t="str">
        <f t="shared" si="2"/>
        <v>Morning</v>
      </c>
      <c r="I200" s="38" t="str">
        <f>IF(dataset_A!C200=1,"Spring",IF(dataset_A!C200=2,"Summer",IF(dataset_A!C200=3,"Fail","Winter")))</f>
        <v>Spring</v>
      </c>
      <c r="J200" s="38" t="str">
        <f>IF(dataset_A!I200=1,"Clear",IF(dataset_A!I200,"Mist/Cloudy",IF(dataset_A!I200=3,"Light Rain/Snow","Heavy Rain/Snow")))</f>
        <v>Clear</v>
      </c>
      <c r="K200" s="38">
        <f>dataset_A!N200</f>
        <v>2</v>
      </c>
      <c r="L200" s="38">
        <f>dataset_A!O200</f>
        <v>92</v>
      </c>
      <c r="M200" s="38">
        <f>dataset_A!P200</f>
        <v>94</v>
      </c>
      <c r="N200" s="38" t="str">
        <f t="shared" si="3"/>
        <v>Ok</v>
      </c>
      <c r="O200" s="38" t="str">
        <f>IF(M200&gt;Analysis!$B$3*1.5,"High",IF(M200&lt;Analysis!$B$3*0.5,"Low","Medium"))</f>
        <v>High</v>
      </c>
      <c r="P200" s="38" t="str">
        <f>VLOOKUP(dataset_A!C200,$Q$2:$R$5,2,0)</f>
        <v>Spring</v>
      </c>
      <c r="S200" s="38" t="str">
        <f t="array" ref="S200">INDEX($R$2:$R$5,MATCH(dataset_A!C200,$Q$2:$Q$5,0))</f>
        <v>Spring</v>
      </c>
      <c r="T200" s="38" t="str">
        <f t="shared" si="4"/>
        <v>Match</v>
      </c>
    </row>
    <row r="201" ht="12.75" customHeight="1">
      <c r="A201" s="38">
        <f>dataset_A!A201</f>
        <v>219</v>
      </c>
      <c r="B201" s="39">
        <f>dataset_A!B201</f>
        <v>40553</v>
      </c>
      <c r="C201" s="38">
        <f>dataset_A!F201</f>
        <v>9</v>
      </c>
      <c r="D201" s="38">
        <f>dataset_A!H201</f>
        <v>1</v>
      </c>
      <c r="E201" s="38" t="b">
        <f>dataset_A!G201</f>
        <v>0</v>
      </c>
      <c r="F201" s="38" t="b">
        <f>dataset_A!G201</f>
        <v>0</v>
      </c>
      <c r="G201" s="38" t="str">
        <f t="shared" si="1"/>
        <v>Weekday</v>
      </c>
      <c r="H201" s="38" t="str">
        <f t="shared" si="2"/>
        <v>Morning</v>
      </c>
      <c r="I201" s="38" t="str">
        <f>IF(dataset_A!C201=1,"Spring",IF(dataset_A!C201=2,"Summer",IF(dataset_A!C201=3,"Fail","Winter")))</f>
        <v>Spring</v>
      </c>
      <c r="J201" s="38" t="str">
        <f>IF(dataset_A!I201=1,"Clear",IF(dataset_A!I201,"Mist/Cloudy",IF(dataset_A!I201=3,"Light Rain/Snow","Heavy Rain/Snow")))</f>
        <v>Mist/Cloudy</v>
      </c>
      <c r="K201" s="38">
        <f>dataset_A!N201</f>
        <v>2</v>
      </c>
      <c r="L201" s="38">
        <f>dataset_A!O201</f>
        <v>92</v>
      </c>
      <c r="M201" s="38">
        <f>dataset_A!P201</f>
        <v>94</v>
      </c>
      <c r="N201" s="38" t="str">
        <f t="shared" si="3"/>
        <v>Ok</v>
      </c>
      <c r="O201" s="38" t="str">
        <f>IF(M201&gt;Analysis!$B$3*1.5,"High",IF(M201&lt;Analysis!$B$3*0.5,"Low","Medium"))</f>
        <v>High</v>
      </c>
      <c r="P201" s="38" t="str">
        <f>VLOOKUP(dataset_A!C201,$Q$2:$R$5,2,0)</f>
        <v>Spring</v>
      </c>
      <c r="S201" s="38" t="str">
        <f t="array" ref="S201">INDEX($R$2:$R$5,MATCH(dataset_A!C201,$Q$2:$Q$5,0))</f>
        <v>Spring</v>
      </c>
      <c r="T201" s="38" t="str">
        <f t="shared" si="4"/>
        <v>Match</v>
      </c>
    </row>
    <row r="202" ht="12.75" customHeight="1">
      <c r="A202" s="38">
        <f>dataset_A!A202</f>
        <v>17</v>
      </c>
      <c r="B202" s="39">
        <f>dataset_A!B202</f>
        <v>40544</v>
      </c>
      <c r="C202" s="38">
        <f>dataset_A!F202</f>
        <v>16</v>
      </c>
      <c r="D202" s="38">
        <f>dataset_A!H202</f>
        <v>6</v>
      </c>
      <c r="E202" s="38" t="b">
        <f>dataset_A!G202</f>
        <v>0</v>
      </c>
      <c r="F202" s="38" t="b">
        <f>dataset_A!G202</f>
        <v>0</v>
      </c>
      <c r="G202" s="38" t="str">
        <f t="shared" si="1"/>
        <v>Weekend</v>
      </c>
      <c r="H202" s="38" t="str">
        <f t="shared" si="2"/>
        <v>Afternoon</v>
      </c>
      <c r="I202" s="38" t="str">
        <f>IF(dataset_A!C202=1,"Spring",IF(dataset_A!C202=2,"Summer",IF(dataset_A!C202=3,"Fail","Winter")))</f>
        <v>Spring</v>
      </c>
      <c r="J202" s="38" t="str">
        <f>IF(dataset_A!I202=1,"Clear",IF(dataset_A!I202,"Mist/Cloudy",IF(dataset_A!I202=3,"Light Rain/Snow","Heavy Rain/Snow")))</f>
        <v>Mist/Cloudy</v>
      </c>
      <c r="K202" s="38">
        <f>dataset_A!N202</f>
        <v>41</v>
      </c>
      <c r="L202" s="38">
        <f>dataset_A!O202</f>
        <v>52</v>
      </c>
      <c r="M202" s="38">
        <f>dataset_A!P202</f>
        <v>93</v>
      </c>
      <c r="N202" s="38" t="str">
        <f t="shared" si="3"/>
        <v>Ok</v>
      </c>
      <c r="O202" s="38" t="str">
        <f>IF(M202&gt;Analysis!$B$3*1.5,"High",IF(M202&lt;Analysis!$B$3*0.5,"Low","Medium"))</f>
        <v>High</v>
      </c>
      <c r="P202" s="38" t="str">
        <f>VLOOKUP(dataset_A!C202,$Q$2:$R$5,2,0)</f>
        <v>Spring</v>
      </c>
      <c r="S202" s="38" t="str">
        <f t="array" ref="S202">INDEX($R$2:$R$5,MATCH(dataset_A!C202,$Q$2:$Q$5,0))</f>
        <v>Spring</v>
      </c>
      <c r="T202" s="38" t="str">
        <f t="shared" si="4"/>
        <v>Match</v>
      </c>
    </row>
    <row r="203" ht="12.75" customHeight="1">
      <c r="A203" s="38">
        <f>dataset_A!A203</f>
        <v>36</v>
      </c>
      <c r="B203" s="39">
        <f>dataset_A!B203</f>
        <v>40545</v>
      </c>
      <c r="C203" s="38">
        <f>dataset_A!F203</f>
        <v>12</v>
      </c>
      <c r="D203" s="38">
        <f>dataset_A!H203</f>
        <v>0</v>
      </c>
      <c r="E203" s="38" t="b">
        <f>dataset_A!G203</f>
        <v>0</v>
      </c>
      <c r="F203" s="38" t="b">
        <f>dataset_A!G203</f>
        <v>0</v>
      </c>
      <c r="G203" s="38" t="str">
        <f t="shared" si="1"/>
        <v>Weekend</v>
      </c>
      <c r="H203" s="38" t="str">
        <f t="shared" si="2"/>
        <v>Afternoon</v>
      </c>
      <c r="I203" s="38" t="str">
        <f>IF(dataset_A!C203=1,"Spring",IF(dataset_A!C203=2,"Summer",IF(dataset_A!C203=3,"Fail","Winter")))</f>
        <v>Spring</v>
      </c>
      <c r="J203" s="38" t="str">
        <f>IF(dataset_A!I203=1,"Clear",IF(dataset_A!I203,"Mist/Cloudy",IF(dataset_A!I203=3,"Light Rain/Snow","Heavy Rain/Snow")))</f>
        <v>Mist/Cloudy</v>
      </c>
      <c r="K203" s="38">
        <f>dataset_A!N203</f>
        <v>20</v>
      </c>
      <c r="L203" s="38">
        <f>dataset_A!O203</f>
        <v>73</v>
      </c>
      <c r="M203" s="38">
        <f>dataset_A!P203</f>
        <v>93</v>
      </c>
      <c r="N203" s="38" t="str">
        <f t="shared" si="3"/>
        <v>Ok</v>
      </c>
      <c r="O203" s="38" t="str">
        <f>IF(M203&gt;Analysis!$B$3*1.5,"High",IF(M203&lt;Analysis!$B$3*0.5,"Low","Medium"))</f>
        <v>High</v>
      </c>
      <c r="P203" s="38" t="str">
        <f>VLOOKUP(dataset_A!C203,$Q$2:$R$5,2,0)</f>
        <v>Spring</v>
      </c>
      <c r="S203" s="38" t="str">
        <f t="array" ref="S203">INDEX($R$2:$R$5,MATCH(dataset_A!C203,$Q$2:$Q$5,0))</f>
        <v>Spring</v>
      </c>
      <c r="T203" s="38" t="str">
        <f t="shared" si="4"/>
        <v>Match</v>
      </c>
    </row>
    <row r="204" ht="12.75" customHeight="1">
      <c r="A204" s="38">
        <f>dataset_A!A204</f>
        <v>360</v>
      </c>
      <c r="B204" s="39">
        <f>dataset_A!B204</f>
        <v>40559</v>
      </c>
      <c r="C204" s="38">
        <f>dataset_A!F204</f>
        <v>11</v>
      </c>
      <c r="D204" s="38">
        <f>dataset_A!H204</f>
        <v>0</v>
      </c>
      <c r="E204" s="38" t="b">
        <f>dataset_A!G204</f>
        <v>0</v>
      </c>
      <c r="F204" s="38" t="b">
        <f>dataset_A!G204</f>
        <v>0</v>
      </c>
      <c r="G204" s="38" t="str">
        <f t="shared" si="1"/>
        <v>Weekend</v>
      </c>
      <c r="H204" s="38" t="str">
        <f t="shared" si="2"/>
        <v>Morning</v>
      </c>
      <c r="I204" s="38" t="str">
        <f>IF(dataset_A!C204=1,"Spring",IF(dataset_A!C204=2,"Summer",IF(dataset_A!C204=3,"Fail","Winter")))</f>
        <v>Spring</v>
      </c>
      <c r="J204" s="38" t="str">
        <f>IF(dataset_A!I204=1,"Clear",IF(dataset_A!I204,"Mist/Cloudy",IF(dataset_A!I204=3,"Light Rain/Snow","Heavy Rain/Snow")))</f>
        <v>Clear</v>
      </c>
      <c r="K204" s="38">
        <f>dataset_A!N204</f>
        <v>23</v>
      </c>
      <c r="L204" s="38">
        <f>dataset_A!O204</f>
        <v>70</v>
      </c>
      <c r="M204" s="38">
        <f>dataset_A!P204</f>
        <v>93</v>
      </c>
      <c r="N204" s="38" t="str">
        <f t="shared" si="3"/>
        <v>Ok</v>
      </c>
      <c r="O204" s="38" t="str">
        <f>IF(M204&gt;Analysis!$B$3*1.5,"High",IF(M204&lt;Analysis!$B$3*0.5,"Low","Medium"))</f>
        <v>High</v>
      </c>
      <c r="P204" s="38" t="str">
        <f>VLOOKUP(dataset_A!C204,$Q$2:$R$5,2,0)</f>
        <v>Spring</v>
      </c>
      <c r="S204" s="38" t="str">
        <f t="array" ref="S204">INDEX($R$2:$R$5,MATCH(dataset_A!C204,$Q$2:$Q$5,0))</f>
        <v>Spring</v>
      </c>
      <c r="T204" s="38" t="str">
        <f t="shared" si="4"/>
        <v>Match</v>
      </c>
    </row>
    <row r="205" ht="12.75" customHeight="1">
      <c r="A205" s="38">
        <f>dataset_A!A205</f>
        <v>386</v>
      </c>
      <c r="B205" s="39">
        <f>dataset_A!B205</f>
        <v>40560</v>
      </c>
      <c r="C205" s="38">
        <f>dataset_A!F205</f>
        <v>13</v>
      </c>
      <c r="D205" s="38">
        <f>dataset_A!H205</f>
        <v>1</v>
      </c>
      <c r="E205" s="38" t="b">
        <f>dataset_A!G205</f>
        <v>1</v>
      </c>
      <c r="F205" s="38" t="b">
        <f>dataset_A!G205</f>
        <v>1</v>
      </c>
      <c r="G205" s="38" t="str">
        <f t="shared" si="1"/>
        <v>Weekday</v>
      </c>
      <c r="H205" s="38" t="str">
        <f t="shared" si="2"/>
        <v>Afternoon</v>
      </c>
      <c r="I205" s="38" t="str">
        <f>IF(dataset_A!C205=1,"Spring",IF(dataset_A!C205=2,"Summer",IF(dataset_A!C205=3,"Fail","Winter")))</f>
        <v>Spring</v>
      </c>
      <c r="J205" s="38" t="str">
        <f>IF(dataset_A!I205=1,"Clear",IF(dataset_A!I205,"Mist/Cloudy",IF(dataset_A!I205=3,"Light Rain/Snow","Heavy Rain/Snow")))</f>
        <v>Mist/Cloudy</v>
      </c>
      <c r="K205" s="38">
        <f>dataset_A!N205</f>
        <v>13</v>
      </c>
      <c r="L205" s="38">
        <f>dataset_A!O205</f>
        <v>80</v>
      </c>
      <c r="M205" s="38">
        <f>dataset_A!P205</f>
        <v>93</v>
      </c>
      <c r="N205" s="38" t="str">
        <f t="shared" si="3"/>
        <v>Ok</v>
      </c>
      <c r="O205" s="38" t="str">
        <f>IF(M205&gt;Analysis!$B$3*1.5,"High",IF(M205&lt;Analysis!$B$3*0.5,"Low","Medium"))</f>
        <v>High</v>
      </c>
      <c r="P205" s="38" t="str">
        <f>VLOOKUP(dataset_A!C205,$Q$2:$R$5,2,0)</f>
        <v>Spring</v>
      </c>
      <c r="S205" s="38" t="str">
        <f t="array" ref="S205">INDEX($R$2:$R$5,MATCH(dataset_A!C205,$Q$2:$Q$5,0))</f>
        <v>Spring</v>
      </c>
      <c r="T205" s="38" t="str">
        <f t="shared" si="4"/>
        <v>Match</v>
      </c>
    </row>
    <row r="206" ht="12.75" customHeight="1">
      <c r="A206" s="38">
        <f>dataset_A!A206</f>
        <v>388</v>
      </c>
      <c r="B206" s="39">
        <f>dataset_A!B206</f>
        <v>40560</v>
      </c>
      <c r="C206" s="38">
        <f>dataset_A!F206</f>
        <v>15</v>
      </c>
      <c r="D206" s="38">
        <f>dataset_A!H206</f>
        <v>1</v>
      </c>
      <c r="E206" s="38" t="b">
        <f>dataset_A!G206</f>
        <v>1</v>
      </c>
      <c r="F206" s="38" t="b">
        <f>dataset_A!G206</f>
        <v>1</v>
      </c>
      <c r="G206" s="38" t="str">
        <f t="shared" si="1"/>
        <v>Weekday</v>
      </c>
      <c r="H206" s="38" t="str">
        <f t="shared" si="2"/>
        <v>Afternoon</v>
      </c>
      <c r="I206" s="38" t="str">
        <f>IF(dataset_A!C206=1,"Spring",IF(dataset_A!C206=2,"Summer",IF(dataset_A!C206=3,"Fail","Winter")))</f>
        <v>Spring</v>
      </c>
      <c r="J206" s="38" t="str">
        <f>IF(dataset_A!I206=1,"Clear",IF(dataset_A!I206,"Mist/Cloudy",IF(dataset_A!I206=3,"Light Rain/Snow","Heavy Rain/Snow")))</f>
        <v>Mist/Cloudy</v>
      </c>
      <c r="K206" s="38">
        <f>dataset_A!N206</f>
        <v>21</v>
      </c>
      <c r="L206" s="38">
        <f>dataset_A!O206</f>
        <v>72</v>
      </c>
      <c r="M206" s="38">
        <f>dataset_A!P206</f>
        <v>93</v>
      </c>
      <c r="N206" s="38" t="str">
        <f t="shared" si="3"/>
        <v>Ok</v>
      </c>
      <c r="O206" s="38" t="str">
        <f>IF(M206&gt;Analysis!$B$3*1.5,"High",IF(M206&lt;Analysis!$B$3*0.5,"Low","Medium"))</f>
        <v>High</v>
      </c>
      <c r="P206" s="38" t="str">
        <f>VLOOKUP(dataset_A!C206,$Q$2:$R$5,2,0)</f>
        <v>Spring</v>
      </c>
      <c r="S206" s="38" t="str">
        <f t="array" ref="S206">INDEX($R$2:$R$5,MATCH(dataset_A!C206,$Q$2:$Q$5,0))</f>
        <v>Spring</v>
      </c>
      <c r="T206" s="38" t="str">
        <f t="shared" si="4"/>
        <v>Match</v>
      </c>
    </row>
    <row r="207" ht="12.75" customHeight="1">
      <c r="A207" s="38">
        <f>dataset_A!A207</f>
        <v>561</v>
      </c>
      <c r="B207" s="39">
        <f>dataset_A!B207</f>
        <v>40568</v>
      </c>
      <c r="C207" s="38">
        <f>dataset_A!F207</f>
        <v>13</v>
      </c>
      <c r="D207" s="38">
        <f>dataset_A!H207</f>
        <v>2</v>
      </c>
      <c r="E207" s="38" t="b">
        <f>dataset_A!G207</f>
        <v>0</v>
      </c>
      <c r="F207" s="38" t="b">
        <f>dataset_A!G207</f>
        <v>0</v>
      </c>
      <c r="G207" s="38" t="str">
        <f t="shared" si="1"/>
        <v>Weekday</v>
      </c>
      <c r="H207" s="38" t="str">
        <f t="shared" si="2"/>
        <v>Afternoon</v>
      </c>
      <c r="I207" s="38" t="str">
        <f>IF(dataset_A!C207=1,"Spring",IF(dataset_A!C207=2,"Summer",IF(dataset_A!C207=3,"Fail","Winter")))</f>
        <v>Spring</v>
      </c>
      <c r="J207" s="38" t="str">
        <f>IF(dataset_A!I207=1,"Clear",IF(dataset_A!I207,"Mist/Cloudy",IF(dataset_A!I207=3,"Light Rain/Snow","Heavy Rain/Snow")))</f>
        <v>Mist/Cloudy</v>
      </c>
      <c r="K207" s="38">
        <f>dataset_A!N207</f>
        <v>21</v>
      </c>
      <c r="L207" s="38">
        <f>dataset_A!O207</f>
        <v>72</v>
      </c>
      <c r="M207" s="38">
        <f>dataset_A!P207</f>
        <v>93</v>
      </c>
      <c r="N207" s="38" t="str">
        <f t="shared" si="3"/>
        <v>Ok</v>
      </c>
      <c r="O207" s="38" t="str">
        <f>IF(M207&gt;Analysis!$B$3*1.5,"High",IF(M207&lt;Analysis!$B$3*0.5,"Low","Medium"))</f>
        <v>High</v>
      </c>
      <c r="P207" s="38" t="str">
        <f>VLOOKUP(dataset_A!C207,$Q$2:$R$5,2,0)</f>
        <v>Spring</v>
      </c>
      <c r="S207" s="38" t="str">
        <f t="array" ref="S207">INDEX($R$2:$R$5,MATCH(dataset_A!C207,$Q$2:$Q$5,0))</f>
        <v>Spring</v>
      </c>
      <c r="T207" s="38" t="str">
        <f t="shared" si="4"/>
        <v>Match</v>
      </c>
    </row>
    <row r="208" ht="12.75" customHeight="1">
      <c r="A208" s="38">
        <f>dataset_A!A208</f>
        <v>202</v>
      </c>
      <c r="B208" s="39">
        <f>dataset_A!B208</f>
        <v>40552</v>
      </c>
      <c r="C208" s="38">
        <f>dataset_A!F208</f>
        <v>16</v>
      </c>
      <c r="D208" s="38">
        <f>dataset_A!H208</f>
        <v>0</v>
      </c>
      <c r="E208" s="38" t="b">
        <f>dataset_A!G208</f>
        <v>0</v>
      </c>
      <c r="F208" s="38" t="b">
        <f>dataset_A!G208</f>
        <v>0</v>
      </c>
      <c r="G208" s="38" t="str">
        <f t="shared" si="1"/>
        <v>Weekend</v>
      </c>
      <c r="H208" s="38" t="str">
        <f t="shared" si="2"/>
        <v>Afternoon</v>
      </c>
      <c r="I208" s="38" t="str">
        <f>IF(dataset_A!C208=1,"Spring",IF(dataset_A!C208=2,"Summer",IF(dataset_A!C208=3,"Fail","Winter")))</f>
        <v>Spring</v>
      </c>
      <c r="J208" s="38" t="str">
        <f>IF(dataset_A!I208=1,"Clear",IF(dataset_A!I208,"Mist/Cloudy",IF(dataset_A!I208=3,"Light Rain/Snow","Heavy Rain/Snow")))</f>
        <v>Clear</v>
      </c>
      <c r="K208" s="38">
        <f>dataset_A!N208</f>
        <v>13</v>
      </c>
      <c r="L208" s="38">
        <f>dataset_A!O208</f>
        <v>79</v>
      </c>
      <c r="M208" s="38">
        <f>dataset_A!P208</f>
        <v>92</v>
      </c>
      <c r="N208" s="38" t="str">
        <f t="shared" si="3"/>
        <v>Ok</v>
      </c>
      <c r="O208" s="38" t="str">
        <f>IF(M208&gt;Analysis!$B$3*1.5,"High",IF(M208&lt;Analysis!$B$3*0.5,"Low","Medium"))</f>
        <v>High</v>
      </c>
      <c r="P208" s="38" t="str">
        <f>VLOOKUP(dataset_A!C208,$Q$2:$R$5,2,0)</f>
        <v>Spring</v>
      </c>
      <c r="S208" s="38" t="str">
        <f t="array" ref="S208">INDEX($R$2:$R$5,MATCH(dataset_A!C208,$Q$2:$Q$5,0))</f>
        <v>Spring</v>
      </c>
      <c r="T208" s="38" t="str">
        <f t="shared" si="4"/>
        <v>Match</v>
      </c>
    </row>
    <row r="209" ht="12.75" customHeight="1">
      <c r="A209" s="38">
        <f>dataset_A!A209</f>
        <v>320</v>
      </c>
      <c r="B209" s="39">
        <f>dataset_A!B209</f>
        <v>40557</v>
      </c>
      <c r="C209" s="38">
        <f>dataset_A!F209</f>
        <v>19</v>
      </c>
      <c r="D209" s="38">
        <f>dataset_A!H209</f>
        <v>5</v>
      </c>
      <c r="E209" s="38" t="b">
        <f>dataset_A!G209</f>
        <v>0</v>
      </c>
      <c r="F209" s="38" t="b">
        <f>dataset_A!G209</f>
        <v>0</v>
      </c>
      <c r="G209" s="38" t="str">
        <f t="shared" si="1"/>
        <v>Weekday</v>
      </c>
      <c r="H209" s="38" t="str">
        <f t="shared" si="2"/>
        <v>Evening</v>
      </c>
      <c r="I209" s="38" t="str">
        <f>IF(dataset_A!C209=1,"Spring",IF(dataset_A!C209=2,"Summer",IF(dataset_A!C209=3,"Fail","Winter")))</f>
        <v>Spring</v>
      </c>
      <c r="J209" s="38" t="str">
        <f>IF(dataset_A!I209=1,"Clear",IF(dataset_A!I209,"Mist/Cloudy",IF(dataset_A!I209=3,"Light Rain/Snow","Heavy Rain/Snow")))</f>
        <v>Clear</v>
      </c>
      <c r="K209" s="38">
        <f>dataset_A!N209</f>
        <v>3</v>
      </c>
      <c r="L209" s="38">
        <f>dataset_A!O209</f>
        <v>89</v>
      </c>
      <c r="M209" s="38">
        <f>dataset_A!P209</f>
        <v>92</v>
      </c>
      <c r="N209" s="38" t="str">
        <f t="shared" si="3"/>
        <v>Ok</v>
      </c>
      <c r="O209" s="38" t="str">
        <f>IF(M209&gt;Analysis!$B$3*1.5,"High",IF(M209&lt;Analysis!$B$3*0.5,"Low","Medium"))</f>
        <v>High</v>
      </c>
      <c r="P209" s="38" t="str">
        <f>VLOOKUP(dataset_A!C209,$Q$2:$R$5,2,0)</f>
        <v>Spring</v>
      </c>
      <c r="S209" s="38" t="str">
        <f t="array" ref="S209">INDEX($R$2:$R$5,MATCH(dataset_A!C209,$Q$2:$Q$5,0))</f>
        <v>Spring</v>
      </c>
      <c r="T209" s="38" t="str">
        <f t="shared" si="4"/>
        <v>Match</v>
      </c>
    </row>
    <row r="210" ht="12.75" customHeight="1">
      <c r="A210" s="38">
        <f>dataset_A!A210</f>
        <v>391</v>
      </c>
      <c r="B210" s="39">
        <f>dataset_A!B210</f>
        <v>40560</v>
      </c>
      <c r="C210" s="38">
        <f>dataset_A!F210</f>
        <v>18</v>
      </c>
      <c r="D210" s="38">
        <f>dataset_A!H210</f>
        <v>1</v>
      </c>
      <c r="E210" s="38" t="b">
        <f>dataset_A!G210</f>
        <v>1</v>
      </c>
      <c r="F210" s="38" t="b">
        <f>dataset_A!G210</f>
        <v>1</v>
      </c>
      <c r="G210" s="38" t="str">
        <f t="shared" si="1"/>
        <v>Weekday</v>
      </c>
      <c r="H210" s="38" t="str">
        <f t="shared" si="2"/>
        <v>Evening</v>
      </c>
      <c r="I210" s="38" t="str">
        <f>IF(dataset_A!C210=1,"Spring",IF(dataset_A!C210=2,"Summer",IF(dataset_A!C210=3,"Fail","Winter")))</f>
        <v>Spring</v>
      </c>
      <c r="J210" s="38" t="str">
        <f>IF(dataset_A!I210=1,"Clear",IF(dataset_A!I210,"Mist/Cloudy",IF(dataset_A!I210=3,"Light Rain/Snow","Heavy Rain/Snow")))</f>
        <v>Mist/Cloudy</v>
      </c>
      <c r="K210" s="38">
        <f>dataset_A!N210</f>
        <v>7</v>
      </c>
      <c r="L210" s="38">
        <f>dataset_A!O210</f>
        <v>85</v>
      </c>
      <c r="M210" s="38">
        <f>dataset_A!P210</f>
        <v>92</v>
      </c>
      <c r="N210" s="38" t="str">
        <f t="shared" si="3"/>
        <v>Ok</v>
      </c>
      <c r="O210" s="38" t="str">
        <f>IF(M210&gt;Analysis!$B$3*1.5,"High",IF(M210&lt;Analysis!$B$3*0.5,"Low","Medium"))</f>
        <v>High</v>
      </c>
      <c r="P210" s="38" t="str">
        <f>VLOOKUP(dataset_A!C210,$Q$2:$R$5,2,0)</f>
        <v>Spring</v>
      </c>
      <c r="S210" s="38" t="str">
        <f t="array" ref="S210">INDEX($R$2:$R$5,MATCH(dataset_A!C210,$Q$2:$Q$5,0))</f>
        <v>Spring</v>
      </c>
      <c r="T210" s="38" t="str">
        <f t="shared" si="4"/>
        <v>Match</v>
      </c>
    </row>
    <row r="211" ht="12.75" customHeight="1">
      <c r="A211" s="38">
        <f>dataset_A!A211</f>
        <v>363</v>
      </c>
      <c r="B211" s="39">
        <f>dataset_A!B211</f>
        <v>40559</v>
      </c>
      <c r="C211" s="38">
        <f>dataset_A!F211</f>
        <v>14</v>
      </c>
      <c r="D211" s="38">
        <f>dataset_A!H211</f>
        <v>0</v>
      </c>
      <c r="E211" s="38" t="b">
        <f>dataset_A!G211</f>
        <v>0</v>
      </c>
      <c r="F211" s="38" t="b">
        <f>dataset_A!G211</f>
        <v>0</v>
      </c>
      <c r="G211" s="38" t="str">
        <f t="shared" si="1"/>
        <v>Weekend</v>
      </c>
      <c r="H211" s="38" t="str">
        <f t="shared" si="2"/>
        <v>Afternoon</v>
      </c>
      <c r="I211" s="38" t="str">
        <f>IF(dataset_A!C211=1,"Spring",IF(dataset_A!C211=2,"Summer",IF(dataset_A!C211=3,"Fail","Winter")))</f>
        <v>Spring</v>
      </c>
      <c r="J211" s="38" t="str">
        <f>IF(dataset_A!I211=1,"Clear",IF(dataset_A!I211,"Mist/Cloudy",IF(dataset_A!I211=3,"Light Rain/Snow","Heavy Rain/Snow")))</f>
        <v>Clear</v>
      </c>
      <c r="K211" s="38">
        <f>dataset_A!N211</f>
        <v>22</v>
      </c>
      <c r="L211" s="38">
        <f>dataset_A!O211</f>
        <v>69</v>
      </c>
      <c r="M211" s="38">
        <f>dataset_A!P211</f>
        <v>91</v>
      </c>
      <c r="N211" s="38" t="str">
        <f t="shared" si="3"/>
        <v>Ok</v>
      </c>
      <c r="O211" s="38" t="str">
        <f>IF(M211&gt;Analysis!$B$3*1.5,"High",IF(M211&lt;Analysis!$B$3*0.5,"Low","Medium"))</f>
        <v>High</v>
      </c>
      <c r="P211" s="38" t="str">
        <f>VLOOKUP(dataset_A!C211,$Q$2:$R$5,2,0)</f>
        <v>Spring</v>
      </c>
      <c r="S211" s="38" t="str">
        <f t="array" ref="S211">INDEX($R$2:$R$5,MATCH(dataset_A!C211,$Q$2:$Q$5,0))</f>
        <v>Spring</v>
      </c>
      <c r="T211" s="38" t="str">
        <f t="shared" si="4"/>
        <v>Match</v>
      </c>
    </row>
    <row r="212" ht="12.75" customHeight="1">
      <c r="A212" s="38">
        <f>dataset_A!A212</f>
        <v>448</v>
      </c>
      <c r="B212" s="39">
        <f>dataset_A!B212</f>
        <v>40563</v>
      </c>
      <c r="C212" s="38">
        <f>dataset_A!F212</f>
        <v>16</v>
      </c>
      <c r="D212" s="38">
        <f>dataset_A!H212</f>
        <v>4</v>
      </c>
      <c r="E212" s="38" t="b">
        <f>dataset_A!G212</f>
        <v>0</v>
      </c>
      <c r="F212" s="38" t="b">
        <f>dataset_A!G212</f>
        <v>0</v>
      </c>
      <c r="G212" s="38" t="str">
        <f t="shared" si="1"/>
        <v>Weekday</v>
      </c>
      <c r="H212" s="38" t="str">
        <f t="shared" si="2"/>
        <v>Afternoon</v>
      </c>
      <c r="I212" s="38" t="str">
        <f>IF(dataset_A!C212=1,"Spring",IF(dataset_A!C212=2,"Summer",IF(dataset_A!C212=3,"Fail","Winter")))</f>
        <v>Spring</v>
      </c>
      <c r="J212" s="38" t="str">
        <f>IF(dataset_A!I212=1,"Clear",IF(dataset_A!I212,"Mist/Cloudy",IF(dataset_A!I212=3,"Light Rain/Snow","Heavy Rain/Snow")))</f>
        <v>Mist/Cloudy</v>
      </c>
      <c r="K212" s="38">
        <f>dataset_A!N212</f>
        <v>8</v>
      </c>
      <c r="L212" s="38">
        <f>dataset_A!O212</f>
        <v>83</v>
      </c>
      <c r="M212" s="38">
        <f>dataset_A!P212</f>
        <v>91</v>
      </c>
      <c r="N212" s="38" t="str">
        <f t="shared" si="3"/>
        <v>Ok</v>
      </c>
      <c r="O212" s="38" t="str">
        <f>IF(M212&gt;Analysis!$B$3*1.5,"High",IF(M212&lt;Analysis!$B$3*0.5,"Low","Medium"))</f>
        <v>High</v>
      </c>
      <c r="P212" s="38" t="str">
        <f>VLOOKUP(dataset_A!C212,$Q$2:$R$5,2,0)</f>
        <v>Spring</v>
      </c>
      <c r="S212" s="38" t="str">
        <f t="array" ref="S212">INDEX($R$2:$R$5,MATCH(dataset_A!C212,$Q$2:$Q$5,0))</f>
        <v>Spring</v>
      </c>
      <c r="T212" s="38" t="str">
        <f t="shared" si="4"/>
        <v>Match</v>
      </c>
    </row>
    <row r="213" ht="12.75" customHeight="1">
      <c r="A213" s="38">
        <f>dataset_A!A213</f>
        <v>635</v>
      </c>
      <c r="B213" s="39">
        <f>dataset_A!B213</f>
        <v>40572</v>
      </c>
      <c r="C213" s="38">
        <f>dataset_A!F213</f>
        <v>17</v>
      </c>
      <c r="D213" s="38">
        <f>dataset_A!H213</f>
        <v>6</v>
      </c>
      <c r="E213" s="38" t="b">
        <f>dataset_A!G213</f>
        <v>0</v>
      </c>
      <c r="F213" s="38" t="b">
        <f>dataset_A!G213</f>
        <v>0</v>
      </c>
      <c r="G213" s="38" t="str">
        <f t="shared" si="1"/>
        <v>Weekend</v>
      </c>
      <c r="H213" s="38" t="str">
        <f t="shared" si="2"/>
        <v>Afternoon</v>
      </c>
      <c r="I213" s="38" t="str">
        <f>IF(dataset_A!C213=1,"Spring",IF(dataset_A!C213=2,"Summer",IF(dataset_A!C213=3,"Fail","Winter")))</f>
        <v>Spring</v>
      </c>
      <c r="J213" s="38" t="str">
        <f>IF(dataset_A!I213=1,"Clear",IF(dataset_A!I213,"Mist/Cloudy",IF(dataset_A!I213=3,"Light Rain/Snow","Heavy Rain/Snow")))</f>
        <v>Clear</v>
      </c>
      <c r="K213" s="38">
        <f>dataset_A!N213</f>
        <v>9</v>
      </c>
      <c r="L213" s="38">
        <f>dataset_A!O213</f>
        <v>82</v>
      </c>
      <c r="M213" s="38">
        <f>dataset_A!P213</f>
        <v>91</v>
      </c>
      <c r="N213" s="38" t="str">
        <f t="shared" si="3"/>
        <v>Ok</v>
      </c>
      <c r="O213" s="38" t="str">
        <f>IF(M213&gt;Analysis!$B$3*1.5,"High",IF(M213&lt;Analysis!$B$3*0.5,"Low","Medium"))</f>
        <v>High</v>
      </c>
      <c r="P213" s="38" t="str">
        <f>VLOOKUP(dataset_A!C213,$Q$2:$R$5,2,0)</f>
        <v>Spring</v>
      </c>
      <c r="S213" s="38" t="str">
        <f t="array" ref="S213">INDEX($R$2:$R$5,MATCH(dataset_A!C213,$Q$2:$Q$5,0))</f>
        <v>Spring</v>
      </c>
      <c r="T213" s="38" t="str">
        <f t="shared" si="4"/>
        <v>Match</v>
      </c>
    </row>
    <row r="214" ht="12.75" customHeight="1">
      <c r="A214" s="38">
        <f>dataset_A!A214</f>
        <v>731</v>
      </c>
      <c r="B214" s="39">
        <f>dataset_A!B214</f>
        <v>40576</v>
      </c>
      <c r="C214" s="38">
        <f>dataset_A!F214</f>
        <v>19</v>
      </c>
      <c r="D214" s="38">
        <f>dataset_A!H214</f>
        <v>3</v>
      </c>
      <c r="E214" s="38" t="b">
        <f>dataset_A!G214</f>
        <v>0</v>
      </c>
      <c r="F214" s="38" t="b">
        <f>dataset_A!G214</f>
        <v>0</v>
      </c>
      <c r="G214" s="38" t="str">
        <f t="shared" si="1"/>
        <v>Weekday</v>
      </c>
      <c r="H214" s="38" t="str">
        <f t="shared" si="2"/>
        <v>Evening</v>
      </c>
      <c r="I214" s="38" t="str">
        <f>IF(dataset_A!C214=1,"Spring",IF(dataset_A!C214=2,"Summer",IF(dataset_A!C214=3,"Fail","Winter")))</f>
        <v>Spring</v>
      </c>
      <c r="J214" s="38" t="str">
        <f>IF(dataset_A!I214=1,"Clear",IF(dataset_A!I214,"Mist/Cloudy",IF(dataset_A!I214=3,"Light Rain/Snow","Heavy Rain/Snow")))</f>
        <v>Clear</v>
      </c>
      <c r="K214" s="38">
        <f>dataset_A!N214</f>
        <v>3</v>
      </c>
      <c r="L214" s="38">
        <f>dataset_A!O214</f>
        <v>88</v>
      </c>
      <c r="M214" s="38">
        <f>dataset_A!P214</f>
        <v>91</v>
      </c>
      <c r="N214" s="38" t="str">
        <f t="shared" si="3"/>
        <v>Ok</v>
      </c>
      <c r="O214" s="38" t="str">
        <f>IF(M214&gt;Analysis!$B$3*1.5,"High",IF(M214&lt;Analysis!$B$3*0.5,"Low","Medium"))</f>
        <v>High</v>
      </c>
      <c r="P214" s="38" t="str">
        <f>VLOOKUP(dataset_A!C214,$Q$2:$R$5,2,0)</f>
        <v>Spring</v>
      </c>
      <c r="S214" s="38" t="str">
        <f t="array" ref="S214">INDEX($R$2:$R$5,MATCH(dataset_A!C214,$Q$2:$Q$5,0))</f>
        <v>Spring</v>
      </c>
      <c r="T214" s="38" t="str">
        <f t="shared" si="4"/>
        <v>Match</v>
      </c>
    </row>
    <row r="215" ht="12.75" customHeight="1">
      <c r="A215" s="38">
        <f>dataset_A!A215</f>
        <v>772</v>
      </c>
      <c r="B215" s="39">
        <f>dataset_A!B215</f>
        <v>40578</v>
      </c>
      <c r="C215" s="38">
        <f>dataset_A!F215</f>
        <v>14</v>
      </c>
      <c r="D215" s="38">
        <f>dataset_A!H215</f>
        <v>5</v>
      </c>
      <c r="E215" s="38" t="b">
        <f>dataset_A!G215</f>
        <v>0</v>
      </c>
      <c r="F215" s="38" t="b">
        <f>dataset_A!G215</f>
        <v>0</v>
      </c>
      <c r="G215" s="38" t="str">
        <f t="shared" si="1"/>
        <v>Weekday</v>
      </c>
      <c r="H215" s="38" t="str">
        <f t="shared" si="2"/>
        <v>Afternoon</v>
      </c>
      <c r="I215" s="38" t="str">
        <f>IF(dataset_A!C215=1,"Spring",IF(dataset_A!C215=2,"Summer",IF(dataset_A!C215=3,"Fail","Winter")))</f>
        <v>Spring</v>
      </c>
      <c r="J215" s="38" t="str">
        <f>IF(dataset_A!I215=1,"Clear",IF(dataset_A!I215,"Mist/Cloudy",IF(dataset_A!I215=3,"Light Rain/Snow","Heavy Rain/Snow")))</f>
        <v>Mist/Cloudy</v>
      </c>
      <c r="K215" s="38">
        <f>dataset_A!N215</f>
        <v>15</v>
      </c>
      <c r="L215" s="38">
        <f>dataset_A!O215</f>
        <v>76</v>
      </c>
      <c r="M215" s="38">
        <f>dataset_A!P215</f>
        <v>91</v>
      </c>
      <c r="N215" s="38" t="str">
        <f t="shared" si="3"/>
        <v>Ok</v>
      </c>
      <c r="O215" s="38" t="str">
        <f>IF(M215&gt;Analysis!$B$3*1.5,"High",IF(M215&lt;Analysis!$B$3*0.5,"Low","Medium"))</f>
        <v>High</v>
      </c>
      <c r="P215" s="38" t="str">
        <f>VLOOKUP(dataset_A!C215,$Q$2:$R$5,2,0)</f>
        <v>Spring</v>
      </c>
      <c r="S215" s="38" t="str">
        <f t="array" ref="S215">INDEX($R$2:$R$5,MATCH(dataset_A!C215,$Q$2:$Q$5,0))</f>
        <v>Spring</v>
      </c>
      <c r="T215" s="38" t="str">
        <f t="shared" si="4"/>
        <v>Match</v>
      </c>
    </row>
    <row r="216" ht="12.75" customHeight="1">
      <c r="A216" s="38">
        <f>dataset_A!A216</f>
        <v>317</v>
      </c>
      <c r="B216" s="39">
        <f>dataset_A!B216</f>
        <v>40557</v>
      </c>
      <c r="C216" s="38">
        <f>dataset_A!F216</f>
        <v>16</v>
      </c>
      <c r="D216" s="38">
        <f>dataset_A!H216</f>
        <v>5</v>
      </c>
      <c r="E216" s="38" t="b">
        <f>dataset_A!G216</f>
        <v>0</v>
      </c>
      <c r="F216" s="38" t="b">
        <f>dataset_A!G216</f>
        <v>0</v>
      </c>
      <c r="G216" s="38" t="str">
        <f t="shared" si="1"/>
        <v>Weekday</v>
      </c>
      <c r="H216" s="38" t="str">
        <f t="shared" si="2"/>
        <v>Afternoon</v>
      </c>
      <c r="I216" s="38" t="str">
        <f>IF(dataset_A!C216=1,"Spring",IF(dataset_A!C216=2,"Summer",IF(dataset_A!C216=3,"Fail","Winter")))</f>
        <v>Spring</v>
      </c>
      <c r="J216" s="38" t="str">
        <f>IF(dataset_A!I216=1,"Clear",IF(dataset_A!I216,"Mist/Cloudy",IF(dataset_A!I216=3,"Light Rain/Snow","Heavy Rain/Snow")))</f>
        <v>Clear</v>
      </c>
      <c r="K216" s="38">
        <f>dataset_A!N216</f>
        <v>3</v>
      </c>
      <c r="L216" s="38">
        <f>dataset_A!O216</f>
        <v>87</v>
      </c>
      <c r="M216" s="38">
        <f>dataset_A!P216</f>
        <v>90</v>
      </c>
      <c r="N216" s="38" t="str">
        <f t="shared" si="3"/>
        <v>Ok</v>
      </c>
      <c r="O216" s="38" t="str">
        <f>IF(M216&gt;Analysis!$B$3*1.5,"High",IF(M216&lt;Analysis!$B$3*0.5,"Low","Medium"))</f>
        <v>High</v>
      </c>
      <c r="P216" s="38" t="str">
        <f>VLOOKUP(dataset_A!C216,$Q$2:$R$5,2,0)</f>
        <v>Spring</v>
      </c>
      <c r="S216" s="38" t="str">
        <f t="array" ref="S216">INDEX($R$2:$R$5,MATCH(dataset_A!C216,$Q$2:$Q$5,0))</f>
        <v>Spring</v>
      </c>
      <c r="T216" s="38" t="str">
        <f t="shared" si="4"/>
        <v>Match</v>
      </c>
    </row>
    <row r="217" ht="12.75" customHeight="1">
      <c r="A217" s="38">
        <f>dataset_A!A217</f>
        <v>415</v>
      </c>
      <c r="B217" s="39">
        <f>dataset_A!B217</f>
        <v>40562</v>
      </c>
      <c r="C217" s="38">
        <f>dataset_A!F217</f>
        <v>7</v>
      </c>
      <c r="D217" s="38">
        <f>dataset_A!H217</f>
        <v>3</v>
      </c>
      <c r="E217" s="38" t="b">
        <f>dataset_A!G217</f>
        <v>0</v>
      </c>
      <c r="F217" s="38" t="b">
        <f>dataset_A!G217</f>
        <v>0</v>
      </c>
      <c r="G217" s="38" t="str">
        <f t="shared" si="1"/>
        <v>Weekday</v>
      </c>
      <c r="H217" s="38" t="str">
        <f t="shared" si="2"/>
        <v>Morning</v>
      </c>
      <c r="I217" s="38" t="str">
        <f>IF(dataset_A!C217=1,"Spring",IF(dataset_A!C217=2,"Summer",IF(dataset_A!C217=3,"Fail","Winter")))</f>
        <v>Spring</v>
      </c>
      <c r="J217" s="38" t="str">
        <f>IF(dataset_A!I217=1,"Clear",IF(dataset_A!I217,"Mist/Cloudy",IF(dataset_A!I217=3,"Light Rain/Snow","Heavy Rain/Snow")))</f>
        <v>Mist/Cloudy</v>
      </c>
      <c r="K217" s="38">
        <f>dataset_A!N217</f>
        <v>1</v>
      </c>
      <c r="L217" s="38">
        <f>dataset_A!O217</f>
        <v>89</v>
      </c>
      <c r="M217" s="38">
        <f>dataset_A!P217</f>
        <v>90</v>
      </c>
      <c r="N217" s="38" t="str">
        <f t="shared" si="3"/>
        <v>Ok</v>
      </c>
      <c r="O217" s="38" t="str">
        <f>IF(M217&gt;Analysis!$B$3*1.5,"High",IF(M217&lt;Analysis!$B$3*0.5,"Low","Medium"))</f>
        <v>High</v>
      </c>
      <c r="P217" s="38" t="str">
        <f>VLOOKUP(dataset_A!C217,$Q$2:$R$5,2,0)</f>
        <v>Spring</v>
      </c>
      <c r="S217" s="38" t="str">
        <f t="array" ref="S217">INDEX($R$2:$R$5,MATCH(dataset_A!C217,$Q$2:$Q$5,0))</f>
        <v>Spring</v>
      </c>
      <c r="T217" s="38" t="str">
        <f t="shared" si="4"/>
        <v>Match</v>
      </c>
    </row>
    <row r="218" ht="12.75" customHeight="1">
      <c r="A218" s="38">
        <f>dataset_A!A218</f>
        <v>773</v>
      </c>
      <c r="B218" s="39">
        <f>dataset_A!B218</f>
        <v>40578</v>
      </c>
      <c r="C218" s="38">
        <f>dataset_A!F218</f>
        <v>15</v>
      </c>
      <c r="D218" s="38">
        <f>dataset_A!H218</f>
        <v>5</v>
      </c>
      <c r="E218" s="38" t="b">
        <f>dataset_A!G218</f>
        <v>0</v>
      </c>
      <c r="F218" s="38" t="b">
        <f>dataset_A!G218</f>
        <v>0</v>
      </c>
      <c r="G218" s="38" t="str">
        <f t="shared" si="1"/>
        <v>Weekday</v>
      </c>
      <c r="H218" s="38" t="str">
        <f t="shared" si="2"/>
        <v>Afternoon</v>
      </c>
      <c r="I218" s="38" t="str">
        <f>IF(dataset_A!C218=1,"Spring",IF(dataset_A!C218=2,"Summer",IF(dataset_A!C218=3,"Fail","Winter")))</f>
        <v>Spring</v>
      </c>
      <c r="J218" s="38" t="str">
        <f>IF(dataset_A!I218=1,"Clear",IF(dataset_A!I218,"Mist/Cloudy",IF(dataset_A!I218=3,"Light Rain/Snow","Heavy Rain/Snow")))</f>
        <v>Mist/Cloudy</v>
      </c>
      <c r="K218" s="38">
        <f>dataset_A!N218</f>
        <v>9</v>
      </c>
      <c r="L218" s="38">
        <f>dataset_A!O218</f>
        <v>81</v>
      </c>
      <c r="M218" s="38">
        <f>dataset_A!P218</f>
        <v>90</v>
      </c>
      <c r="N218" s="38" t="str">
        <f t="shared" si="3"/>
        <v>Ok</v>
      </c>
      <c r="O218" s="38" t="str">
        <f>IF(M218&gt;Analysis!$B$3*1.5,"High",IF(M218&lt;Analysis!$B$3*0.5,"Low","Medium"))</f>
        <v>High</v>
      </c>
      <c r="P218" s="38" t="str">
        <f>VLOOKUP(dataset_A!C218,$Q$2:$R$5,2,0)</f>
        <v>Spring</v>
      </c>
      <c r="S218" s="38" t="str">
        <f t="array" ref="S218">INDEX($R$2:$R$5,MATCH(dataset_A!C218,$Q$2:$Q$5,0))</f>
        <v>Spring</v>
      </c>
      <c r="T218" s="38" t="str">
        <f t="shared" si="4"/>
        <v>Match</v>
      </c>
    </row>
    <row r="219" ht="12.75" customHeight="1">
      <c r="A219" s="38">
        <f>dataset_A!A219</f>
        <v>108</v>
      </c>
      <c r="B219" s="39">
        <f>dataset_A!B219</f>
        <v>40548</v>
      </c>
      <c r="C219" s="38">
        <f>dataset_A!F219</f>
        <v>16</v>
      </c>
      <c r="D219" s="38">
        <f>dataset_A!H219</f>
        <v>3</v>
      </c>
      <c r="E219" s="38" t="b">
        <f>dataset_A!G219</f>
        <v>0</v>
      </c>
      <c r="F219" s="38" t="b">
        <f>dataset_A!G219</f>
        <v>0</v>
      </c>
      <c r="G219" s="38" t="str">
        <f t="shared" si="1"/>
        <v>Weekday</v>
      </c>
      <c r="H219" s="38" t="str">
        <f t="shared" si="2"/>
        <v>Afternoon</v>
      </c>
      <c r="I219" s="38" t="str">
        <f>IF(dataset_A!C219=1,"Spring",IF(dataset_A!C219=2,"Summer",IF(dataset_A!C219=3,"Fail","Winter")))</f>
        <v>Spring</v>
      </c>
      <c r="J219" s="38" t="str">
        <f>IF(dataset_A!I219=1,"Clear",IF(dataset_A!I219,"Mist/Cloudy",IF(dataset_A!I219=3,"Light Rain/Snow","Heavy Rain/Snow")))</f>
        <v>Clear</v>
      </c>
      <c r="K219" s="38">
        <f>dataset_A!N219</f>
        <v>4</v>
      </c>
      <c r="L219" s="38">
        <f>dataset_A!O219</f>
        <v>85</v>
      </c>
      <c r="M219" s="38">
        <f>dataset_A!P219</f>
        <v>89</v>
      </c>
      <c r="N219" s="38" t="str">
        <f t="shared" si="3"/>
        <v>Ok</v>
      </c>
      <c r="O219" s="38" t="str">
        <f>IF(M219&gt;Analysis!$B$3*1.5,"High",IF(M219&lt;Analysis!$B$3*0.5,"Low","Medium"))</f>
        <v>High</v>
      </c>
      <c r="P219" s="38" t="str">
        <f>VLOOKUP(dataset_A!C219,$Q$2:$R$5,2,0)</f>
        <v>Spring</v>
      </c>
      <c r="S219" s="38" t="str">
        <f t="array" ref="S219">INDEX($R$2:$R$5,MATCH(dataset_A!C219,$Q$2:$Q$5,0))</f>
        <v>Spring</v>
      </c>
      <c r="T219" s="38" t="str">
        <f t="shared" si="4"/>
        <v>Match</v>
      </c>
    </row>
    <row r="220" ht="12.75" customHeight="1">
      <c r="A220" s="38">
        <f>dataset_A!A220</f>
        <v>112</v>
      </c>
      <c r="B220" s="39">
        <f>dataset_A!B220</f>
        <v>40548</v>
      </c>
      <c r="C220" s="38">
        <f>dataset_A!F220</f>
        <v>20</v>
      </c>
      <c r="D220" s="38">
        <f>dataset_A!H220</f>
        <v>3</v>
      </c>
      <c r="E220" s="38" t="b">
        <f>dataset_A!G220</f>
        <v>0</v>
      </c>
      <c r="F220" s="38" t="b">
        <f>dataset_A!G220</f>
        <v>0</v>
      </c>
      <c r="G220" s="38" t="str">
        <f t="shared" si="1"/>
        <v>Weekday</v>
      </c>
      <c r="H220" s="38" t="str">
        <f t="shared" si="2"/>
        <v>Evening</v>
      </c>
      <c r="I220" s="38" t="str">
        <f>IF(dataset_A!C220=1,"Spring",IF(dataset_A!C220=2,"Summer",IF(dataset_A!C220=3,"Fail","Winter")))</f>
        <v>Spring</v>
      </c>
      <c r="J220" s="38" t="str">
        <f>IF(dataset_A!I220=1,"Clear",IF(dataset_A!I220,"Mist/Cloudy",IF(dataset_A!I220=3,"Light Rain/Snow","Heavy Rain/Snow")))</f>
        <v>Clear</v>
      </c>
      <c r="K220" s="38">
        <f>dataset_A!N220</f>
        <v>7</v>
      </c>
      <c r="L220" s="38">
        <f>dataset_A!O220</f>
        <v>82</v>
      </c>
      <c r="M220" s="38">
        <f>dataset_A!P220</f>
        <v>89</v>
      </c>
      <c r="N220" s="38" t="str">
        <f t="shared" si="3"/>
        <v>Ok</v>
      </c>
      <c r="O220" s="38" t="str">
        <f>IF(M220&gt;Analysis!$B$3*1.5,"High",IF(M220&lt;Analysis!$B$3*0.5,"Low","Medium"))</f>
        <v>High</v>
      </c>
      <c r="P220" s="38" t="str">
        <f>VLOOKUP(dataset_A!C220,$Q$2:$R$5,2,0)</f>
        <v>Spring</v>
      </c>
      <c r="S220" s="38" t="str">
        <f t="array" ref="S220">INDEX($R$2:$R$5,MATCH(dataset_A!C220,$Q$2:$Q$5,0))</f>
        <v>Spring</v>
      </c>
      <c r="T220" s="38" t="str">
        <f t="shared" si="4"/>
        <v>Match</v>
      </c>
    </row>
    <row r="221" ht="12.75" customHeight="1">
      <c r="A221" s="38">
        <f>dataset_A!A221</f>
        <v>337</v>
      </c>
      <c r="B221" s="39">
        <f>dataset_A!B221</f>
        <v>40558</v>
      </c>
      <c r="C221" s="38">
        <f>dataset_A!F221</f>
        <v>12</v>
      </c>
      <c r="D221" s="38">
        <f>dataset_A!H221</f>
        <v>6</v>
      </c>
      <c r="E221" s="38" t="b">
        <f>dataset_A!G221</f>
        <v>0</v>
      </c>
      <c r="F221" s="38" t="b">
        <f>dataset_A!G221</f>
        <v>0</v>
      </c>
      <c r="G221" s="38" t="str">
        <f t="shared" si="1"/>
        <v>Weekend</v>
      </c>
      <c r="H221" s="38" t="str">
        <f t="shared" si="2"/>
        <v>Afternoon</v>
      </c>
      <c r="I221" s="38" t="str">
        <f>IF(dataset_A!C221=1,"Spring",IF(dataset_A!C221=2,"Summer",IF(dataset_A!C221=3,"Fail","Winter")))</f>
        <v>Spring</v>
      </c>
      <c r="J221" s="38" t="str">
        <f>IF(dataset_A!I221=1,"Clear",IF(dataset_A!I221,"Mist/Cloudy",IF(dataset_A!I221=3,"Light Rain/Snow","Heavy Rain/Snow")))</f>
        <v>Clear</v>
      </c>
      <c r="K221" s="38">
        <f>dataset_A!N221</f>
        <v>15</v>
      </c>
      <c r="L221" s="38">
        <f>dataset_A!O221</f>
        <v>74</v>
      </c>
      <c r="M221" s="38">
        <f>dataset_A!P221</f>
        <v>89</v>
      </c>
      <c r="N221" s="38" t="str">
        <f t="shared" si="3"/>
        <v>Ok</v>
      </c>
      <c r="O221" s="38" t="str">
        <f>IF(M221&gt;Analysis!$B$3*1.5,"High",IF(M221&lt;Analysis!$B$3*0.5,"Low","Medium"))</f>
        <v>High</v>
      </c>
      <c r="P221" s="38" t="str">
        <f>VLOOKUP(dataset_A!C221,$Q$2:$R$5,2,0)</f>
        <v>Spring</v>
      </c>
      <c r="S221" s="38" t="str">
        <f t="array" ref="S221">INDEX($R$2:$R$5,MATCH(dataset_A!C221,$Q$2:$Q$5,0))</f>
        <v>Spring</v>
      </c>
      <c r="T221" s="38" t="str">
        <f t="shared" si="4"/>
        <v>Match</v>
      </c>
    </row>
    <row r="222" ht="12.75" customHeight="1">
      <c r="A222" s="38">
        <f>dataset_A!A222</f>
        <v>614</v>
      </c>
      <c r="B222" s="39">
        <f>dataset_A!B222</f>
        <v>40571</v>
      </c>
      <c r="C222" s="38">
        <f>dataset_A!F222</f>
        <v>19</v>
      </c>
      <c r="D222" s="38">
        <f>dataset_A!H222</f>
        <v>5</v>
      </c>
      <c r="E222" s="38" t="b">
        <f>dataset_A!G222</f>
        <v>0</v>
      </c>
      <c r="F222" s="38" t="b">
        <f>dataset_A!G222</f>
        <v>0</v>
      </c>
      <c r="G222" s="38" t="str">
        <f t="shared" si="1"/>
        <v>Weekday</v>
      </c>
      <c r="H222" s="38" t="str">
        <f t="shared" si="2"/>
        <v>Evening</v>
      </c>
      <c r="I222" s="38" t="str">
        <f>IF(dataset_A!C222=1,"Spring",IF(dataset_A!C222=2,"Summer",IF(dataset_A!C222=3,"Fail","Winter")))</f>
        <v>Spring</v>
      </c>
      <c r="J222" s="38" t="str">
        <f>IF(dataset_A!I222=1,"Clear",IF(dataset_A!I222,"Mist/Cloudy",IF(dataset_A!I222=3,"Light Rain/Snow","Heavy Rain/Snow")))</f>
        <v>Mist/Cloudy</v>
      </c>
      <c r="K222" s="38">
        <f>dataset_A!N222</f>
        <v>5</v>
      </c>
      <c r="L222" s="38">
        <f>dataset_A!O222</f>
        <v>84</v>
      </c>
      <c r="M222" s="38">
        <f>dataset_A!P222</f>
        <v>89</v>
      </c>
      <c r="N222" s="38" t="str">
        <f t="shared" si="3"/>
        <v>Ok</v>
      </c>
      <c r="O222" s="38" t="str">
        <f>IF(M222&gt;Analysis!$B$3*1.5,"High",IF(M222&lt;Analysis!$B$3*0.5,"Low","Medium"))</f>
        <v>High</v>
      </c>
      <c r="P222" s="38" t="str">
        <f>VLOOKUP(dataset_A!C222,$Q$2:$R$5,2,0)</f>
        <v>Spring</v>
      </c>
      <c r="S222" s="38" t="str">
        <f t="array" ref="S222">INDEX($R$2:$R$5,MATCH(dataset_A!C222,$Q$2:$Q$5,0))</f>
        <v>Spring</v>
      </c>
      <c r="T222" s="38" t="str">
        <f t="shared" si="4"/>
        <v>Match</v>
      </c>
    </row>
    <row r="223" ht="12.75" customHeight="1">
      <c r="A223" s="38">
        <f>dataset_A!A223</f>
        <v>816</v>
      </c>
      <c r="B223" s="39">
        <f>dataset_A!B223</f>
        <v>40580</v>
      </c>
      <c r="C223" s="38">
        <f>dataset_A!F223</f>
        <v>10</v>
      </c>
      <c r="D223" s="38">
        <f>dataset_A!H223</f>
        <v>0</v>
      </c>
      <c r="E223" s="38" t="b">
        <f>dataset_A!G223</f>
        <v>0</v>
      </c>
      <c r="F223" s="38" t="b">
        <f>dataset_A!G223</f>
        <v>0</v>
      </c>
      <c r="G223" s="38" t="str">
        <f t="shared" si="1"/>
        <v>Weekend</v>
      </c>
      <c r="H223" s="38" t="str">
        <f t="shared" si="2"/>
        <v>Morning</v>
      </c>
      <c r="I223" s="38" t="str">
        <f>IF(dataset_A!C223=1,"Spring",IF(dataset_A!C223=2,"Summer",IF(dataset_A!C223=3,"Fail","Winter")))</f>
        <v>Spring</v>
      </c>
      <c r="J223" s="38" t="str">
        <f>IF(dataset_A!I223=1,"Clear",IF(dataset_A!I223,"Mist/Cloudy",IF(dataset_A!I223=3,"Light Rain/Snow","Heavy Rain/Snow")))</f>
        <v>Clear</v>
      </c>
      <c r="K223" s="38">
        <f>dataset_A!N223</f>
        <v>15</v>
      </c>
      <c r="L223" s="38">
        <f>dataset_A!O223</f>
        <v>74</v>
      </c>
      <c r="M223" s="38">
        <f>dataset_A!P223</f>
        <v>89</v>
      </c>
      <c r="N223" s="38" t="str">
        <f t="shared" si="3"/>
        <v>Ok</v>
      </c>
      <c r="O223" s="38" t="str">
        <f>IF(M223&gt;Analysis!$B$3*1.5,"High",IF(M223&lt;Analysis!$B$3*0.5,"Low","Medium"))</f>
        <v>High</v>
      </c>
      <c r="P223" s="38" t="str">
        <f>VLOOKUP(dataset_A!C223,$Q$2:$R$5,2,0)</f>
        <v>Spring</v>
      </c>
      <c r="S223" s="38" t="str">
        <f t="array" ref="S223">INDEX($R$2:$R$5,MATCH(dataset_A!C223,$Q$2:$Q$5,0))</f>
        <v>Spring</v>
      </c>
      <c r="T223" s="38" t="str">
        <f t="shared" si="4"/>
        <v>Match</v>
      </c>
    </row>
    <row r="224" ht="12.75" customHeight="1">
      <c r="A224" s="38">
        <f>dataset_A!A224</f>
        <v>55</v>
      </c>
      <c r="B224" s="39">
        <f>dataset_A!B224</f>
        <v>40546</v>
      </c>
      <c r="C224" s="38">
        <f>dataset_A!F224</f>
        <v>9</v>
      </c>
      <c r="D224" s="38">
        <f>dataset_A!H224</f>
        <v>1</v>
      </c>
      <c r="E224" s="38" t="b">
        <f>dataset_A!G224</f>
        <v>0</v>
      </c>
      <c r="F224" s="38" t="b">
        <f>dataset_A!G224</f>
        <v>0</v>
      </c>
      <c r="G224" s="38" t="str">
        <f t="shared" si="1"/>
        <v>Weekday</v>
      </c>
      <c r="H224" s="38" t="str">
        <f t="shared" si="2"/>
        <v>Morning</v>
      </c>
      <c r="I224" s="38" t="str">
        <f>IF(dataset_A!C224=1,"Spring",IF(dataset_A!C224=2,"Summer",IF(dataset_A!C224=3,"Fail","Winter")))</f>
        <v>Spring</v>
      </c>
      <c r="J224" s="38" t="str">
        <f>IF(dataset_A!I224=1,"Clear",IF(dataset_A!I224,"Mist/Cloudy",IF(dataset_A!I224=3,"Light Rain/Snow","Heavy Rain/Snow")))</f>
        <v>Clear</v>
      </c>
      <c r="K224" s="38">
        <f>dataset_A!N224</f>
        <v>7</v>
      </c>
      <c r="L224" s="38">
        <f>dataset_A!O224</f>
        <v>81</v>
      </c>
      <c r="M224" s="38">
        <f>dataset_A!P224</f>
        <v>88</v>
      </c>
      <c r="N224" s="38" t="str">
        <f t="shared" si="3"/>
        <v>Ok</v>
      </c>
      <c r="O224" s="38" t="str">
        <f>IF(M224&gt;Analysis!$B$3*1.5,"High",IF(M224&lt;Analysis!$B$3*0.5,"Low","Medium"))</f>
        <v>High</v>
      </c>
      <c r="P224" s="38" t="str">
        <f>VLOOKUP(dataset_A!C224,$Q$2:$R$5,2,0)</f>
        <v>Spring</v>
      </c>
      <c r="S224" s="38" t="str">
        <f t="array" ref="S224">INDEX($R$2:$R$5,MATCH(dataset_A!C224,$Q$2:$Q$5,0))</f>
        <v>Spring</v>
      </c>
      <c r="T224" s="38" t="str">
        <f t="shared" si="4"/>
        <v>Match</v>
      </c>
    </row>
    <row r="225" ht="12.75" customHeight="1">
      <c r="A225" s="38">
        <f>dataset_A!A225</f>
        <v>99</v>
      </c>
      <c r="B225" s="39">
        <f>dataset_A!B225</f>
        <v>40548</v>
      </c>
      <c r="C225" s="38">
        <f>dataset_A!F225</f>
        <v>7</v>
      </c>
      <c r="D225" s="38">
        <f>dataset_A!H225</f>
        <v>3</v>
      </c>
      <c r="E225" s="38" t="b">
        <f>dataset_A!G225</f>
        <v>0</v>
      </c>
      <c r="F225" s="38" t="b">
        <f>dataset_A!G225</f>
        <v>0</v>
      </c>
      <c r="G225" s="38" t="str">
        <f t="shared" si="1"/>
        <v>Weekday</v>
      </c>
      <c r="H225" s="38" t="str">
        <f t="shared" si="2"/>
        <v>Morning</v>
      </c>
      <c r="I225" s="38" t="str">
        <f>IF(dataset_A!C225=1,"Spring",IF(dataset_A!C225=2,"Summer",IF(dataset_A!C225=3,"Fail","Winter")))</f>
        <v>Spring</v>
      </c>
      <c r="J225" s="38" t="str">
        <f>IF(dataset_A!I225=1,"Clear",IF(dataset_A!I225,"Mist/Cloudy",IF(dataset_A!I225=3,"Light Rain/Snow","Heavy Rain/Snow")))</f>
        <v>Clear</v>
      </c>
      <c r="K225" s="38">
        <f>dataset_A!N225</f>
        <v>1</v>
      </c>
      <c r="L225" s="38">
        <f>dataset_A!O225</f>
        <v>87</v>
      </c>
      <c r="M225" s="38">
        <f>dataset_A!P225</f>
        <v>88</v>
      </c>
      <c r="N225" s="38" t="str">
        <f t="shared" si="3"/>
        <v>Ok</v>
      </c>
      <c r="O225" s="38" t="str">
        <f>IF(M225&gt;Analysis!$B$3*1.5,"High",IF(M225&lt;Analysis!$B$3*0.5,"Low","Medium"))</f>
        <v>High</v>
      </c>
      <c r="P225" s="38" t="str">
        <f>VLOOKUP(dataset_A!C225,$Q$2:$R$5,2,0)</f>
        <v>Spring</v>
      </c>
      <c r="S225" s="38" t="str">
        <f t="array" ref="S225">INDEX($R$2:$R$5,MATCH(dataset_A!C225,$Q$2:$Q$5,0))</f>
        <v>Spring</v>
      </c>
      <c r="T225" s="38" t="str">
        <f t="shared" si="4"/>
        <v>Match</v>
      </c>
    </row>
    <row r="226" ht="12.75" customHeight="1">
      <c r="A226" s="38">
        <f>dataset_A!A226</f>
        <v>850</v>
      </c>
      <c r="B226" s="39">
        <f>dataset_A!B226</f>
        <v>40581</v>
      </c>
      <c r="C226" s="38">
        <f>dataset_A!F226</f>
        <v>20</v>
      </c>
      <c r="D226" s="38">
        <f>dataset_A!H226</f>
        <v>1</v>
      </c>
      <c r="E226" s="38" t="b">
        <f>dataset_A!G226</f>
        <v>0</v>
      </c>
      <c r="F226" s="38" t="b">
        <f>dataset_A!G226</f>
        <v>0</v>
      </c>
      <c r="G226" s="38" t="str">
        <f t="shared" si="1"/>
        <v>Weekday</v>
      </c>
      <c r="H226" s="38" t="str">
        <f t="shared" si="2"/>
        <v>Evening</v>
      </c>
      <c r="I226" s="38" t="str">
        <f>IF(dataset_A!C226=1,"Spring",IF(dataset_A!C226=2,"Summer",IF(dataset_A!C226=3,"Fail","Winter")))</f>
        <v>Spring</v>
      </c>
      <c r="J226" s="38" t="str">
        <f>IF(dataset_A!I226=1,"Clear",IF(dataset_A!I226,"Mist/Cloudy",IF(dataset_A!I226=3,"Light Rain/Snow","Heavy Rain/Snow")))</f>
        <v>Mist/Cloudy</v>
      </c>
      <c r="K226" s="38">
        <f>dataset_A!N226</f>
        <v>6</v>
      </c>
      <c r="L226" s="38">
        <f>dataset_A!O226</f>
        <v>82</v>
      </c>
      <c r="M226" s="38">
        <f>dataset_A!P226</f>
        <v>88</v>
      </c>
      <c r="N226" s="38" t="str">
        <f t="shared" si="3"/>
        <v>Ok</v>
      </c>
      <c r="O226" s="38" t="str">
        <f>IF(M226&gt;Analysis!$B$3*1.5,"High",IF(M226&lt;Analysis!$B$3*0.5,"Low","Medium"))</f>
        <v>High</v>
      </c>
      <c r="P226" s="38" t="str">
        <f>VLOOKUP(dataset_A!C226,$Q$2:$R$5,2,0)</f>
        <v>Spring</v>
      </c>
      <c r="S226" s="38" t="str">
        <f t="array" ref="S226">INDEX($R$2:$R$5,MATCH(dataset_A!C226,$Q$2:$Q$5,0))</f>
        <v>Spring</v>
      </c>
      <c r="T226" s="38" t="str">
        <f t="shared" si="4"/>
        <v>Match</v>
      </c>
    </row>
    <row r="227" ht="12.75" customHeight="1">
      <c r="A227" s="38">
        <f>dataset_A!A227</f>
        <v>896</v>
      </c>
      <c r="B227" s="39">
        <f>dataset_A!B227</f>
        <v>40583</v>
      </c>
      <c r="C227" s="38">
        <f>dataset_A!F227</f>
        <v>19</v>
      </c>
      <c r="D227" s="38">
        <f>dataset_A!H227</f>
        <v>3</v>
      </c>
      <c r="E227" s="38" t="b">
        <f>dataset_A!G227</f>
        <v>0</v>
      </c>
      <c r="F227" s="38" t="b">
        <f>dataset_A!G227</f>
        <v>0</v>
      </c>
      <c r="G227" s="38" t="str">
        <f t="shared" si="1"/>
        <v>Weekday</v>
      </c>
      <c r="H227" s="38" t="str">
        <f t="shared" si="2"/>
        <v>Evening</v>
      </c>
      <c r="I227" s="38" t="str">
        <f>IF(dataset_A!C227=1,"Spring",IF(dataset_A!C227=2,"Summer",IF(dataset_A!C227=3,"Fail","Winter")))</f>
        <v>Spring</v>
      </c>
      <c r="J227" s="38" t="str">
        <f>IF(dataset_A!I227=1,"Clear",IF(dataset_A!I227,"Mist/Cloudy",IF(dataset_A!I227=3,"Light Rain/Snow","Heavy Rain/Snow")))</f>
        <v>Mist/Cloudy</v>
      </c>
      <c r="K227" s="38">
        <f>dataset_A!N227</f>
        <v>1</v>
      </c>
      <c r="L227" s="38">
        <f>dataset_A!O227</f>
        <v>87</v>
      </c>
      <c r="M227" s="38">
        <f>dataset_A!P227</f>
        <v>88</v>
      </c>
      <c r="N227" s="38" t="str">
        <f t="shared" si="3"/>
        <v>Ok</v>
      </c>
      <c r="O227" s="38" t="str">
        <f>IF(M227&gt;Analysis!$B$3*1.5,"High",IF(M227&lt;Analysis!$B$3*0.5,"Low","Medium"))</f>
        <v>High</v>
      </c>
      <c r="P227" s="38" t="str">
        <f>VLOOKUP(dataset_A!C227,$Q$2:$R$5,2,0)</f>
        <v>Spring</v>
      </c>
      <c r="S227" s="38" t="str">
        <f t="array" ref="S227">INDEX($R$2:$R$5,MATCH(dataset_A!C227,$Q$2:$Q$5,0))</f>
        <v>Spring</v>
      </c>
      <c r="T227" s="38" t="str">
        <f t="shared" si="4"/>
        <v>Match</v>
      </c>
    </row>
    <row r="228" ht="12.75" customHeight="1">
      <c r="A228" s="38">
        <f>dataset_A!A228</f>
        <v>154</v>
      </c>
      <c r="B228" s="39">
        <f>dataset_A!B228</f>
        <v>40550</v>
      </c>
      <c r="C228" s="38">
        <f>dataset_A!F228</f>
        <v>16</v>
      </c>
      <c r="D228" s="38">
        <f>dataset_A!H228</f>
        <v>5</v>
      </c>
      <c r="E228" s="38" t="b">
        <f>dataset_A!G228</f>
        <v>0</v>
      </c>
      <c r="F228" s="38" t="b">
        <f>dataset_A!G228</f>
        <v>0</v>
      </c>
      <c r="G228" s="38" t="str">
        <f t="shared" si="1"/>
        <v>Weekday</v>
      </c>
      <c r="H228" s="38" t="str">
        <f t="shared" si="2"/>
        <v>Afternoon</v>
      </c>
      <c r="I228" s="38" t="str">
        <f>IF(dataset_A!C228=1,"Spring",IF(dataset_A!C228=2,"Summer",IF(dataset_A!C228=3,"Fail","Winter")))</f>
        <v>Spring</v>
      </c>
      <c r="J228" s="38" t="str">
        <f>IF(dataset_A!I228=1,"Clear",IF(dataset_A!I228,"Mist/Cloudy",IF(dataset_A!I228=3,"Light Rain/Snow","Heavy Rain/Snow")))</f>
        <v>Mist/Cloudy</v>
      </c>
      <c r="K228" s="38">
        <f>dataset_A!N228</f>
        <v>5</v>
      </c>
      <c r="L228" s="38">
        <f>dataset_A!O228</f>
        <v>82</v>
      </c>
      <c r="M228" s="38">
        <f>dataset_A!P228</f>
        <v>87</v>
      </c>
      <c r="N228" s="38" t="str">
        <f t="shared" si="3"/>
        <v>Ok</v>
      </c>
      <c r="O228" s="38" t="str">
        <f>IF(M228&gt;Analysis!$B$3*1.5,"High",IF(M228&lt;Analysis!$B$3*0.5,"Low","Medium"))</f>
        <v>Medium</v>
      </c>
      <c r="P228" s="38" t="str">
        <f>VLOOKUP(dataset_A!C228,$Q$2:$R$5,2,0)</f>
        <v>Spring</v>
      </c>
      <c r="S228" s="38" t="str">
        <f t="array" ref="S228">INDEX($R$2:$R$5,MATCH(dataset_A!C228,$Q$2:$Q$5,0))</f>
        <v>Spring</v>
      </c>
      <c r="T228" s="38" t="str">
        <f t="shared" si="4"/>
        <v>Match</v>
      </c>
    </row>
    <row r="229" ht="12.75" customHeight="1">
      <c r="A229" s="38">
        <f>dataset_A!A229</f>
        <v>515</v>
      </c>
      <c r="B229" s="39">
        <f>dataset_A!B229</f>
        <v>40566</v>
      </c>
      <c r="C229" s="38">
        <f>dataset_A!F229</f>
        <v>13</v>
      </c>
      <c r="D229" s="38">
        <f>dataset_A!H229</f>
        <v>0</v>
      </c>
      <c r="E229" s="38" t="b">
        <f>dataset_A!G229</f>
        <v>0</v>
      </c>
      <c r="F229" s="38" t="b">
        <f>dataset_A!G229</f>
        <v>0</v>
      </c>
      <c r="G229" s="38" t="str">
        <f t="shared" si="1"/>
        <v>Weekend</v>
      </c>
      <c r="H229" s="38" t="str">
        <f t="shared" si="2"/>
        <v>Afternoon</v>
      </c>
      <c r="I229" s="38" t="str">
        <f>IF(dataset_A!C229=1,"Spring",IF(dataset_A!C229=2,"Summer",IF(dataset_A!C229=3,"Fail","Winter")))</f>
        <v>Spring</v>
      </c>
      <c r="J229" s="38" t="str">
        <f>IF(dataset_A!I229=1,"Clear",IF(dataset_A!I229,"Mist/Cloudy",IF(dataset_A!I229=3,"Light Rain/Snow","Heavy Rain/Snow")))</f>
        <v>Clear</v>
      </c>
      <c r="K229" s="38">
        <f>dataset_A!N229</f>
        <v>12</v>
      </c>
      <c r="L229" s="38">
        <f>dataset_A!O229</f>
        <v>75</v>
      </c>
      <c r="M229" s="38">
        <f>dataset_A!P229</f>
        <v>87</v>
      </c>
      <c r="N229" s="38" t="str">
        <f t="shared" si="3"/>
        <v>Ok</v>
      </c>
      <c r="O229" s="38" t="str">
        <f>IF(M229&gt;Analysis!$B$3*1.5,"High",IF(M229&lt;Analysis!$B$3*0.5,"Low","Medium"))</f>
        <v>Medium</v>
      </c>
      <c r="P229" s="38" t="str">
        <f>VLOOKUP(dataset_A!C229,$Q$2:$R$5,2,0)</f>
        <v>Spring</v>
      </c>
      <c r="S229" s="38" t="str">
        <f t="array" ref="S229">INDEX($R$2:$R$5,MATCH(dataset_A!C229,$Q$2:$Q$5,0))</f>
        <v>Spring</v>
      </c>
      <c r="T229" s="38" t="str">
        <f t="shared" si="4"/>
        <v>Match</v>
      </c>
    </row>
    <row r="230" ht="12.75" customHeight="1">
      <c r="A230" s="38">
        <f>dataset_A!A230</f>
        <v>742</v>
      </c>
      <c r="B230" s="39">
        <f>dataset_A!B230</f>
        <v>40577</v>
      </c>
      <c r="C230" s="38">
        <f>dataset_A!F230</f>
        <v>7</v>
      </c>
      <c r="D230" s="38">
        <f>dataset_A!H230</f>
        <v>4</v>
      </c>
      <c r="E230" s="38" t="b">
        <f>dataset_A!G230</f>
        <v>0</v>
      </c>
      <c r="F230" s="38" t="b">
        <f>dataset_A!G230</f>
        <v>0</v>
      </c>
      <c r="G230" s="38" t="str">
        <f t="shared" si="1"/>
        <v>Weekday</v>
      </c>
      <c r="H230" s="38" t="str">
        <f t="shared" si="2"/>
        <v>Morning</v>
      </c>
      <c r="I230" s="38" t="str">
        <f>IF(dataset_A!C230=1,"Spring",IF(dataset_A!C230=2,"Summer",IF(dataset_A!C230=3,"Fail","Winter")))</f>
        <v>Spring</v>
      </c>
      <c r="J230" s="38" t="str">
        <f>IF(dataset_A!I230=1,"Clear",IF(dataset_A!I230,"Mist/Cloudy",IF(dataset_A!I230=3,"Light Rain/Snow","Heavy Rain/Snow")))</f>
        <v>Clear</v>
      </c>
      <c r="K230" s="38">
        <f>dataset_A!N230</f>
        <v>1</v>
      </c>
      <c r="L230" s="38">
        <f>dataset_A!O230</f>
        <v>86</v>
      </c>
      <c r="M230" s="38">
        <f>dataset_A!P230</f>
        <v>87</v>
      </c>
      <c r="N230" s="38" t="str">
        <f t="shared" si="3"/>
        <v>Ok</v>
      </c>
      <c r="O230" s="38" t="str">
        <f>IF(M230&gt;Analysis!$B$3*1.5,"High",IF(M230&lt;Analysis!$B$3*0.5,"Low","Medium"))</f>
        <v>Medium</v>
      </c>
      <c r="P230" s="38" t="str">
        <f>VLOOKUP(dataset_A!C230,$Q$2:$R$5,2,0)</f>
        <v>Spring</v>
      </c>
      <c r="S230" s="38" t="str">
        <f t="array" ref="S230">INDEX($R$2:$R$5,MATCH(dataset_A!C230,$Q$2:$Q$5,0))</f>
        <v>Spring</v>
      </c>
      <c r="T230" s="38" t="str">
        <f t="shared" si="4"/>
        <v>Match</v>
      </c>
    </row>
    <row r="231" ht="12.75" customHeight="1">
      <c r="A231" s="38">
        <f>dataset_A!A231</f>
        <v>765</v>
      </c>
      <c r="B231" s="39">
        <f>dataset_A!B231</f>
        <v>40578</v>
      </c>
      <c r="C231" s="38">
        <f>dataset_A!F231</f>
        <v>7</v>
      </c>
      <c r="D231" s="38">
        <f>dataset_A!H231</f>
        <v>5</v>
      </c>
      <c r="E231" s="38" t="b">
        <f>dataset_A!G231</f>
        <v>0</v>
      </c>
      <c r="F231" s="38" t="b">
        <f>dataset_A!G231</f>
        <v>0</v>
      </c>
      <c r="G231" s="38" t="str">
        <f t="shared" si="1"/>
        <v>Weekday</v>
      </c>
      <c r="H231" s="38" t="str">
        <f t="shared" si="2"/>
        <v>Morning</v>
      </c>
      <c r="I231" s="38" t="str">
        <f>IF(dataset_A!C231=1,"Spring",IF(dataset_A!C231=2,"Summer",IF(dataset_A!C231=3,"Fail","Winter")))</f>
        <v>Spring</v>
      </c>
      <c r="J231" s="38" t="str">
        <f>IF(dataset_A!I231=1,"Clear",IF(dataset_A!I231,"Mist/Cloudy",IF(dataset_A!I231=3,"Light Rain/Snow","Heavy Rain/Snow")))</f>
        <v>Clear</v>
      </c>
      <c r="K231" s="38">
        <f>dataset_A!N231</f>
        <v>0</v>
      </c>
      <c r="L231" s="38">
        <f>dataset_A!O231</f>
        <v>87</v>
      </c>
      <c r="M231" s="38">
        <f>dataset_A!P231</f>
        <v>87</v>
      </c>
      <c r="N231" s="38" t="str">
        <f t="shared" si="3"/>
        <v>Ok</v>
      </c>
      <c r="O231" s="38" t="str">
        <f>IF(M231&gt;Analysis!$B$3*1.5,"High",IF(M231&lt;Analysis!$B$3*0.5,"Low","Medium"))</f>
        <v>Medium</v>
      </c>
      <c r="P231" s="38" t="str">
        <f>VLOOKUP(dataset_A!C231,$Q$2:$R$5,2,0)</f>
        <v>Spring</v>
      </c>
      <c r="S231" s="38" t="str">
        <f t="array" ref="S231">INDEX($R$2:$R$5,MATCH(dataset_A!C231,$Q$2:$Q$5,0))</f>
        <v>Spring</v>
      </c>
      <c r="T231" s="38" t="str">
        <f t="shared" si="4"/>
        <v>Match</v>
      </c>
    </row>
    <row r="232" ht="12.75" customHeight="1">
      <c r="A232" s="38">
        <f>dataset_A!A232</f>
        <v>131</v>
      </c>
      <c r="B232" s="39">
        <f>dataset_A!B232</f>
        <v>40549</v>
      </c>
      <c r="C232" s="38">
        <f>dataset_A!F232</f>
        <v>16</v>
      </c>
      <c r="D232" s="38">
        <f>dataset_A!H232</f>
        <v>4</v>
      </c>
      <c r="E232" s="38" t="b">
        <f>dataset_A!G232</f>
        <v>0</v>
      </c>
      <c r="F232" s="38" t="b">
        <f>dataset_A!G232</f>
        <v>0</v>
      </c>
      <c r="G232" s="38" t="str">
        <f t="shared" si="1"/>
        <v>Weekday</v>
      </c>
      <c r="H232" s="38" t="str">
        <f t="shared" si="2"/>
        <v>Afternoon</v>
      </c>
      <c r="I232" s="38" t="str">
        <f>IF(dataset_A!C232=1,"Spring",IF(dataset_A!C232=2,"Summer",IF(dataset_A!C232=3,"Fail","Winter")))</f>
        <v>Spring</v>
      </c>
      <c r="J232" s="38" t="str">
        <f>IF(dataset_A!I232=1,"Clear",IF(dataset_A!I232,"Mist/Cloudy",IF(dataset_A!I232=3,"Light Rain/Snow","Heavy Rain/Snow")))</f>
        <v>Clear</v>
      </c>
      <c r="K232" s="38">
        <f>dataset_A!N232</f>
        <v>12</v>
      </c>
      <c r="L232" s="38">
        <f>dataset_A!O232</f>
        <v>74</v>
      </c>
      <c r="M232" s="38">
        <f>dataset_A!P232</f>
        <v>86</v>
      </c>
      <c r="N232" s="38" t="str">
        <f t="shared" si="3"/>
        <v>Ok</v>
      </c>
      <c r="O232" s="38" t="str">
        <f>IF(M232&gt;Analysis!$B$3*1.5,"High",IF(M232&lt;Analysis!$B$3*0.5,"Low","Medium"))</f>
        <v>Medium</v>
      </c>
      <c r="P232" s="38" t="str">
        <f>VLOOKUP(dataset_A!C232,$Q$2:$R$5,2,0)</f>
        <v>Spring</v>
      </c>
      <c r="S232" s="38" t="str">
        <f t="array" ref="S232">INDEX($R$2:$R$5,MATCH(dataset_A!C232,$Q$2:$Q$5,0))</f>
        <v>Spring</v>
      </c>
      <c r="T232" s="38" t="str">
        <f t="shared" si="4"/>
        <v>Match</v>
      </c>
    </row>
    <row r="233" ht="12.75" customHeight="1">
      <c r="A233" s="38">
        <f>dataset_A!A233</f>
        <v>387</v>
      </c>
      <c r="B233" s="39">
        <f>dataset_A!B233</f>
        <v>40560</v>
      </c>
      <c r="C233" s="38">
        <f>dataset_A!F233</f>
        <v>14</v>
      </c>
      <c r="D233" s="38">
        <f>dataset_A!H233</f>
        <v>1</v>
      </c>
      <c r="E233" s="38" t="b">
        <f>dataset_A!G233</f>
        <v>1</v>
      </c>
      <c r="F233" s="38" t="b">
        <f>dataset_A!G233</f>
        <v>1</v>
      </c>
      <c r="G233" s="38" t="str">
        <f t="shared" si="1"/>
        <v>Weekday</v>
      </c>
      <c r="H233" s="38" t="str">
        <f t="shared" si="2"/>
        <v>Afternoon</v>
      </c>
      <c r="I233" s="38" t="str">
        <f>IF(dataset_A!C233=1,"Spring",IF(dataset_A!C233=2,"Summer",IF(dataset_A!C233=3,"Fail","Winter")))</f>
        <v>Spring</v>
      </c>
      <c r="J233" s="38" t="str">
        <f>IF(dataset_A!I233=1,"Clear",IF(dataset_A!I233,"Mist/Cloudy",IF(dataset_A!I233=3,"Light Rain/Snow","Heavy Rain/Snow")))</f>
        <v>Mist/Cloudy</v>
      </c>
      <c r="K233" s="38">
        <f>dataset_A!N233</f>
        <v>12</v>
      </c>
      <c r="L233" s="38">
        <f>dataset_A!O233</f>
        <v>74</v>
      </c>
      <c r="M233" s="38">
        <f>dataset_A!P233</f>
        <v>86</v>
      </c>
      <c r="N233" s="38" t="str">
        <f t="shared" si="3"/>
        <v>Ok</v>
      </c>
      <c r="O233" s="38" t="str">
        <f>IF(M233&gt;Analysis!$B$3*1.5,"High",IF(M233&lt;Analysis!$B$3*0.5,"Low","Medium"))</f>
        <v>Medium</v>
      </c>
      <c r="P233" s="38" t="str">
        <f>VLOOKUP(dataset_A!C233,$Q$2:$R$5,2,0)</f>
        <v>Spring</v>
      </c>
      <c r="S233" s="38" t="str">
        <f t="array" ref="S233">INDEX($R$2:$R$5,MATCH(dataset_A!C233,$Q$2:$Q$5,0))</f>
        <v>Spring</v>
      </c>
      <c r="T233" s="38" t="str">
        <f t="shared" si="4"/>
        <v>Match</v>
      </c>
    </row>
    <row r="234" ht="12.75" customHeight="1">
      <c r="A234" s="38">
        <f>dataset_A!A234</f>
        <v>679</v>
      </c>
      <c r="B234" s="39">
        <f>dataset_A!B234</f>
        <v>40574</v>
      </c>
      <c r="C234" s="38">
        <f>dataset_A!F234</f>
        <v>14</v>
      </c>
      <c r="D234" s="38">
        <f>dataset_A!H234</f>
        <v>1</v>
      </c>
      <c r="E234" s="38" t="b">
        <f>dataset_A!G234</f>
        <v>0</v>
      </c>
      <c r="F234" s="38" t="b">
        <f>dataset_A!G234</f>
        <v>0</v>
      </c>
      <c r="G234" s="38" t="str">
        <f t="shared" si="1"/>
        <v>Weekday</v>
      </c>
      <c r="H234" s="38" t="str">
        <f t="shared" si="2"/>
        <v>Afternoon</v>
      </c>
      <c r="I234" s="38" t="str">
        <f>IF(dataset_A!C234=1,"Spring",IF(dataset_A!C234=2,"Summer",IF(dataset_A!C234=3,"Fail","Winter")))</f>
        <v>Spring</v>
      </c>
      <c r="J234" s="38" t="str">
        <f>IF(dataset_A!I234=1,"Clear",IF(dataset_A!I234,"Mist/Cloudy",IF(dataset_A!I234=3,"Light Rain/Snow","Heavy Rain/Snow")))</f>
        <v>Mist/Cloudy</v>
      </c>
      <c r="K234" s="38">
        <f>dataset_A!N234</f>
        <v>1</v>
      </c>
      <c r="L234" s="38">
        <f>dataset_A!O234</f>
        <v>85</v>
      </c>
      <c r="M234" s="38">
        <f>dataset_A!P234</f>
        <v>86</v>
      </c>
      <c r="N234" s="38" t="str">
        <f t="shared" si="3"/>
        <v>Ok</v>
      </c>
      <c r="O234" s="38" t="str">
        <f>IF(M234&gt;Analysis!$B$3*1.5,"High",IF(M234&lt;Analysis!$B$3*0.5,"Low","Medium"))</f>
        <v>Medium</v>
      </c>
      <c r="P234" s="38" t="str">
        <f>VLOOKUP(dataset_A!C234,$Q$2:$R$5,2,0)</f>
        <v>Spring</v>
      </c>
      <c r="S234" s="38" t="str">
        <f t="array" ref="S234">INDEX($R$2:$R$5,MATCH(dataset_A!C234,$Q$2:$Q$5,0))</f>
        <v>Spring</v>
      </c>
      <c r="T234" s="38" t="str">
        <f t="shared" si="4"/>
        <v>Match</v>
      </c>
    </row>
    <row r="235" ht="12.75" customHeight="1">
      <c r="A235" s="38">
        <f>dataset_A!A235</f>
        <v>681</v>
      </c>
      <c r="B235" s="39">
        <f>dataset_A!B235</f>
        <v>40574</v>
      </c>
      <c r="C235" s="38">
        <f>dataset_A!F235</f>
        <v>16</v>
      </c>
      <c r="D235" s="38">
        <f>dataset_A!H235</f>
        <v>1</v>
      </c>
      <c r="E235" s="38" t="b">
        <f>dataset_A!G235</f>
        <v>0</v>
      </c>
      <c r="F235" s="38" t="b">
        <f>dataset_A!G235</f>
        <v>0</v>
      </c>
      <c r="G235" s="38" t="str">
        <f t="shared" si="1"/>
        <v>Weekday</v>
      </c>
      <c r="H235" s="38" t="str">
        <f t="shared" si="2"/>
        <v>Afternoon</v>
      </c>
      <c r="I235" s="38" t="str">
        <f>IF(dataset_A!C235=1,"Spring",IF(dataset_A!C235=2,"Summer",IF(dataset_A!C235=3,"Fail","Winter")))</f>
        <v>Spring</v>
      </c>
      <c r="J235" s="38" t="str">
        <f>IF(dataset_A!I235=1,"Clear",IF(dataset_A!I235,"Mist/Cloudy",IF(dataset_A!I235=3,"Light Rain/Snow","Heavy Rain/Snow")))</f>
        <v>Mist/Cloudy</v>
      </c>
      <c r="K235" s="38">
        <f>dataset_A!N235</f>
        <v>3</v>
      </c>
      <c r="L235" s="38">
        <f>dataset_A!O235</f>
        <v>83</v>
      </c>
      <c r="M235" s="38">
        <f>dataset_A!P235</f>
        <v>86</v>
      </c>
      <c r="N235" s="38" t="str">
        <f t="shared" si="3"/>
        <v>Ok</v>
      </c>
      <c r="O235" s="38" t="str">
        <f>IF(M235&gt;Analysis!$B$3*1.5,"High",IF(M235&lt;Analysis!$B$3*0.5,"Low","Medium"))</f>
        <v>Medium</v>
      </c>
      <c r="P235" s="38" t="str">
        <f>VLOOKUP(dataset_A!C235,$Q$2:$R$5,2,0)</f>
        <v>Spring</v>
      </c>
      <c r="S235" s="38" t="str">
        <f t="array" ref="S235">INDEX($R$2:$R$5,MATCH(dataset_A!C235,$Q$2:$Q$5,0))</f>
        <v>Spring</v>
      </c>
      <c r="T235" s="38" t="str">
        <f t="shared" si="4"/>
        <v>Match</v>
      </c>
    </row>
    <row r="236" ht="12.75" customHeight="1">
      <c r="A236" s="38">
        <f>dataset_A!A236</f>
        <v>770</v>
      </c>
      <c r="B236" s="39">
        <f>dataset_A!B236</f>
        <v>40578</v>
      </c>
      <c r="C236" s="38">
        <f>dataset_A!F236</f>
        <v>12</v>
      </c>
      <c r="D236" s="38">
        <f>dataset_A!H236</f>
        <v>5</v>
      </c>
      <c r="E236" s="38" t="b">
        <f>dataset_A!G236</f>
        <v>0</v>
      </c>
      <c r="F236" s="38" t="b">
        <f>dataset_A!G236</f>
        <v>0</v>
      </c>
      <c r="G236" s="38" t="str">
        <f t="shared" si="1"/>
        <v>Weekday</v>
      </c>
      <c r="H236" s="38" t="str">
        <f t="shared" si="2"/>
        <v>Afternoon</v>
      </c>
      <c r="I236" s="38" t="str">
        <f>IF(dataset_A!C236=1,"Spring",IF(dataset_A!C236=2,"Summer",IF(dataset_A!C236=3,"Fail","Winter")))</f>
        <v>Spring</v>
      </c>
      <c r="J236" s="38" t="str">
        <f>IF(dataset_A!I236=1,"Clear",IF(dataset_A!I236,"Mist/Cloudy",IF(dataset_A!I236=3,"Light Rain/Snow","Heavy Rain/Snow")))</f>
        <v>Mist/Cloudy</v>
      </c>
      <c r="K236" s="38">
        <f>dataset_A!N236</f>
        <v>8</v>
      </c>
      <c r="L236" s="38">
        <f>dataset_A!O236</f>
        <v>78</v>
      </c>
      <c r="M236" s="38">
        <f>dataset_A!P236</f>
        <v>86</v>
      </c>
      <c r="N236" s="38" t="str">
        <f t="shared" si="3"/>
        <v>Ok</v>
      </c>
      <c r="O236" s="38" t="str">
        <f>IF(M236&gt;Analysis!$B$3*1.5,"High",IF(M236&lt;Analysis!$B$3*0.5,"Low","Medium"))</f>
        <v>Medium</v>
      </c>
      <c r="P236" s="38" t="str">
        <f>VLOOKUP(dataset_A!C236,$Q$2:$R$5,2,0)</f>
        <v>Spring</v>
      </c>
      <c r="S236" s="38" t="str">
        <f t="array" ref="S236">INDEX($R$2:$R$5,MATCH(dataset_A!C236,$Q$2:$Q$5,0))</f>
        <v>Spring</v>
      </c>
      <c r="T236" s="38" t="str">
        <f t="shared" si="4"/>
        <v>Match</v>
      </c>
    </row>
    <row r="237" ht="12.75" customHeight="1">
      <c r="A237" s="38">
        <f>dataset_A!A237</f>
        <v>13</v>
      </c>
      <c r="B237" s="39">
        <f>dataset_A!B237</f>
        <v>40544</v>
      </c>
      <c r="C237" s="38">
        <f>dataset_A!F237</f>
        <v>12</v>
      </c>
      <c r="D237" s="38">
        <f>dataset_A!H237</f>
        <v>6</v>
      </c>
      <c r="E237" s="38" t="b">
        <f>dataset_A!G237</f>
        <v>0</v>
      </c>
      <c r="F237" s="38" t="b">
        <f>dataset_A!G237</f>
        <v>0</v>
      </c>
      <c r="G237" s="38" t="str">
        <f t="shared" si="1"/>
        <v>Weekend</v>
      </c>
      <c r="H237" s="38" t="str">
        <f t="shared" si="2"/>
        <v>Afternoon</v>
      </c>
      <c r="I237" s="38" t="str">
        <f>IF(dataset_A!C237=1,"Spring",IF(dataset_A!C237=2,"Summer",IF(dataset_A!C237=3,"Fail","Winter")))</f>
        <v>Spring</v>
      </c>
      <c r="J237" s="38" t="str">
        <f>IF(dataset_A!I237=1,"Clear",IF(dataset_A!I237,"Mist/Cloudy",IF(dataset_A!I237=3,"Light Rain/Snow","Heavy Rain/Snow")))</f>
        <v>Clear</v>
      </c>
      <c r="K237" s="38">
        <f>dataset_A!N237</f>
        <v>29</v>
      </c>
      <c r="L237" s="38">
        <f>dataset_A!O237</f>
        <v>55</v>
      </c>
      <c r="M237" s="38">
        <f>dataset_A!P237</f>
        <v>84</v>
      </c>
      <c r="N237" s="38" t="str">
        <f t="shared" si="3"/>
        <v>Ok</v>
      </c>
      <c r="O237" s="38" t="str">
        <f>IF(M237&gt;Analysis!$B$3*1.5,"High",IF(M237&lt;Analysis!$B$3*0.5,"Low","Medium"))</f>
        <v>Medium</v>
      </c>
      <c r="P237" s="38" t="str">
        <f>VLOOKUP(dataset_A!C237,$Q$2:$R$5,2,0)</f>
        <v>Spring</v>
      </c>
      <c r="S237" s="38" t="str">
        <f t="array" ref="S237">INDEX($R$2:$R$5,MATCH(dataset_A!C237,$Q$2:$Q$5,0))</f>
        <v>Spring</v>
      </c>
      <c r="T237" s="38" t="str">
        <f t="shared" si="4"/>
        <v>Match</v>
      </c>
    </row>
    <row r="238" ht="12.75" customHeight="1">
      <c r="A238" s="38">
        <f>dataset_A!A238</f>
        <v>127</v>
      </c>
      <c r="B238" s="39">
        <f>dataset_A!B238</f>
        <v>40549</v>
      </c>
      <c r="C238" s="38">
        <f>dataset_A!F238</f>
        <v>12</v>
      </c>
      <c r="D238" s="38">
        <f>dataset_A!H238</f>
        <v>4</v>
      </c>
      <c r="E238" s="38" t="b">
        <f>dataset_A!G238</f>
        <v>0</v>
      </c>
      <c r="F238" s="38" t="b">
        <f>dataset_A!G238</f>
        <v>0</v>
      </c>
      <c r="G238" s="38" t="str">
        <f t="shared" si="1"/>
        <v>Weekday</v>
      </c>
      <c r="H238" s="38" t="str">
        <f t="shared" si="2"/>
        <v>Afternoon</v>
      </c>
      <c r="I238" s="38" t="str">
        <f>IF(dataset_A!C238=1,"Spring",IF(dataset_A!C238=2,"Summer",IF(dataset_A!C238=3,"Fail","Winter")))</f>
        <v>Spring</v>
      </c>
      <c r="J238" s="38" t="str">
        <f>IF(dataset_A!I238=1,"Clear",IF(dataset_A!I238,"Mist/Cloudy",IF(dataset_A!I238=3,"Light Rain/Snow","Heavy Rain/Snow")))</f>
        <v>Clear</v>
      </c>
      <c r="K238" s="38">
        <f>dataset_A!N238</f>
        <v>6</v>
      </c>
      <c r="L238" s="38">
        <f>dataset_A!O238</f>
        <v>78</v>
      </c>
      <c r="M238" s="38">
        <f>dataset_A!P238</f>
        <v>84</v>
      </c>
      <c r="N238" s="38" t="str">
        <f t="shared" si="3"/>
        <v>Ok</v>
      </c>
      <c r="O238" s="38" t="str">
        <f>IF(M238&gt;Analysis!$B$3*1.5,"High",IF(M238&lt;Analysis!$B$3*0.5,"Low","Medium"))</f>
        <v>Medium</v>
      </c>
      <c r="P238" s="38" t="str">
        <f>VLOOKUP(dataset_A!C238,$Q$2:$R$5,2,0)</f>
        <v>Spring</v>
      </c>
      <c r="S238" s="38" t="str">
        <f t="array" ref="S238">INDEX($R$2:$R$5,MATCH(dataset_A!C238,$Q$2:$Q$5,0))</f>
        <v>Spring</v>
      </c>
      <c r="T238" s="38" t="str">
        <f t="shared" si="4"/>
        <v>Match</v>
      </c>
    </row>
    <row r="239" ht="12.75" customHeight="1">
      <c r="A239" s="38">
        <f>dataset_A!A239</f>
        <v>145</v>
      </c>
      <c r="B239" s="39">
        <f>dataset_A!B239</f>
        <v>40550</v>
      </c>
      <c r="C239" s="38">
        <f>dataset_A!F239</f>
        <v>7</v>
      </c>
      <c r="D239" s="38">
        <f>dataset_A!H239</f>
        <v>5</v>
      </c>
      <c r="E239" s="38" t="b">
        <f>dataset_A!G239</f>
        <v>0</v>
      </c>
      <c r="F239" s="38" t="b">
        <f>dataset_A!G239</f>
        <v>0</v>
      </c>
      <c r="G239" s="38" t="str">
        <f t="shared" si="1"/>
        <v>Weekday</v>
      </c>
      <c r="H239" s="38" t="str">
        <f t="shared" si="2"/>
        <v>Morning</v>
      </c>
      <c r="I239" s="38" t="str">
        <f>IF(dataset_A!C239=1,"Spring",IF(dataset_A!C239=2,"Summer",IF(dataset_A!C239=3,"Fail","Winter")))</f>
        <v>Spring</v>
      </c>
      <c r="J239" s="38" t="str">
        <f>IF(dataset_A!I239=1,"Clear",IF(dataset_A!I239,"Mist/Cloudy",IF(dataset_A!I239=3,"Light Rain/Snow","Heavy Rain/Snow")))</f>
        <v>Clear</v>
      </c>
      <c r="K239" s="38">
        <f>dataset_A!N239</f>
        <v>8</v>
      </c>
      <c r="L239" s="38">
        <f>dataset_A!O239</f>
        <v>76</v>
      </c>
      <c r="M239" s="38">
        <f>dataset_A!P239</f>
        <v>84</v>
      </c>
      <c r="N239" s="38" t="str">
        <f t="shared" si="3"/>
        <v>Ok</v>
      </c>
      <c r="O239" s="38" t="str">
        <f>IF(M239&gt;Analysis!$B$3*1.5,"High",IF(M239&lt;Analysis!$B$3*0.5,"Low","Medium"))</f>
        <v>Medium</v>
      </c>
      <c r="P239" s="38" t="str">
        <f>VLOOKUP(dataset_A!C239,$Q$2:$R$5,2,0)</f>
        <v>Spring</v>
      </c>
      <c r="S239" s="38" t="str">
        <f t="array" ref="S239">INDEX($R$2:$R$5,MATCH(dataset_A!C239,$Q$2:$Q$5,0))</f>
        <v>Spring</v>
      </c>
      <c r="T239" s="38" t="str">
        <f t="shared" si="4"/>
        <v>Match</v>
      </c>
    </row>
    <row r="240" ht="12.75" customHeight="1">
      <c r="A240" s="38">
        <f>dataset_A!A240</f>
        <v>343</v>
      </c>
      <c r="B240" s="39">
        <f>dataset_A!B240</f>
        <v>40558</v>
      </c>
      <c r="C240" s="38">
        <f>dataset_A!F240</f>
        <v>18</v>
      </c>
      <c r="D240" s="38">
        <f>dataset_A!H240</f>
        <v>6</v>
      </c>
      <c r="E240" s="38" t="b">
        <f>dataset_A!G240</f>
        <v>0</v>
      </c>
      <c r="F240" s="38" t="b">
        <f>dataset_A!G240</f>
        <v>0</v>
      </c>
      <c r="G240" s="38" t="str">
        <f t="shared" si="1"/>
        <v>Weekend</v>
      </c>
      <c r="H240" s="38" t="str">
        <f t="shared" si="2"/>
        <v>Evening</v>
      </c>
      <c r="I240" s="38" t="str">
        <f>IF(dataset_A!C240=1,"Spring",IF(dataset_A!C240=2,"Summer",IF(dataset_A!C240=3,"Fail","Winter")))</f>
        <v>Spring</v>
      </c>
      <c r="J240" s="38" t="str">
        <f>IF(dataset_A!I240=1,"Clear",IF(dataset_A!I240,"Mist/Cloudy",IF(dataset_A!I240=3,"Light Rain/Snow","Heavy Rain/Snow")))</f>
        <v>Mist/Cloudy</v>
      </c>
      <c r="K240" s="38">
        <f>dataset_A!N240</f>
        <v>15</v>
      </c>
      <c r="L240" s="38">
        <f>dataset_A!O240</f>
        <v>69</v>
      </c>
      <c r="M240" s="38">
        <f>dataset_A!P240</f>
        <v>84</v>
      </c>
      <c r="N240" s="38" t="str">
        <f t="shared" si="3"/>
        <v>Ok</v>
      </c>
      <c r="O240" s="38" t="str">
        <f>IF(M240&gt;Analysis!$B$3*1.5,"High",IF(M240&lt;Analysis!$B$3*0.5,"Low","Medium"))</f>
        <v>Medium</v>
      </c>
      <c r="P240" s="38" t="str">
        <f>VLOOKUP(dataset_A!C240,$Q$2:$R$5,2,0)</f>
        <v>Spring</v>
      </c>
      <c r="S240" s="38" t="str">
        <f t="array" ref="S240">INDEX($R$2:$R$5,MATCH(dataset_A!C240,$Q$2:$Q$5,0))</f>
        <v>Spring</v>
      </c>
      <c r="T240" s="38" t="str">
        <f t="shared" si="4"/>
        <v>Match</v>
      </c>
    </row>
    <row r="241" ht="12.75" customHeight="1">
      <c r="A241" s="38">
        <f>dataset_A!A241</f>
        <v>444</v>
      </c>
      <c r="B241" s="39">
        <f>dataset_A!B241</f>
        <v>40563</v>
      </c>
      <c r="C241" s="38">
        <f>dataset_A!F241</f>
        <v>12</v>
      </c>
      <c r="D241" s="38">
        <f>dataset_A!H241</f>
        <v>4</v>
      </c>
      <c r="E241" s="38" t="b">
        <f>dataset_A!G241</f>
        <v>0</v>
      </c>
      <c r="F241" s="38" t="b">
        <f>dataset_A!G241</f>
        <v>0</v>
      </c>
      <c r="G241" s="38" t="str">
        <f t="shared" si="1"/>
        <v>Weekday</v>
      </c>
      <c r="H241" s="38" t="str">
        <f t="shared" si="2"/>
        <v>Afternoon</v>
      </c>
      <c r="I241" s="38" t="str">
        <f>IF(dataset_A!C241=1,"Spring",IF(dataset_A!C241=2,"Summer",IF(dataset_A!C241=3,"Fail","Winter")))</f>
        <v>Spring</v>
      </c>
      <c r="J241" s="38" t="str">
        <f>IF(dataset_A!I241=1,"Clear",IF(dataset_A!I241,"Mist/Cloudy",IF(dataset_A!I241=3,"Light Rain/Snow","Heavy Rain/Snow")))</f>
        <v>Mist/Cloudy</v>
      </c>
      <c r="K241" s="38">
        <f>dataset_A!N241</f>
        <v>7</v>
      </c>
      <c r="L241" s="38">
        <f>dataset_A!O241</f>
        <v>77</v>
      </c>
      <c r="M241" s="38">
        <f>dataset_A!P241</f>
        <v>84</v>
      </c>
      <c r="N241" s="38" t="str">
        <f t="shared" si="3"/>
        <v>Ok</v>
      </c>
      <c r="O241" s="38" t="str">
        <f>IF(M241&gt;Analysis!$B$3*1.5,"High",IF(M241&lt;Analysis!$B$3*0.5,"Low","Medium"))</f>
        <v>Medium</v>
      </c>
      <c r="P241" s="38" t="str">
        <f>VLOOKUP(dataset_A!C241,$Q$2:$R$5,2,0)</f>
        <v>Spring</v>
      </c>
      <c r="S241" s="38" t="str">
        <f t="array" ref="S241">INDEX($R$2:$R$5,MATCH(dataset_A!C241,$Q$2:$Q$5,0))</f>
        <v>Spring</v>
      </c>
      <c r="T241" s="38" t="str">
        <f t="shared" si="4"/>
        <v>Match</v>
      </c>
    </row>
    <row r="242" ht="12.75" customHeight="1">
      <c r="A242" s="38">
        <f>dataset_A!A242</f>
        <v>492</v>
      </c>
      <c r="B242" s="39">
        <f>dataset_A!B242</f>
        <v>40565</v>
      </c>
      <c r="C242" s="38">
        <f>dataset_A!F242</f>
        <v>13</v>
      </c>
      <c r="D242" s="38">
        <f>dataset_A!H242</f>
        <v>6</v>
      </c>
      <c r="E242" s="38" t="b">
        <f>dataset_A!G242</f>
        <v>0</v>
      </c>
      <c r="F242" s="38" t="b">
        <f>dataset_A!G242</f>
        <v>0</v>
      </c>
      <c r="G242" s="38" t="str">
        <f t="shared" si="1"/>
        <v>Weekend</v>
      </c>
      <c r="H242" s="38" t="str">
        <f t="shared" si="2"/>
        <v>Afternoon</v>
      </c>
      <c r="I242" s="38" t="str">
        <f>IF(dataset_A!C242=1,"Spring",IF(dataset_A!C242=2,"Summer",IF(dataset_A!C242=3,"Fail","Winter")))</f>
        <v>Spring</v>
      </c>
      <c r="J242" s="38" t="str">
        <f>IF(dataset_A!I242=1,"Clear",IF(dataset_A!I242,"Mist/Cloudy",IF(dataset_A!I242=3,"Light Rain/Snow","Heavy Rain/Snow")))</f>
        <v>Clear</v>
      </c>
      <c r="K242" s="38">
        <f>dataset_A!N242</f>
        <v>12</v>
      </c>
      <c r="L242" s="38">
        <f>dataset_A!O242</f>
        <v>72</v>
      </c>
      <c r="M242" s="38">
        <f>dataset_A!P242</f>
        <v>84</v>
      </c>
      <c r="N242" s="38" t="str">
        <f t="shared" si="3"/>
        <v>Ok</v>
      </c>
      <c r="O242" s="38" t="str">
        <f>IF(M242&gt;Analysis!$B$3*1.5,"High",IF(M242&lt;Analysis!$B$3*0.5,"Low","Medium"))</f>
        <v>Medium</v>
      </c>
      <c r="P242" s="38" t="str">
        <f>VLOOKUP(dataset_A!C242,$Q$2:$R$5,2,0)</f>
        <v>Spring</v>
      </c>
      <c r="S242" s="38" t="str">
        <f t="array" ref="S242">INDEX($R$2:$R$5,MATCH(dataset_A!C242,$Q$2:$Q$5,0))</f>
        <v>Spring</v>
      </c>
      <c r="T242" s="38" t="str">
        <f t="shared" si="4"/>
        <v>Match</v>
      </c>
    </row>
    <row r="243" ht="12.75" customHeight="1">
      <c r="A243" s="38">
        <f>dataset_A!A243</f>
        <v>532</v>
      </c>
      <c r="B243" s="39">
        <f>dataset_A!B243</f>
        <v>40567</v>
      </c>
      <c r="C243" s="38">
        <f>dataset_A!F243</f>
        <v>7</v>
      </c>
      <c r="D243" s="38">
        <f>dataset_A!H243</f>
        <v>1</v>
      </c>
      <c r="E243" s="38" t="b">
        <f>dataset_A!G243</f>
        <v>0</v>
      </c>
      <c r="F243" s="38" t="b">
        <f>dataset_A!G243</f>
        <v>0</v>
      </c>
      <c r="G243" s="38" t="str">
        <f t="shared" si="1"/>
        <v>Weekday</v>
      </c>
      <c r="H243" s="38" t="str">
        <f t="shared" si="2"/>
        <v>Morning</v>
      </c>
      <c r="I243" s="38" t="str">
        <f>IF(dataset_A!C243=1,"Spring",IF(dataset_A!C243=2,"Summer",IF(dataset_A!C243=3,"Fail","Winter")))</f>
        <v>Spring</v>
      </c>
      <c r="J243" s="38" t="str">
        <f>IF(dataset_A!I243=1,"Clear",IF(dataset_A!I243,"Mist/Cloudy",IF(dataset_A!I243=3,"Light Rain/Snow","Heavy Rain/Snow")))</f>
        <v>Clear</v>
      </c>
      <c r="K243" s="38">
        <f>dataset_A!N243</f>
        <v>5</v>
      </c>
      <c r="L243" s="38">
        <f>dataset_A!O243</f>
        <v>79</v>
      </c>
      <c r="M243" s="38">
        <f>dataset_A!P243</f>
        <v>84</v>
      </c>
      <c r="N243" s="38" t="str">
        <f t="shared" si="3"/>
        <v>Ok</v>
      </c>
      <c r="O243" s="38" t="str">
        <f>IF(M243&gt;Analysis!$B$3*1.5,"High",IF(M243&lt;Analysis!$B$3*0.5,"Low","Medium"))</f>
        <v>Medium</v>
      </c>
      <c r="P243" s="38" t="str">
        <f>VLOOKUP(dataset_A!C243,$Q$2:$R$5,2,0)</f>
        <v>Spring</v>
      </c>
      <c r="S243" s="38" t="str">
        <f t="array" ref="S243">INDEX($R$2:$R$5,MATCH(dataset_A!C243,$Q$2:$Q$5,0))</f>
        <v>Spring</v>
      </c>
      <c r="T243" s="38" t="str">
        <f t="shared" si="4"/>
        <v>Match</v>
      </c>
    </row>
    <row r="244" ht="12.75" customHeight="1">
      <c r="A244" s="38">
        <f>dataset_A!A244</f>
        <v>563</v>
      </c>
      <c r="B244" s="39">
        <f>dataset_A!B244</f>
        <v>40568</v>
      </c>
      <c r="C244" s="38">
        <f>dataset_A!F244</f>
        <v>15</v>
      </c>
      <c r="D244" s="38">
        <f>dataset_A!H244</f>
        <v>2</v>
      </c>
      <c r="E244" s="38" t="b">
        <f>dataset_A!G244</f>
        <v>0</v>
      </c>
      <c r="F244" s="38" t="b">
        <f>dataset_A!G244</f>
        <v>0</v>
      </c>
      <c r="G244" s="38" t="str">
        <f t="shared" si="1"/>
        <v>Weekday</v>
      </c>
      <c r="H244" s="38" t="str">
        <f t="shared" si="2"/>
        <v>Afternoon</v>
      </c>
      <c r="I244" s="38" t="str">
        <f>IF(dataset_A!C244=1,"Spring",IF(dataset_A!C244=2,"Summer",IF(dataset_A!C244=3,"Fail","Winter")))</f>
        <v>Spring</v>
      </c>
      <c r="J244" s="38" t="str">
        <f>IF(dataset_A!I244=1,"Clear",IF(dataset_A!I244,"Mist/Cloudy",IF(dataset_A!I244=3,"Light Rain/Snow","Heavy Rain/Snow")))</f>
        <v>Mist/Cloudy</v>
      </c>
      <c r="K244" s="38">
        <f>dataset_A!N244</f>
        <v>21</v>
      </c>
      <c r="L244" s="38">
        <f>dataset_A!O244</f>
        <v>63</v>
      </c>
      <c r="M244" s="38">
        <f>dataset_A!P244</f>
        <v>84</v>
      </c>
      <c r="N244" s="38" t="str">
        <f t="shared" si="3"/>
        <v>Ok</v>
      </c>
      <c r="O244" s="38" t="str">
        <f>IF(M244&gt;Analysis!$B$3*1.5,"High",IF(M244&lt;Analysis!$B$3*0.5,"Low","Medium"))</f>
        <v>Medium</v>
      </c>
      <c r="P244" s="38" t="str">
        <f>VLOOKUP(dataset_A!C244,$Q$2:$R$5,2,0)</f>
        <v>Spring</v>
      </c>
      <c r="S244" s="38" t="str">
        <f t="array" ref="S244">INDEX($R$2:$R$5,MATCH(dataset_A!C244,$Q$2:$Q$5,0))</f>
        <v>Spring</v>
      </c>
      <c r="T244" s="38" t="str">
        <f t="shared" si="4"/>
        <v>Match</v>
      </c>
    </row>
    <row r="245" ht="12.75" customHeight="1">
      <c r="A245" s="38">
        <f>dataset_A!A245</f>
        <v>589</v>
      </c>
      <c r="B245" s="39">
        <f>dataset_A!B245</f>
        <v>40570</v>
      </c>
      <c r="C245" s="38">
        <f>dataset_A!F245</f>
        <v>17</v>
      </c>
      <c r="D245" s="38">
        <f>dataset_A!H245</f>
        <v>4</v>
      </c>
      <c r="E245" s="38" t="b">
        <f>dataset_A!G245</f>
        <v>0</v>
      </c>
      <c r="F245" s="38" t="b">
        <f>dataset_A!G245</f>
        <v>0</v>
      </c>
      <c r="G245" s="38" t="str">
        <f t="shared" si="1"/>
        <v>Weekday</v>
      </c>
      <c r="H245" s="38" t="str">
        <f t="shared" si="2"/>
        <v>Afternoon</v>
      </c>
      <c r="I245" s="38" t="str">
        <f>IF(dataset_A!C245=1,"Spring",IF(dataset_A!C245=2,"Summer",IF(dataset_A!C245=3,"Fail","Winter")))</f>
        <v>Spring</v>
      </c>
      <c r="J245" s="38" t="str">
        <f>IF(dataset_A!I245=1,"Clear",IF(dataset_A!I245,"Mist/Cloudy",IF(dataset_A!I245=3,"Light Rain/Snow","Heavy Rain/Snow")))</f>
        <v>Clear</v>
      </c>
      <c r="K245" s="38">
        <f>dataset_A!N245</f>
        <v>2</v>
      </c>
      <c r="L245" s="38">
        <f>dataset_A!O245</f>
        <v>82</v>
      </c>
      <c r="M245" s="38">
        <f>dataset_A!P245</f>
        <v>84</v>
      </c>
      <c r="N245" s="38" t="str">
        <f t="shared" si="3"/>
        <v>Ok</v>
      </c>
      <c r="O245" s="38" t="str">
        <f>IF(M245&gt;Analysis!$B$3*1.5,"High",IF(M245&lt;Analysis!$B$3*0.5,"Low","Medium"))</f>
        <v>Medium</v>
      </c>
      <c r="P245" s="38" t="str">
        <f>VLOOKUP(dataset_A!C245,$Q$2:$R$5,2,0)</f>
        <v>Spring</v>
      </c>
      <c r="S245" s="38" t="str">
        <f t="array" ref="S245">INDEX($R$2:$R$5,MATCH(dataset_A!C245,$Q$2:$Q$5,0))</f>
        <v>Spring</v>
      </c>
      <c r="T245" s="38" t="str">
        <f t="shared" si="4"/>
        <v>Match</v>
      </c>
    </row>
    <row r="246" ht="12.75" customHeight="1">
      <c r="A246" s="38">
        <f>dataset_A!A246</f>
        <v>654</v>
      </c>
      <c r="B246" s="39">
        <f>dataset_A!B246</f>
        <v>40573</v>
      </c>
      <c r="C246" s="38">
        <f>dataset_A!F246</f>
        <v>13</v>
      </c>
      <c r="D246" s="38">
        <f>dataset_A!H246</f>
        <v>0</v>
      </c>
      <c r="E246" s="38" t="b">
        <f>dataset_A!G246</f>
        <v>0</v>
      </c>
      <c r="F246" s="38" t="b">
        <f>dataset_A!G246</f>
        <v>0</v>
      </c>
      <c r="G246" s="38" t="str">
        <f t="shared" si="1"/>
        <v>Weekend</v>
      </c>
      <c r="H246" s="38" t="str">
        <f t="shared" si="2"/>
        <v>Afternoon</v>
      </c>
      <c r="I246" s="38" t="str">
        <f>IF(dataset_A!C246=1,"Spring",IF(dataset_A!C246=2,"Summer",IF(dataset_A!C246=3,"Fail","Winter")))</f>
        <v>Spring</v>
      </c>
      <c r="J246" s="38" t="str">
        <f>IF(dataset_A!I246=1,"Clear",IF(dataset_A!I246,"Mist/Cloudy",IF(dataset_A!I246=3,"Light Rain/Snow","Heavy Rain/Snow")))</f>
        <v>Clear</v>
      </c>
      <c r="K246" s="38">
        <f>dataset_A!N246</f>
        <v>13</v>
      </c>
      <c r="L246" s="38">
        <f>dataset_A!O246</f>
        <v>71</v>
      </c>
      <c r="M246" s="38">
        <f>dataset_A!P246</f>
        <v>84</v>
      </c>
      <c r="N246" s="38" t="str">
        <f t="shared" si="3"/>
        <v>Ok</v>
      </c>
      <c r="O246" s="38" t="str">
        <f>IF(M246&gt;Analysis!$B$3*1.5,"High",IF(M246&lt;Analysis!$B$3*0.5,"Low","Medium"))</f>
        <v>Medium</v>
      </c>
      <c r="P246" s="38" t="str">
        <f>VLOOKUP(dataset_A!C246,$Q$2:$R$5,2,0)</f>
        <v>Spring</v>
      </c>
      <c r="S246" s="38" t="str">
        <f t="array" ref="S246">INDEX($R$2:$R$5,MATCH(dataset_A!C246,$Q$2:$Q$5,0))</f>
        <v>Spring</v>
      </c>
      <c r="T246" s="38" t="str">
        <f t="shared" si="4"/>
        <v>Match</v>
      </c>
    </row>
    <row r="247" ht="12.75" customHeight="1">
      <c r="A247" s="38">
        <f>dataset_A!A247</f>
        <v>801</v>
      </c>
      <c r="B247" s="39">
        <f>dataset_A!B247</f>
        <v>40579</v>
      </c>
      <c r="C247" s="38">
        <f>dataset_A!F247</f>
        <v>19</v>
      </c>
      <c r="D247" s="38">
        <f>dataset_A!H247</f>
        <v>6</v>
      </c>
      <c r="E247" s="38" t="b">
        <f>dataset_A!G247</f>
        <v>0</v>
      </c>
      <c r="F247" s="38" t="b">
        <f>dataset_A!G247</f>
        <v>0</v>
      </c>
      <c r="G247" s="38" t="str">
        <f t="shared" si="1"/>
        <v>Weekend</v>
      </c>
      <c r="H247" s="38" t="str">
        <f t="shared" si="2"/>
        <v>Evening</v>
      </c>
      <c r="I247" s="38" t="str">
        <f>IF(dataset_A!C247=1,"Spring",IF(dataset_A!C247=2,"Summer",IF(dataset_A!C247=3,"Fail","Winter")))</f>
        <v>Spring</v>
      </c>
      <c r="J247" s="38" t="str">
        <f>IF(dataset_A!I247=1,"Clear",IF(dataset_A!I247,"Mist/Cloudy",IF(dataset_A!I247=3,"Light Rain/Snow","Heavy Rain/Snow")))</f>
        <v>Mist/Cloudy</v>
      </c>
      <c r="K247" s="38">
        <f>dataset_A!N247</f>
        <v>6</v>
      </c>
      <c r="L247" s="38">
        <f>dataset_A!O247</f>
        <v>78</v>
      </c>
      <c r="M247" s="38">
        <f>dataset_A!P247</f>
        <v>84</v>
      </c>
      <c r="N247" s="38" t="str">
        <f t="shared" si="3"/>
        <v>Ok</v>
      </c>
      <c r="O247" s="38" t="str">
        <f>IF(M247&gt;Analysis!$B$3*1.5,"High",IF(M247&lt;Analysis!$B$3*0.5,"Low","Medium"))</f>
        <v>Medium</v>
      </c>
      <c r="P247" s="38" t="str">
        <f>VLOOKUP(dataset_A!C247,$Q$2:$R$5,2,0)</f>
        <v>Spring</v>
      </c>
      <c r="S247" s="38" t="str">
        <f t="array" ref="S247">INDEX($R$2:$R$5,MATCH(dataset_A!C247,$Q$2:$Q$5,0))</f>
        <v>Spring</v>
      </c>
      <c r="T247" s="38" t="str">
        <f t="shared" si="4"/>
        <v>Match</v>
      </c>
    </row>
    <row r="248" ht="12.75" customHeight="1">
      <c r="A248" s="38">
        <f>dataset_A!A248</f>
        <v>897</v>
      </c>
      <c r="B248" s="39">
        <f>dataset_A!B248</f>
        <v>40583</v>
      </c>
      <c r="C248" s="38">
        <f>dataset_A!F248</f>
        <v>20</v>
      </c>
      <c r="D248" s="38">
        <f>dataset_A!H248</f>
        <v>3</v>
      </c>
      <c r="E248" s="38" t="b">
        <f>dataset_A!G248</f>
        <v>0</v>
      </c>
      <c r="F248" s="38" t="b">
        <f>dataset_A!G248</f>
        <v>0</v>
      </c>
      <c r="G248" s="38" t="str">
        <f t="shared" si="1"/>
        <v>Weekday</v>
      </c>
      <c r="H248" s="38" t="str">
        <f t="shared" si="2"/>
        <v>Evening</v>
      </c>
      <c r="I248" s="38" t="str">
        <f>IF(dataset_A!C248=1,"Spring",IF(dataset_A!C248=2,"Summer",IF(dataset_A!C248=3,"Fail","Winter")))</f>
        <v>Spring</v>
      </c>
      <c r="J248" s="38" t="str">
        <f>IF(dataset_A!I248=1,"Clear",IF(dataset_A!I248,"Mist/Cloudy",IF(dataset_A!I248=3,"Light Rain/Snow","Heavy Rain/Snow")))</f>
        <v>Mist/Cloudy</v>
      </c>
      <c r="K248" s="38">
        <f>dataset_A!N248</f>
        <v>0</v>
      </c>
      <c r="L248" s="38">
        <f>dataset_A!O248</f>
        <v>84</v>
      </c>
      <c r="M248" s="38">
        <f>dataset_A!P248</f>
        <v>84</v>
      </c>
      <c r="N248" s="38" t="str">
        <f t="shared" si="3"/>
        <v>Ok</v>
      </c>
      <c r="O248" s="38" t="str">
        <f>IF(M248&gt;Analysis!$B$3*1.5,"High",IF(M248&lt;Analysis!$B$3*0.5,"Low","Medium"))</f>
        <v>Medium</v>
      </c>
      <c r="P248" s="38" t="str">
        <f>VLOOKUP(dataset_A!C248,$Q$2:$R$5,2,0)</f>
        <v>Spring</v>
      </c>
      <c r="S248" s="38" t="str">
        <f t="array" ref="S248">INDEX($R$2:$R$5,MATCH(dataset_A!C248,$Q$2:$Q$5,0))</f>
        <v>Spring</v>
      </c>
      <c r="T248" s="38" t="str">
        <f t="shared" si="4"/>
        <v>Match</v>
      </c>
    </row>
    <row r="249" ht="12.75" customHeight="1">
      <c r="A249" s="38">
        <f>dataset_A!A249</f>
        <v>936</v>
      </c>
      <c r="B249" s="39">
        <f>dataset_A!B249</f>
        <v>40585</v>
      </c>
      <c r="C249" s="38">
        <f>dataset_A!F249</f>
        <v>14</v>
      </c>
      <c r="D249" s="38">
        <f>dataset_A!H249</f>
        <v>5</v>
      </c>
      <c r="E249" s="38" t="b">
        <f>dataset_A!G249</f>
        <v>0</v>
      </c>
      <c r="F249" s="38" t="b">
        <f>dataset_A!G249</f>
        <v>0</v>
      </c>
      <c r="G249" s="38" t="str">
        <f t="shared" si="1"/>
        <v>Weekday</v>
      </c>
      <c r="H249" s="38" t="str">
        <f t="shared" si="2"/>
        <v>Afternoon</v>
      </c>
      <c r="I249" s="38" t="str">
        <f>IF(dataset_A!C249=1,"Spring",IF(dataset_A!C249=2,"Summer",IF(dataset_A!C249=3,"Fail","Winter")))</f>
        <v>Spring</v>
      </c>
      <c r="J249" s="38" t="str">
        <f>IF(dataset_A!I249=1,"Clear",IF(dataset_A!I249,"Mist/Cloudy",IF(dataset_A!I249=3,"Light Rain/Snow","Heavy Rain/Snow")))</f>
        <v>Clear</v>
      </c>
      <c r="K249" s="38">
        <f>dataset_A!N249</f>
        <v>17</v>
      </c>
      <c r="L249" s="38">
        <f>dataset_A!O249</f>
        <v>67</v>
      </c>
      <c r="M249" s="38">
        <f>dataset_A!P249</f>
        <v>84</v>
      </c>
      <c r="N249" s="38" t="str">
        <f t="shared" si="3"/>
        <v>Ok</v>
      </c>
      <c r="O249" s="38" t="str">
        <f>IF(M249&gt;Analysis!$B$3*1.5,"High",IF(M249&lt;Analysis!$B$3*0.5,"Low","Medium"))</f>
        <v>Medium</v>
      </c>
      <c r="P249" s="38" t="str">
        <f>VLOOKUP(dataset_A!C249,$Q$2:$R$5,2,0)</f>
        <v>Spring</v>
      </c>
      <c r="S249" s="38" t="str">
        <f t="array" ref="S249">INDEX($R$2:$R$5,MATCH(dataset_A!C249,$Q$2:$Q$5,0))</f>
        <v>Spring</v>
      </c>
      <c r="T249" s="38" t="str">
        <f t="shared" si="4"/>
        <v>Match</v>
      </c>
    </row>
    <row r="250" ht="12.75" customHeight="1">
      <c r="A250" s="38">
        <f>dataset_A!A250</f>
        <v>956</v>
      </c>
      <c r="B250" s="39">
        <f>dataset_A!B250</f>
        <v>40586</v>
      </c>
      <c r="C250" s="38">
        <f>dataset_A!F250</f>
        <v>10</v>
      </c>
      <c r="D250" s="38">
        <f>dataset_A!H250</f>
        <v>6</v>
      </c>
      <c r="E250" s="38" t="b">
        <f>dataset_A!G250</f>
        <v>0</v>
      </c>
      <c r="F250" s="38" t="b">
        <f>dataset_A!G250</f>
        <v>0</v>
      </c>
      <c r="G250" s="38" t="str">
        <f t="shared" si="1"/>
        <v>Weekend</v>
      </c>
      <c r="H250" s="38" t="str">
        <f t="shared" si="2"/>
        <v>Morning</v>
      </c>
      <c r="I250" s="38" t="str">
        <f>IF(dataset_A!C250=1,"Spring",IF(dataset_A!C250=2,"Summer",IF(dataset_A!C250=3,"Fail","Winter")))</f>
        <v>Spring</v>
      </c>
      <c r="J250" s="38" t="str">
        <f>IF(dataset_A!I250=1,"Clear",IF(dataset_A!I250,"Mist/Cloudy",IF(dataset_A!I250=3,"Light Rain/Snow","Heavy Rain/Snow")))</f>
        <v>Clear</v>
      </c>
      <c r="K250" s="38">
        <f>dataset_A!N250</f>
        <v>13</v>
      </c>
      <c r="L250" s="38">
        <f>dataset_A!O250</f>
        <v>71</v>
      </c>
      <c r="M250" s="38">
        <f>dataset_A!P250</f>
        <v>84</v>
      </c>
      <c r="N250" s="38" t="str">
        <f t="shared" si="3"/>
        <v>Ok</v>
      </c>
      <c r="O250" s="38" t="str">
        <f>IF(M250&gt;Analysis!$B$3*1.5,"High",IF(M250&lt;Analysis!$B$3*0.5,"Low","Medium"))</f>
        <v>Medium</v>
      </c>
      <c r="P250" s="38" t="str">
        <f>VLOOKUP(dataset_A!C250,$Q$2:$R$5,2,0)</f>
        <v>Spring</v>
      </c>
      <c r="S250" s="38" t="str">
        <f t="array" ref="S250">INDEX($R$2:$R$5,MATCH(dataset_A!C250,$Q$2:$Q$5,0))</f>
        <v>Spring</v>
      </c>
      <c r="T250" s="38" t="str">
        <f t="shared" si="4"/>
        <v>Match</v>
      </c>
    </row>
    <row r="251" ht="12.75" customHeight="1">
      <c r="A251" s="38">
        <f>dataset_A!A251</f>
        <v>85</v>
      </c>
      <c r="B251" s="39">
        <f>dataset_A!B251</f>
        <v>40547</v>
      </c>
      <c r="C251" s="38">
        <f>dataset_A!F251</f>
        <v>16</v>
      </c>
      <c r="D251" s="38">
        <f>dataset_A!H251</f>
        <v>2</v>
      </c>
      <c r="E251" s="38" t="b">
        <f>dataset_A!G251</f>
        <v>0</v>
      </c>
      <c r="F251" s="38" t="b">
        <f>dataset_A!G251</f>
        <v>0</v>
      </c>
      <c r="G251" s="38" t="str">
        <f t="shared" si="1"/>
        <v>Weekday</v>
      </c>
      <c r="H251" s="38" t="str">
        <f t="shared" si="2"/>
        <v>Afternoon</v>
      </c>
      <c r="I251" s="38" t="str">
        <f>IF(dataset_A!C251=1,"Spring",IF(dataset_A!C251=2,"Summer",IF(dataset_A!C251=3,"Fail","Winter")))</f>
        <v>Spring</v>
      </c>
      <c r="J251" s="38" t="str">
        <f>IF(dataset_A!I251=1,"Clear",IF(dataset_A!I251,"Mist/Cloudy",IF(dataset_A!I251=3,"Light Rain/Snow","Heavy Rain/Snow")))</f>
        <v>Clear</v>
      </c>
      <c r="K251" s="38">
        <f>dataset_A!N251</f>
        <v>15</v>
      </c>
      <c r="L251" s="38">
        <f>dataset_A!O251</f>
        <v>68</v>
      </c>
      <c r="M251" s="38">
        <f>dataset_A!P251</f>
        <v>83</v>
      </c>
      <c r="N251" s="38" t="str">
        <f t="shared" si="3"/>
        <v>Ok</v>
      </c>
      <c r="O251" s="38" t="str">
        <f>IF(M251&gt;Analysis!$B$3*1.5,"High",IF(M251&lt;Analysis!$B$3*0.5,"Low","Medium"))</f>
        <v>Medium</v>
      </c>
      <c r="P251" s="38" t="str">
        <f>VLOOKUP(dataset_A!C251,$Q$2:$R$5,2,0)</f>
        <v>Spring</v>
      </c>
      <c r="S251" s="38" t="str">
        <f t="array" ref="S251">INDEX($R$2:$R$5,MATCH(dataset_A!C251,$Q$2:$Q$5,0))</f>
        <v>Spring</v>
      </c>
      <c r="T251" s="38" t="str">
        <f t="shared" si="4"/>
        <v>Match</v>
      </c>
    </row>
    <row r="252" ht="12.75" customHeight="1">
      <c r="A252" s="38">
        <f>dataset_A!A252</f>
        <v>198</v>
      </c>
      <c r="B252" s="39">
        <f>dataset_A!B252</f>
        <v>40552</v>
      </c>
      <c r="C252" s="38">
        <f>dataset_A!F252</f>
        <v>12</v>
      </c>
      <c r="D252" s="38">
        <f>dataset_A!H252</f>
        <v>0</v>
      </c>
      <c r="E252" s="38" t="b">
        <f>dataset_A!G252</f>
        <v>0</v>
      </c>
      <c r="F252" s="38" t="b">
        <f>dataset_A!G252</f>
        <v>0</v>
      </c>
      <c r="G252" s="38" t="str">
        <f t="shared" si="1"/>
        <v>Weekend</v>
      </c>
      <c r="H252" s="38" t="str">
        <f t="shared" si="2"/>
        <v>Afternoon</v>
      </c>
      <c r="I252" s="38" t="str">
        <f>IF(dataset_A!C252=1,"Spring",IF(dataset_A!C252=2,"Summer",IF(dataset_A!C252=3,"Fail","Winter")))</f>
        <v>Spring</v>
      </c>
      <c r="J252" s="38" t="str">
        <f>IF(dataset_A!I252=1,"Clear",IF(dataset_A!I252,"Mist/Cloudy",IF(dataset_A!I252=3,"Light Rain/Snow","Heavy Rain/Snow")))</f>
        <v>Clear</v>
      </c>
      <c r="K252" s="38">
        <f>dataset_A!N252</f>
        <v>4</v>
      </c>
      <c r="L252" s="38">
        <f>dataset_A!O252</f>
        <v>79</v>
      </c>
      <c r="M252" s="38">
        <f>dataset_A!P252</f>
        <v>83</v>
      </c>
      <c r="N252" s="38" t="str">
        <f t="shared" si="3"/>
        <v>Ok</v>
      </c>
      <c r="O252" s="38" t="str">
        <f>IF(M252&gt;Analysis!$B$3*1.5,"High",IF(M252&lt;Analysis!$B$3*0.5,"Low","Medium"))</f>
        <v>Medium</v>
      </c>
      <c r="P252" s="38" t="str">
        <f>VLOOKUP(dataset_A!C252,$Q$2:$R$5,2,0)</f>
        <v>Spring</v>
      </c>
      <c r="S252" s="38" t="str">
        <f t="array" ref="S252">INDEX($R$2:$R$5,MATCH(dataset_A!C252,$Q$2:$Q$5,0))</f>
        <v>Spring</v>
      </c>
      <c r="T252" s="38" t="str">
        <f t="shared" si="4"/>
        <v>Match</v>
      </c>
    </row>
    <row r="253" ht="12.75" customHeight="1">
      <c r="A253" s="38">
        <f>dataset_A!A253</f>
        <v>273</v>
      </c>
      <c r="B253" s="39">
        <f>dataset_A!B253</f>
        <v>40555</v>
      </c>
      <c r="C253" s="38">
        <f>dataset_A!F253</f>
        <v>19</v>
      </c>
      <c r="D253" s="38">
        <f>dataset_A!H253</f>
        <v>3</v>
      </c>
      <c r="E253" s="38" t="b">
        <f>dataset_A!G253</f>
        <v>0</v>
      </c>
      <c r="F253" s="38" t="b">
        <f>dataset_A!G253</f>
        <v>0</v>
      </c>
      <c r="G253" s="38" t="str">
        <f t="shared" si="1"/>
        <v>Weekday</v>
      </c>
      <c r="H253" s="38" t="str">
        <f t="shared" si="2"/>
        <v>Evening</v>
      </c>
      <c r="I253" s="38" t="str">
        <f>IF(dataset_A!C253=1,"Spring",IF(dataset_A!C253=2,"Summer",IF(dataset_A!C253=3,"Fail","Winter")))</f>
        <v>Spring</v>
      </c>
      <c r="J253" s="38" t="str">
        <f>IF(dataset_A!I253=1,"Clear",IF(dataset_A!I253,"Mist/Cloudy",IF(dataset_A!I253=3,"Light Rain/Snow","Heavy Rain/Snow")))</f>
        <v>Clear</v>
      </c>
      <c r="K253" s="38">
        <f>dataset_A!N253</f>
        <v>1</v>
      </c>
      <c r="L253" s="38">
        <f>dataset_A!O253</f>
        <v>82</v>
      </c>
      <c r="M253" s="38">
        <f>dataset_A!P253</f>
        <v>83</v>
      </c>
      <c r="N253" s="38" t="str">
        <f t="shared" si="3"/>
        <v>Ok</v>
      </c>
      <c r="O253" s="38" t="str">
        <f>IF(M253&gt;Analysis!$B$3*1.5,"High",IF(M253&lt;Analysis!$B$3*0.5,"Low","Medium"))</f>
        <v>Medium</v>
      </c>
      <c r="P253" s="38" t="str">
        <f>VLOOKUP(dataset_A!C253,$Q$2:$R$5,2,0)</f>
        <v>Spring</v>
      </c>
      <c r="S253" s="38" t="str">
        <f t="array" ref="S253">INDEX($R$2:$R$5,MATCH(dataset_A!C253,$Q$2:$Q$5,0))</f>
        <v>Spring</v>
      </c>
      <c r="T253" s="38" t="str">
        <f t="shared" si="4"/>
        <v>Match</v>
      </c>
    </row>
    <row r="254" ht="12.75" customHeight="1">
      <c r="A254" s="38">
        <f>dataset_A!A254</f>
        <v>291</v>
      </c>
      <c r="B254" s="39">
        <f>dataset_A!B254</f>
        <v>40556</v>
      </c>
      <c r="C254" s="38">
        <f>dataset_A!F254</f>
        <v>13</v>
      </c>
      <c r="D254" s="38">
        <f>dataset_A!H254</f>
        <v>4</v>
      </c>
      <c r="E254" s="38" t="b">
        <f>dataset_A!G254</f>
        <v>0</v>
      </c>
      <c r="F254" s="38" t="b">
        <f>dataset_A!G254</f>
        <v>0</v>
      </c>
      <c r="G254" s="38" t="str">
        <f t="shared" si="1"/>
        <v>Weekday</v>
      </c>
      <c r="H254" s="38" t="str">
        <f t="shared" si="2"/>
        <v>Afternoon</v>
      </c>
      <c r="I254" s="38" t="str">
        <f>IF(dataset_A!C254=1,"Spring",IF(dataset_A!C254=2,"Summer",IF(dataset_A!C254=3,"Fail","Winter")))</f>
        <v>Spring</v>
      </c>
      <c r="J254" s="38" t="str">
        <f>IF(dataset_A!I254=1,"Clear",IF(dataset_A!I254,"Mist/Cloudy",IF(dataset_A!I254=3,"Light Rain/Snow","Heavy Rain/Snow")))</f>
        <v>Clear</v>
      </c>
      <c r="K254" s="38">
        <f>dataset_A!N254</f>
        <v>2</v>
      </c>
      <c r="L254" s="38">
        <f>dataset_A!O254</f>
        <v>81</v>
      </c>
      <c r="M254" s="38">
        <f>dataset_A!P254</f>
        <v>83</v>
      </c>
      <c r="N254" s="38" t="str">
        <f t="shared" si="3"/>
        <v>Ok</v>
      </c>
      <c r="O254" s="38" t="str">
        <f>IF(M254&gt;Analysis!$B$3*1.5,"High",IF(M254&lt;Analysis!$B$3*0.5,"Low","Medium"))</f>
        <v>Medium</v>
      </c>
      <c r="P254" s="38" t="str">
        <f>VLOOKUP(dataset_A!C254,$Q$2:$R$5,2,0)</f>
        <v>Spring</v>
      </c>
      <c r="S254" s="38" t="str">
        <f t="array" ref="S254">INDEX($R$2:$R$5,MATCH(dataset_A!C254,$Q$2:$Q$5,0))</f>
        <v>Spring</v>
      </c>
      <c r="T254" s="38" t="str">
        <f t="shared" si="4"/>
        <v>Match</v>
      </c>
    </row>
    <row r="255" ht="12.75" customHeight="1">
      <c r="A255" s="38">
        <f>dataset_A!A255</f>
        <v>342</v>
      </c>
      <c r="B255" s="39">
        <f>dataset_A!B255</f>
        <v>40558</v>
      </c>
      <c r="C255" s="38">
        <f>dataset_A!F255</f>
        <v>17</v>
      </c>
      <c r="D255" s="38">
        <f>dataset_A!H255</f>
        <v>6</v>
      </c>
      <c r="E255" s="38" t="b">
        <f>dataset_A!G255</f>
        <v>0</v>
      </c>
      <c r="F255" s="38" t="b">
        <f>dataset_A!G255</f>
        <v>0</v>
      </c>
      <c r="G255" s="38" t="str">
        <f t="shared" si="1"/>
        <v>Weekend</v>
      </c>
      <c r="H255" s="38" t="str">
        <f t="shared" si="2"/>
        <v>Afternoon</v>
      </c>
      <c r="I255" s="38" t="str">
        <f>IF(dataset_A!C255=1,"Spring",IF(dataset_A!C255=2,"Summer",IF(dataset_A!C255=3,"Fail","Winter")))</f>
        <v>Spring</v>
      </c>
      <c r="J255" s="38" t="str">
        <f>IF(dataset_A!I255=1,"Clear",IF(dataset_A!I255,"Mist/Cloudy",IF(dataset_A!I255=3,"Light Rain/Snow","Heavy Rain/Snow")))</f>
        <v>Mist/Cloudy</v>
      </c>
      <c r="K255" s="38">
        <f>dataset_A!N255</f>
        <v>29</v>
      </c>
      <c r="L255" s="38">
        <f>dataset_A!O255</f>
        <v>54</v>
      </c>
      <c r="M255" s="38">
        <f>dataset_A!P255</f>
        <v>83</v>
      </c>
      <c r="N255" s="38" t="str">
        <f t="shared" si="3"/>
        <v>Ok</v>
      </c>
      <c r="O255" s="38" t="str">
        <f>IF(M255&gt;Analysis!$B$3*1.5,"High",IF(M255&lt;Analysis!$B$3*0.5,"Low","Medium"))</f>
        <v>Medium</v>
      </c>
      <c r="P255" s="38" t="str">
        <f>VLOOKUP(dataset_A!C255,$Q$2:$R$5,2,0)</f>
        <v>Spring</v>
      </c>
      <c r="S255" s="38" t="str">
        <f t="array" ref="S255">INDEX($R$2:$R$5,MATCH(dataset_A!C255,$Q$2:$Q$5,0))</f>
        <v>Spring</v>
      </c>
      <c r="T255" s="38" t="str">
        <f t="shared" si="4"/>
        <v>Match</v>
      </c>
    </row>
    <row r="256" ht="12.75" customHeight="1">
      <c r="A256" s="38">
        <f>dataset_A!A256</f>
        <v>405</v>
      </c>
      <c r="B256" s="39">
        <f>dataset_A!B256</f>
        <v>40561</v>
      </c>
      <c r="C256" s="38">
        <f>dataset_A!F256</f>
        <v>20</v>
      </c>
      <c r="D256" s="38">
        <f>dataset_A!H256</f>
        <v>2</v>
      </c>
      <c r="E256" s="38" t="b">
        <f>dataset_A!G256</f>
        <v>0</v>
      </c>
      <c r="F256" s="38" t="b">
        <f>dataset_A!G256</f>
        <v>0</v>
      </c>
      <c r="G256" s="38" t="str">
        <f t="shared" si="1"/>
        <v>Weekday</v>
      </c>
      <c r="H256" s="38" t="str">
        <f t="shared" si="2"/>
        <v>Evening</v>
      </c>
      <c r="I256" s="38" t="str">
        <f>IF(dataset_A!C256=1,"Spring",IF(dataset_A!C256=2,"Summer",IF(dataset_A!C256=3,"Fail","Winter")))</f>
        <v>Spring</v>
      </c>
      <c r="J256" s="38" t="str">
        <f>IF(dataset_A!I256=1,"Clear",IF(dataset_A!I256,"Mist/Cloudy",IF(dataset_A!I256=3,"Light Rain/Snow","Heavy Rain/Snow")))</f>
        <v>Mist/Cloudy</v>
      </c>
      <c r="K256" s="38">
        <f>dataset_A!N256</f>
        <v>0</v>
      </c>
      <c r="L256" s="38">
        <f>dataset_A!O256</f>
        <v>83</v>
      </c>
      <c r="M256" s="38">
        <f>dataset_A!P256</f>
        <v>83</v>
      </c>
      <c r="N256" s="38" t="str">
        <f t="shared" si="3"/>
        <v>Ok</v>
      </c>
      <c r="O256" s="38" t="str">
        <f>IF(M256&gt;Analysis!$B$3*1.5,"High",IF(M256&lt;Analysis!$B$3*0.5,"Low","Medium"))</f>
        <v>Medium</v>
      </c>
      <c r="P256" s="38" t="str">
        <f>VLOOKUP(dataset_A!C256,$Q$2:$R$5,2,0)</f>
        <v>Spring</v>
      </c>
      <c r="S256" s="38" t="str">
        <f t="array" ref="S256">INDEX($R$2:$R$5,MATCH(dataset_A!C256,$Q$2:$Q$5,0))</f>
        <v>Spring</v>
      </c>
      <c r="T256" s="38" t="str">
        <f t="shared" si="4"/>
        <v>Match</v>
      </c>
    </row>
    <row r="257" ht="12.75" customHeight="1">
      <c r="A257" s="38">
        <f>dataset_A!A257</f>
        <v>495</v>
      </c>
      <c r="B257" s="39">
        <f>dataset_A!B257</f>
        <v>40565</v>
      </c>
      <c r="C257" s="38">
        <f>dataset_A!F257</f>
        <v>16</v>
      </c>
      <c r="D257" s="38">
        <f>dataset_A!H257</f>
        <v>6</v>
      </c>
      <c r="E257" s="38" t="b">
        <f>dataset_A!G257</f>
        <v>0</v>
      </c>
      <c r="F257" s="38" t="b">
        <f>dataset_A!G257</f>
        <v>0</v>
      </c>
      <c r="G257" s="38" t="str">
        <f t="shared" si="1"/>
        <v>Weekend</v>
      </c>
      <c r="H257" s="38" t="str">
        <f t="shared" si="2"/>
        <v>Afternoon</v>
      </c>
      <c r="I257" s="38" t="str">
        <f>IF(dataset_A!C257=1,"Spring",IF(dataset_A!C257=2,"Summer",IF(dataset_A!C257=3,"Fail","Winter")))</f>
        <v>Spring</v>
      </c>
      <c r="J257" s="38" t="str">
        <f>IF(dataset_A!I257=1,"Clear",IF(dataset_A!I257,"Mist/Cloudy",IF(dataset_A!I257=3,"Light Rain/Snow","Heavy Rain/Snow")))</f>
        <v>Clear</v>
      </c>
      <c r="K257" s="38">
        <f>dataset_A!N257</f>
        <v>11</v>
      </c>
      <c r="L257" s="38">
        <f>dataset_A!O257</f>
        <v>72</v>
      </c>
      <c r="M257" s="38">
        <f>dataset_A!P257</f>
        <v>83</v>
      </c>
      <c r="N257" s="38" t="str">
        <f t="shared" si="3"/>
        <v>Ok</v>
      </c>
      <c r="O257" s="38" t="str">
        <f>IF(M257&gt;Analysis!$B$3*1.5,"High",IF(M257&lt;Analysis!$B$3*0.5,"Low","Medium"))</f>
        <v>Medium</v>
      </c>
      <c r="P257" s="38" t="str">
        <f>VLOOKUP(dataset_A!C257,$Q$2:$R$5,2,0)</f>
        <v>Spring</v>
      </c>
      <c r="S257" s="38" t="str">
        <f t="array" ref="S257">INDEX($R$2:$R$5,MATCH(dataset_A!C257,$Q$2:$Q$5,0))</f>
        <v>Spring</v>
      </c>
      <c r="T257" s="38" t="str">
        <f t="shared" si="4"/>
        <v>Match</v>
      </c>
    </row>
    <row r="258" ht="12.75" customHeight="1">
      <c r="A258" s="38">
        <f>dataset_A!A258</f>
        <v>800</v>
      </c>
      <c r="B258" s="39">
        <f>dataset_A!B258</f>
        <v>40579</v>
      </c>
      <c r="C258" s="38">
        <f>dataset_A!F258</f>
        <v>18</v>
      </c>
      <c r="D258" s="38">
        <f>dataset_A!H258</f>
        <v>6</v>
      </c>
      <c r="E258" s="38" t="b">
        <f>dataset_A!G258</f>
        <v>0</v>
      </c>
      <c r="F258" s="38" t="b">
        <f>dataset_A!G258</f>
        <v>0</v>
      </c>
      <c r="G258" s="38" t="str">
        <f t="shared" si="1"/>
        <v>Weekend</v>
      </c>
      <c r="H258" s="38" t="str">
        <f t="shared" si="2"/>
        <v>Evening</v>
      </c>
      <c r="I258" s="38" t="str">
        <f>IF(dataset_A!C258=1,"Spring",IF(dataset_A!C258=2,"Summer",IF(dataset_A!C258=3,"Fail","Winter")))</f>
        <v>Spring</v>
      </c>
      <c r="J258" s="38" t="str">
        <f>IF(dataset_A!I258=1,"Clear",IF(dataset_A!I258,"Mist/Cloudy",IF(dataset_A!I258=3,"Light Rain/Snow","Heavy Rain/Snow")))</f>
        <v>Mist/Cloudy</v>
      </c>
      <c r="K258" s="38">
        <f>dataset_A!N258</f>
        <v>2</v>
      </c>
      <c r="L258" s="38">
        <f>dataset_A!O258</f>
        <v>81</v>
      </c>
      <c r="M258" s="38">
        <f>dataset_A!P258</f>
        <v>83</v>
      </c>
      <c r="N258" s="38" t="str">
        <f t="shared" si="3"/>
        <v>Ok</v>
      </c>
      <c r="O258" s="38" t="str">
        <f>IF(M258&gt;Analysis!$B$3*1.5,"High",IF(M258&lt;Analysis!$B$3*0.5,"Low","Medium"))</f>
        <v>Medium</v>
      </c>
      <c r="P258" s="38" t="str">
        <f>VLOOKUP(dataset_A!C258,$Q$2:$R$5,2,0)</f>
        <v>Spring</v>
      </c>
      <c r="S258" s="38" t="str">
        <f t="array" ref="S258">INDEX($R$2:$R$5,MATCH(dataset_A!C258,$Q$2:$Q$5,0))</f>
        <v>Spring</v>
      </c>
      <c r="T258" s="38" t="str">
        <f t="shared" si="4"/>
        <v>Match</v>
      </c>
    </row>
    <row r="259" ht="12.75" customHeight="1">
      <c r="A259" s="38">
        <f>dataset_A!A259</f>
        <v>870</v>
      </c>
      <c r="B259" s="39">
        <f>dataset_A!B259</f>
        <v>40582</v>
      </c>
      <c r="C259" s="38">
        <f>dataset_A!F259</f>
        <v>16</v>
      </c>
      <c r="D259" s="38">
        <f>dataset_A!H259</f>
        <v>2</v>
      </c>
      <c r="E259" s="38" t="b">
        <f>dataset_A!G259</f>
        <v>0</v>
      </c>
      <c r="F259" s="38" t="b">
        <f>dataset_A!G259</f>
        <v>0</v>
      </c>
      <c r="G259" s="38" t="str">
        <f t="shared" si="1"/>
        <v>Weekday</v>
      </c>
      <c r="H259" s="38" t="str">
        <f t="shared" si="2"/>
        <v>Afternoon</v>
      </c>
      <c r="I259" s="38" t="str">
        <f>IF(dataset_A!C259=1,"Spring",IF(dataset_A!C259=2,"Summer",IF(dataset_A!C259=3,"Fail","Winter")))</f>
        <v>Spring</v>
      </c>
      <c r="J259" s="38" t="str">
        <f>IF(dataset_A!I259=1,"Clear",IF(dataset_A!I259,"Mist/Cloudy",IF(dataset_A!I259=3,"Light Rain/Snow","Heavy Rain/Snow")))</f>
        <v>Clear</v>
      </c>
      <c r="K259" s="38">
        <f>dataset_A!N259</f>
        <v>4</v>
      </c>
      <c r="L259" s="38">
        <f>dataset_A!O259</f>
        <v>79</v>
      </c>
      <c r="M259" s="38">
        <f>dataset_A!P259</f>
        <v>83</v>
      </c>
      <c r="N259" s="38" t="str">
        <f t="shared" si="3"/>
        <v>Ok</v>
      </c>
      <c r="O259" s="38" t="str">
        <f>IF(M259&gt;Analysis!$B$3*1.5,"High",IF(M259&lt;Analysis!$B$3*0.5,"Low","Medium"))</f>
        <v>Medium</v>
      </c>
      <c r="P259" s="38" t="str">
        <f>VLOOKUP(dataset_A!C259,$Q$2:$R$5,2,0)</f>
        <v>Spring</v>
      </c>
      <c r="S259" s="38" t="str">
        <f t="array" ref="S259">INDEX($R$2:$R$5,MATCH(dataset_A!C259,$Q$2:$Q$5,0))</f>
        <v>Spring</v>
      </c>
      <c r="T259" s="38" t="str">
        <f t="shared" si="4"/>
        <v>Match</v>
      </c>
    </row>
    <row r="260" ht="12.75" customHeight="1">
      <c r="A260" s="38">
        <f>dataset_A!A260</f>
        <v>898</v>
      </c>
      <c r="B260" s="39">
        <f>dataset_A!B260</f>
        <v>40583</v>
      </c>
      <c r="C260" s="38">
        <f>dataset_A!F260</f>
        <v>21</v>
      </c>
      <c r="D260" s="38">
        <f>dataset_A!H260</f>
        <v>3</v>
      </c>
      <c r="E260" s="38" t="b">
        <f>dataset_A!G260</f>
        <v>0</v>
      </c>
      <c r="F260" s="38" t="b">
        <f>dataset_A!G260</f>
        <v>0</v>
      </c>
      <c r="G260" s="38" t="str">
        <f t="shared" si="1"/>
        <v>Weekday</v>
      </c>
      <c r="H260" s="38" t="str">
        <f t="shared" si="2"/>
        <v>Evening</v>
      </c>
      <c r="I260" s="38" t="str">
        <f>IF(dataset_A!C260=1,"Spring",IF(dataset_A!C260=2,"Summer",IF(dataset_A!C260=3,"Fail","Winter")))</f>
        <v>Spring</v>
      </c>
      <c r="J260" s="38" t="str">
        <f>IF(dataset_A!I260=1,"Clear",IF(dataset_A!I260,"Mist/Cloudy",IF(dataset_A!I260=3,"Light Rain/Snow","Heavy Rain/Snow")))</f>
        <v>Mist/Cloudy</v>
      </c>
      <c r="K260" s="38">
        <f>dataset_A!N260</f>
        <v>0</v>
      </c>
      <c r="L260" s="38">
        <f>dataset_A!O260</f>
        <v>83</v>
      </c>
      <c r="M260" s="38">
        <f>dataset_A!P260</f>
        <v>83</v>
      </c>
      <c r="N260" s="38" t="str">
        <f t="shared" si="3"/>
        <v>Ok</v>
      </c>
      <c r="O260" s="38" t="str">
        <f>IF(M260&gt;Analysis!$B$3*1.5,"High",IF(M260&lt;Analysis!$B$3*0.5,"Low","Medium"))</f>
        <v>Medium</v>
      </c>
      <c r="P260" s="38" t="str">
        <f>VLOOKUP(dataset_A!C260,$Q$2:$R$5,2,0)</f>
        <v>Spring</v>
      </c>
      <c r="S260" s="38" t="str">
        <f t="array" ref="S260">INDEX($R$2:$R$5,MATCH(dataset_A!C260,$Q$2:$Q$5,0))</f>
        <v>Spring</v>
      </c>
      <c r="T260" s="38" t="str">
        <f t="shared" si="4"/>
        <v>Match</v>
      </c>
    </row>
    <row r="261" ht="12.75" customHeight="1">
      <c r="A261" s="38">
        <f>dataset_A!A261</f>
        <v>201</v>
      </c>
      <c r="B261" s="39">
        <f>dataset_A!B261</f>
        <v>40552</v>
      </c>
      <c r="C261" s="38">
        <f>dataset_A!F261</f>
        <v>15</v>
      </c>
      <c r="D261" s="38">
        <f>dataset_A!H261</f>
        <v>0</v>
      </c>
      <c r="E261" s="38" t="b">
        <f>dataset_A!G261</f>
        <v>0</v>
      </c>
      <c r="F261" s="38" t="b">
        <f>dataset_A!G261</f>
        <v>0</v>
      </c>
      <c r="G261" s="38" t="str">
        <f t="shared" si="1"/>
        <v>Weekend</v>
      </c>
      <c r="H261" s="38" t="str">
        <f t="shared" si="2"/>
        <v>Afternoon</v>
      </c>
      <c r="I261" s="38" t="str">
        <f>IF(dataset_A!C261=1,"Spring",IF(dataset_A!C261=2,"Summer",IF(dataset_A!C261=3,"Fail","Winter")))</f>
        <v>Spring</v>
      </c>
      <c r="J261" s="38" t="str">
        <f>IF(dataset_A!I261=1,"Clear",IF(dataset_A!I261,"Mist/Cloudy",IF(dataset_A!I261=3,"Light Rain/Snow","Heavy Rain/Snow")))</f>
        <v>Clear</v>
      </c>
      <c r="K261" s="38">
        <f>dataset_A!N261</f>
        <v>5</v>
      </c>
      <c r="L261" s="38">
        <f>dataset_A!O261</f>
        <v>77</v>
      </c>
      <c r="M261" s="38">
        <f>dataset_A!P261</f>
        <v>82</v>
      </c>
      <c r="N261" s="38" t="str">
        <f t="shared" si="3"/>
        <v>Ok</v>
      </c>
      <c r="O261" s="38" t="str">
        <f>IF(M261&gt;Analysis!$B$3*1.5,"High",IF(M261&lt;Analysis!$B$3*0.5,"Low","Medium"))</f>
        <v>Medium</v>
      </c>
      <c r="P261" s="38" t="str">
        <f>VLOOKUP(dataset_A!C261,$Q$2:$R$5,2,0)</f>
        <v>Spring</v>
      </c>
      <c r="S261" s="38" t="str">
        <f t="array" ref="S261">INDEX($R$2:$R$5,MATCH(dataset_A!C261,$Q$2:$Q$5,0))</f>
        <v>Spring</v>
      </c>
      <c r="T261" s="38" t="str">
        <f t="shared" si="4"/>
        <v>Match</v>
      </c>
    </row>
    <row r="262" ht="12.75" customHeight="1">
      <c r="A262" s="38">
        <f>dataset_A!A262</f>
        <v>389</v>
      </c>
      <c r="B262" s="39">
        <f>dataset_A!B262</f>
        <v>40560</v>
      </c>
      <c r="C262" s="38">
        <f>dataset_A!F262</f>
        <v>16</v>
      </c>
      <c r="D262" s="38">
        <f>dataset_A!H262</f>
        <v>1</v>
      </c>
      <c r="E262" s="38" t="b">
        <f>dataset_A!G262</f>
        <v>1</v>
      </c>
      <c r="F262" s="38" t="b">
        <f>dataset_A!G262</f>
        <v>1</v>
      </c>
      <c r="G262" s="38" t="str">
        <f t="shared" si="1"/>
        <v>Weekday</v>
      </c>
      <c r="H262" s="38" t="str">
        <f t="shared" si="2"/>
        <v>Afternoon</v>
      </c>
      <c r="I262" s="38" t="str">
        <f>IF(dataset_A!C262=1,"Spring",IF(dataset_A!C262=2,"Summer",IF(dataset_A!C262=3,"Fail","Winter")))</f>
        <v>Spring</v>
      </c>
      <c r="J262" s="38" t="str">
        <f>IF(dataset_A!I262=1,"Clear",IF(dataset_A!I262,"Mist/Cloudy",IF(dataset_A!I262=3,"Light Rain/Snow","Heavy Rain/Snow")))</f>
        <v>Mist/Cloudy</v>
      </c>
      <c r="K262" s="38">
        <f>dataset_A!N262</f>
        <v>6</v>
      </c>
      <c r="L262" s="38">
        <f>dataset_A!O262</f>
        <v>76</v>
      </c>
      <c r="M262" s="38">
        <f>dataset_A!P262</f>
        <v>82</v>
      </c>
      <c r="N262" s="38" t="str">
        <f t="shared" si="3"/>
        <v>Ok</v>
      </c>
      <c r="O262" s="38" t="str">
        <f>IF(M262&gt;Analysis!$B$3*1.5,"High",IF(M262&lt;Analysis!$B$3*0.5,"Low","Medium"))</f>
        <v>Medium</v>
      </c>
      <c r="P262" s="38" t="str">
        <f>VLOOKUP(dataset_A!C262,$Q$2:$R$5,2,0)</f>
        <v>Spring</v>
      </c>
      <c r="S262" s="38" t="str">
        <f t="array" ref="S262">INDEX($R$2:$R$5,MATCH(dataset_A!C262,$Q$2:$Q$5,0))</f>
        <v>Spring</v>
      </c>
      <c r="T262" s="38" t="str">
        <f t="shared" si="4"/>
        <v>Match</v>
      </c>
    </row>
    <row r="263" ht="12.75" customHeight="1">
      <c r="A263" s="38">
        <f>dataset_A!A263</f>
        <v>423</v>
      </c>
      <c r="B263" s="39">
        <f>dataset_A!B263</f>
        <v>40562</v>
      </c>
      <c r="C263" s="38">
        <f>dataset_A!F263</f>
        <v>15</v>
      </c>
      <c r="D263" s="38">
        <f>dataset_A!H263</f>
        <v>3</v>
      </c>
      <c r="E263" s="38" t="b">
        <f>dataset_A!G263</f>
        <v>0</v>
      </c>
      <c r="F263" s="38" t="b">
        <f>dataset_A!G263</f>
        <v>0</v>
      </c>
      <c r="G263" s="38" t="str">
        <f t="shared" si="1"/>
        <v>Weekday</v>
      </c>
      <c r="H263" s="38" t="str">
        <f t="shared" si="2"/>
        <v>Afternoon</v>
      </c>
      <c r="I263" s="38" t="str">
        <f>IF(dataset_A!C263=1,"Spring",IF(dataset_A!C263=2,"Summer",IF(dataset_A!C263=3,"Fail","Winter")))</f>
        <v>Spring</v>
      </c>
      <c r="J263" s="38" t="str">
        <f>IF(dataset_A!I263=1,"Clear",IF(dataset_A!I263,"Mist/Cloudy",IF(dataset_A!I263=3,"Light Rain/Snow","Heavy Rain/Snow")))</f>
        <v>Clear</v>
      </c>
      <c r="K263" s="38">
        <f>dataset_A!N263</f>
        <v>4</v>
      </c>
      <c r="L263" s="38">
        <f>dataset_A!O263</f>
        <v>78</v>
      </c>
      <c r="M263" s="38">
        <f>dataset_A!P263</f>
        <v>82</v>
      </c>
      <c r="N263" s="38" t="str">
        <f t="shared" si="3"/>
        <v>Ok</v>
      </c>
      <c r="O263" s="38" t="str">
        <f>IF(M263&gt;Analysis!$B$3*1.5,"High",IF(M263&lt;Analysis!$B$3*0.5,"Low","Medium"))</f>
        <v>Medium</v>
      </c>
      <c r="P263" s="38" t="str">
        <f>VLOOKUP(dataset_A!C263,$Q$2:$R$5,2,0)</f>
        <v>Spring</v>
      </c>
      <c r="S263" s="38" t="str">
        <f t="array" ref="S263">INDEX($R$2:$R$5,MATCH(dataset_A!C263,$Q$2:$Q$5,0))</f>
        <v>Spring</v>
      </c>
      <c r="T263" s="38" t="str">
        <f t="shared" si="4"/>
        <v>Match</v>
      </c>
    </row>
    <row r="264" ht="12.75" customHeight="1">
      <c r="A264" s="38">
        <f>dataset_A!A264</f>
        <v>771</v>
      </c>
      <c r="B264" s="39">
        <f>dataset_A!B264</f>
        <v>40578</v>
      </c>
      <c r="C264" s="38">
        <f>dataset_A!F264</f>
        <v>13</v>
      </c>
      <c r="D264" s="38">
        <f>dataset_A!H264</f>
        <v>5</v>
      </c>
      <c r="E264" s="38" t="b">
        <f>dataset_A!G264</f>
        <v>0</v>
      </c>
      <c r="F264" s="38" t="b">
        <f>dataset_A!G264</f>
        <v>0</v>
      </c>
      <c r="G264" s="38" t="str">
        <f t="shared" si="1"/>
        <v>Weekday</v>
      </c>
      <c r="H264" s="38" t="str">
        <f t="shared" si="2"/>
        <v>Afternoon</v>
      </c>
      <c r="I264" s="38" t="str">
        <f>IF(dataset_A!C264=1,"Spring",IF(dataset_A!C264=2,"Summer",IF(dataset_A!C264=3,"Fail","Winter")))</f>
        <v>Spring</v>
      </c>
      <c r="J264" s="38" t="str">
        <f>IF(dataset_A!I264=1,"Clear",IF(dataset_A!I264,"Mist/Cloudy",IF(dataset_A!I264=3,"Light Rain/Snow","Heavy Rain/Snow")))</f>
        <v>Mist/Cloudy</v>
      </c>
      <c r="K264" s="38">
        <f>dataset_A!N264</f>
        <v>9</v>
      </c>
      <c r="L264" s="38">
        <f>dataset_A!O264</f>
        <v>73</v>
      </c>
      <c r="M264" s="38">
        <f>dataset_A!P264</f>
        <v>82</v>
      </c>
      <c r="N264" s="38" t="str">
        <f t="shared" si="3"/>
        <v>Ok</v>
      </c>
      <c r="O264" s="38" t="str">
        <f>IF(M264&gt;Analysis!$B$3*1.5,"High",IF(M264&lt;Analysis!$B$3*0.5,"Low","Medium"))</f>
        <v>Medium</v>
      </c>
      <c r="P264" s="38" t="str">
        <f>VLOOKUP(dataset_A!C264,$Q$2:$R$5,2,0)</f>
        <v>Spring</v>
      </c>
      <c r="S264" s="38" t="str">
        <f t="array" ref="S264">INDEX($R$2:$R$5,MATCH(dataset_A!C264,$Q$2:$Q$5,0))</f>
        <v>Spring</v>
      </c>
      <c r="T264" s="38" t="str">
        <f t="shared" si="4"/>
        <v>Match</v>
      </c>
    </row>
    <row r="265" ht="12.75" customHeight="1">
      <c r="A265" s="38">
        <f>dataset_A!A265</f>
        <v>263</v>
      </c>
      <c r="B265" s="39">
        <f>dataset_A!B265</f>
        <v>40555</v>
      </c>
      <c r="C265" s="38">
        <f>dataset_A!F265</f>
        <v>9</v>
      </c>
      <c r="D265" s="38">
        <f>dataset_A!H265</f>
        <v>3</v>
      </c>
      <c r="E265" s="38" t="b">
        <f>dataset_A!G265</f>
        <v>0</v>
      </c>
      <c r="F265" s="38" t="b">
        <f>dataset_A!G265</f>
        <v>0</v>
      </c>
      <c r="G265" s="38" t="str">
        <f t="shared" si="1"/>
        <v>Weekday</v>
      </c>
      <c r="H265" s="38" t="str">
        <f t="shared" si="2"/>
        <v>Morning</v>
      </c>
      <c r="I265" s="38" t="str">
        <f>IF(dataset_A!C265=1,"Spring",IF(dataset_A!C265=2,"Summer",IF(dataset_A!C265=3,"Fail","Winter")))</f>
        <v>Spring</v>
      </c>
      <c r="J265" s="38" t="str">
        <f>IF(dataset_A!I265=1,"Clear",IF(dataset_A!I265,"Mist/Cloudy",IF(dataset_A!I265=3,"Light Rain/Snow","Heavy Rain/Snow")))</f>
        <v>Clear</v>
      </c>
      <c r="K265" s="38">
        <f>dataset_A!N265</f>
        <v>3</v>
      </c>
      <c r="L265" s="38">
        <f>dataset_A!O265</f>
        <v>78</v>
      </c>
      <c r="M265" s="38">
        <f>dataset_A!P265</f>
        <v>81</v>
      </c>
      <c r="N265" s="38" t="str">
        <f t="shared" si="3"/>
        <v>Ok</v>
      </c>
      <c r="O265" s="38" t="str">
        <f>IF(M265&gt;Analysis!$B$3*1.5,"High",IF(M265&lt;Analysis!$B$3*0.5,"Low","Medium"))</f>
        <v>Medium</v>
      </c>
      <c r="P265" s="38" t="str">
        <f>VLOOKUP(dataset_A!C265,$Q$2:$R$5,2,0)</f>
        <v>Spring</v>
      </c>
      <c r="S265" s="38" t="str">
        <f t="array" ref="S265">INDEX($R$2:$R$5,MATCH(dataset_A!C265,$Q$2:$Q$5,0))</f>
        <v>Spring</v>
      </c>
      <c r="T265" s="38" t="str">
        <f t="shared" si="4"/>
        <v>Match</v>
      </c>
    </row>
    <row r="266" ht="12.75" customHeight="1">
      <c r="A266" s="38">
        <f>dataset_A!A266</f>
        <v>446</v>
      </c>
      <c r="B266" s="39">
        <f>dataset_A!B266</f>
        <v>40563</v>
      </c>
      <c r="C266" s="38">
        <f>dataset_A!F266</f>
        <v>14</v>
      </c>
      <c r="D266" s="38">
        <f>dataset_A!H266</f>
        <v>4</v>
      </c>
      <c r="E266" s="38" t="b">
        <f>dataset_A!G266</f>
        <v>0</v>
      </c>
      <c r="F266" s="38" t="b">
        <f>dataset_A!G266</f>
        <v>0</v>
      </c>
      <c r="G266" s="38" t="str">
        <f t="shared" si="1"/>
        <v>Weekday</v>
      </c>
      <c r="H266" s="38" t="str">
        <f t="shared" si="2"/>
        <v>Afternoon</v>
      </c>
      <c r="I266" s="38" t="str">
        <f>IF(dataset_A!C266=1,"Spring",IF(dataset_A!C266=2,"Summer",IF(dataset_A!C266=3,"Fail","Winter")))</f>
        <v>Spring</v>
      </c>
      <c r="J266" s="38" t="str">
        <f>IF(dataset_A!I266=1,"Clear",IF(dataset_A!I266,"Mist/Cloudy",IF(dataset_A!I266=3,"Light Rain/Snow","Heavy Rain/Snow")))</f>
        <v>Mist/Cloudy</v>
      </c>
      <c r="K266" s="38">
        <f>dataset_A!N266</f>
        <v>6</v>
      </c>
      <c r="L266" s="38">
        <f>dataset_A!O266</f>
        <v>75</v>
      </c>
      <c r="M266" s="38">
        <f>dataset_A!P266</f>
        <v>81</v>
      </c>
      <c r="N266" s="38" t="str">
        <f t="shared" si="3"/>
        <v>Ok</v>
      </c>
      <c r="O266" s="38" t="str">
        <f>IF(M266&gt;Analysis!$B$3*1.5,"High",IF(M266&lt;Analysis!$B$3*0.5,"Low","Medium"))</f>
        <v>Medium</v>
      </c>
      <c r="P266" s="38" t="str">
        <f>VLOOKUP(dataset_A!C266,$Q$2:$R$5,2,0)</f>
        <v>Spring</v>
      </c>
      <c r="S266" s="38" t="str">
        <f t="array" ref="S266">INDEX($R$2:$R$5,MATCH(dataset_A!C266,$Q$2:$Q$5,0))</f>
        <v>Spring</v>
      </c>
      <c r="T266" s="38" t="str">
        <f t="shared" si="4"/>
        <v>Match</v>
      </c>
    </row>
    <row r="267" ht="12.75" customHeight="1">
      <c r="A267" s="38">
        <f>dataset_A!A267</f>
        <v>545</v>
      </c>
      <c r="B267" s="39">
        <f>dataset_A!B267</f>
        <v>40567</v>
      </c>
      <c r="C267" s="38">
        <f>dataset_A!F267</f>
        <v>20</v>
      </c>
      <c r="D267" s="38">
        <f>dataset_A!H267</f>
        <v>1</v>
      </c>
      <c r="E267" s="38" t="b">
        <f>dataset_A!G267</f>
        <v>0</v>
      </c>
      <c r="F267" s="38" t="b">
        <f>dataset_A!G267</f>
        <v>0</v>
      </c>
      <c r="G267" s="38" t="str">
        <f t="shared" si="1"/>
        <v>Weekday</v>
      </c>
      <c r="H267" s="38" t="str">
        <f t="shared" si="2"/>
        <v>Evening</v>
      </c>
      <c r="I267" s="38" t="str">
        <f>IF(dataset_A!C267=1,"Spring",IF(dataset_A!C267=2,"Summer",IF(dataset_A!C267=3,"Fail","Winter")))</f>
        <v>Spring</v>
      </c>
      <c r="J267" s="38" t="str">
        <f>IF(dataset_A!I267=1,"Clear",IF(dataset_A!I267,"Mist/Cloudy",IF(dataset_A!I267=3,"Light Rain/Snow","Heavy Rain/Snow")))</f>
        <v>Clear</v>
      </c>
      <c r="K267" s="38">
        <f>dataset_A!N267</f>
        <v>1</v>
      </c>
      <c r="L267" s="38">
        <f>dataset_A!O267</f>
        <v>80</v>
      </c>
      <c r="M267" s="38">
        <f>dataset_A!P267</f>
        <v>81</v>
      </c>
      <c r="N267" s="38" t="str">
        <f t="shared" si="3"/>
        <v>Ok</v>
      </c>
      <c r="O267" s="38" t="str">
        <f>IF(M267&gt;Analysis!$B$3*1.5,"High",IF(M267&lt;Analysis!$B$3*0.5,"Low","Medium"))</f>
        <v>Medium</v>
      </c>
      <c r="P267" s="38" t="str">
        <f>VLOOKUP(dataset_A!C267,$Q$2:$R$5,2,0)</f>
        <v>Spring</v>
      </c>
      <c r="S267" s="38" t="str">
        <f t="array" ref="S267">INDEX($R$2:$R$5,MATCH(dataset_A!C267,$Q$2:$Q$5,0))</f>
        <v>Spring</v>
      </c>
      <c r="T267" s="38" t="str">
        <f t="shared" si="4"/>
        <v>Match</v>
      </c>
    </row>
    <row r="268" ht="12.75" customHeight="1">
      <c r="A268" s="38">
        <f>dataset_A!A268</f>
        <v>385</v>
      </c>
      <c r="B268" s="39">
        <f>dataset_A!B268</f>
        <v>40560</v>
      </c>
      <c r="C268" s="38">
        <f>dataset_A!F268</f>
        <v>12</v>
      </c>
      <c r="D268" s="38">
        <f>dataset_A!H268</f>
        <v>1</v>
      </c>
      <c r="E268" s="38" t="b">
        <f>dataset_A!G268</f>
        <v>1</v>
      </c>
      <c r="F268" s="38" t="b">
        <f>dataset_A!G268</f>
        <v>1</v>
      </c>
      <c r="G268" s="38" t="str">
        <f t="shared" si="1"/>
        <v>Weekday</v>
      </c>
      <c r="H268" s="38" t="str">
        <f t="shared" si="2"/>
        <v>Afternoon</v>
      </c>
      <c r="I268" s="38" t="str">
        <f>IF(dataset_A!C268=1,"Spring",IF(dataset_A!C268=2,"Summer",IF(dataset_A!C268=3,"Fail","Winter")))</f>
        <v>Spring</v>
      </c>
      <c r="J268" s="38" t="str">
        <f>IF(dataset_A!I268=1,"Clear",IF(dataset_A!I268,"Mist/Cloudy",IF(dataset_A!I268=3,"Light Rain/Snow","Heavy Rain/Snow")))</f>
        <v>Mist/Cloudy</v>
      </c>
      <c r="K268" s="38">
        <f>dataset_A!N268</f>
        <v>10</v>
      </c>
      <c r="L268" s="38">
        <f>dataset_A!O268</f>
        <v>70</v>
      </c>
      <c r="M268" s="38">
        <f>dataset_A!P268</f>
        <v>80</v>
      </c>
      <c r="N268" s="38" t="str">
        <f t="shared" si="3"/>
        <v>Ok</v>
      </c>
      <c r="O268" s="38" t="str">
        <f>IF(M268&gt;Analysis!$B$3*1.5,"High",IF(M268&lt;Analysis!$B$3*0.5,"Low","Medium"))</f>
        <v>Medium</v>
      </c>
      <c r="P268" s="38" t="str">
        <f>VLOOKUP(dataset_A!C268,$Q$2:$R$5,2,0)</f>
        <v>Spring</v>
      </c>
      <c r="S268" s="38" t="str">
        <f t="array" ref="S268">INDEX($R$2:$R$5,MATCH(dataset_A!C268,$Q$2:$Q$5,0))</f>
        <v>Spring</v>
      </c>
      <c r="T268" s="38" t="str">
        <f t="shared" si="4"/>
        <v>Match</v>
      </c>
    </row>
    <row r="269" ht="12.75" customHeight="1">
      <c r="A269" s="38">
        <f>dataset_A!A269</f>
        <v>611</v>
      </c>
      <c r="B269" s="39">
        <f>dataset_A!B269</f>
        <v>40571</v>
      </c>
      <c r="C269" s="38">
        <f>dataset_A!F269</f>
        <v>16</v>
      </c>
      <c r="D269" s="38">
        <f>dataset_A!H269</f>
        <v>5</v>
      </c>
      <c r="E269" s="38" t="b">
        <f>dataset_A!G269</f>
        <v>0</v>
      </c>
      <c r="F269" s="38" t="b">
        <f>dataset_A!G269</f>
        <v>0</v>
      </c>
      <c r="G269" s="38" t="str">
        <f t="shared" si="1"/>
        <v>Weekday</v>
      </c>
      <c r="H269" s="38" t="str">
        <f t="shared" si="2"/>
        <v>Afternoon</v>
      </c>
      <c r="I269" s="38" t="str">
        <f>IF(dataset_A!C269=1,"Spring",IF(dataset_A!C269=2,"Summer",IF(dataset_A!C269=3,"Fail","Winter")))</f>
        <v>Spring</v>
      </c>
      <c r="J269" s="38" t="str">
        <f>IF(dataset_A!I269=1,"Clear",IF(dataset_A!I269,"Mist/Cloudy",IF(dataset_A!I269=3,"Light Rain/Snow","Heavy Rain/Snow")))</f>
        <v>Clear</v>
      </c>
      <c r="K269" s="38">
        <f>dataset_A!N269</f>
        <v>10</v>
      </c>
      <c r="L269" s="38">
        <f>dataset_A!O269</f>
        <v>70</v>
      </c>
      <c r="M269" s="38">
        <f>dataset_A!P269</f>
        <v>80</v>
      </c>
      <c r="N269" s="38" t="str">
        <f t="shared" si="3"/>
        <v>Ok</v>
      </c>
      <c r="O269" s="38" t="str">
        <f>IF(M269&gt;Analysis!$B$3*1.5,"High",IF(M269&lt;Analysis!$B$3*0.5,"Low","Medium"))</f>
        <v>Medium</v>
      </c>
      <c r="P269" s="38" t="str">
        <f>VLOOKUP(dataset_A!C269,$Q$2:$R$5,2,0)</f>
        <v>Spring</v>
      </c>
      <c r="S269" s="38" t="str">
        <f t="array" ref="S269">INDEX($R$2:$R$5,MATCH(dataset_A!C269,$Q$2:$Q$5,0))</f>
        <v>Spring</v>
      </c>
      <c r="T269" s="38" t="str">
        <f t="shared" si="4"/>
        <v>Match</v>
      </c>
    </row>
    <row r="270" ht="12.75" customHeight="1">
      <c r="A270" s="38">
        <f>dataset_A!A270</f>
        <v>916</v>
      </c>
      <c r="B270" s="39">
        <f>dataset_A!B270</f>
        <v>40584</v>
      </c>
      <c r="C270" s="38">
        <f>dataset_A!F270</f>
        <v>16</v>
      </c>
      <c r="D270" s="38">
        <f>dataset_A!H270</f>
        <v>4</v>
      </c>
      <c r="E270" s="38" t="b">
        <f>dataset_A!G270</f>
        <v>0</v>
      </c>
      <c r="F270" s="38" t="b">
        <f>dataset_A!G270</f>
        <v>0</v>
      </c>
      <c r="G270" s="38" t="str">
        <f t="shared" si="1"/>
        <v>Weekday</v>
      </c>
      <c r="H270" s="38" t="str">
        <f t="shared" si="2"/>
        <v>Afternoon</v>
      </c>
      <c r="I270" s="38" t="str">
        <f>IF(dataset_A!C270=1,"Spring",IF(dataset_A!C270=2,"Summer",IF(dataset_A!C270=3,"Fail","Winter")))</f>
        <v>Spring</v>
      </c>
      <c r="J270" s="38" t="str">
        <f>IF(dataset_A!I270=1,"Clear",IF(dataset_A!I270,"Mist/Cloudy",IF(dataset_A!I270=3,"Light Rain/Snow","Heavy Rain/Snow")))</f>
        <v>Clear</v>
      </c>
      <c r="K270" s="38">
        <f>dataset_A!N270</f>
        <v>4</v>
      </c>
      <c r="L270" s="38">
        <f>dataset_A!O270</f>
        <v>76</v>
      </c>
      <c r="M270" s="38">
        <f>dataset_A!P270</f>
        <v>80</v>
      </c>
      <c r="N270" s="38" t="str">
        <f t="shared" si="3"/>
        <v>Ok</v>
      </c>
      <c r="O270" s="38" t="str">
        <f>IF(M270&gt;Analysis!$B$3*1.5,"High",IF(M270&lt;Analysis!$B$3*0.5,"Low","Medium"))</f>
        <v>Medium</v>
      </c>
      <c r="P270" s="38" t="str">
        <f>VLOOKUP(dataset_A!C270,$Q$2:$R$5,2,0)</f>
        <v>Spring</v>
      </c>
      <c r="S270" s="38" t="str">
        <f t="array" ref="S270">INDEX($R$2:$R$5,MATCH(dataset_A!C270,$Q$2:$Q$5,0))</f>
        <v>Spring</v>
      </c>
      <c r="T270" s="38" t="str">
        <f t="shared" si="4"/>
        <v>Match</v>
      </c>
    </row>
    <row r="271" ht="12.75" customHeight="1">
      <c r="A271" s="38">
        <f>dataset_A!A271</f>
        <v>104</v>
      </c>
      <c r="B271" s="39">
        <f>dataset_A!B271</f>
        <v>40548</v>
      </c>
      <c r="C271" s="38">
        <f>dataset_A!F271</f>
        <v>12</v>
      </c>
      <c r="D271" s="38">
        <f>dataset_A!H271</f>
        <v>3</v>
      </c>
      <c r="E271" s="38" t="b">
        <f>dataset_A!G271</f>
        <v>0</v>
      </c>
      <c r="F271" s="38" t="b">
        <f>dataset_A!G271</f>
        <v>0</v>
      </c>
      <c r="G271" s="38" t="str">
        <f t="shared" si="1"/>
        <v>Weekday</v>
      </c>
      <c r="H271" s="38" t="str">
        <f t="shared" si="2"/>
        <v>Afternoon</v>
      </c>
      <c r="I271" s="38" t="str">
        <f>IF(dataset_A!C271=1,"Spring",IF(dataset_A!C271=2,"Summer",IF(dataset_A!C271=3,"Fail","Winter")))</f>
        <v>Spring</v>
      </c>
      <c r="J271" s="38" t="str">
        <f>IF(dataset_A!I271=1,"Clear",IF(dataset_A!I271,"Mist/Cloudy",IF(dataset_A!I271=3,"Light Rain/Snow","Heavy Rain/Snow")))</f>
        <v>Clear</v>
      </c>
      <c r="K271" s="38">
        <f>dataset_A!N271</f>
        <v>5</v>
      </c>
      <c r="L271" s="38">
        <f>dataset_A!O271</f>
        <v>74</v>
      </c>
      <c r="M271" s="38">
        <f>dataset_A!P271</f>
        <v>79</v>
      </c>
      <c r="N271" s="38" t="str">
        <f t="shared" si="3"/>
        <v>Ok</v>
      </c>
      <c r="O271" s="38" t="str">
        <f>IF(M271&gt;Analysis!$B$3*1.5,"High",IF(M271&lt;Analysis!$B$3*0.5,"Low","Medium"))</f>
        <v>Medium</v>
      </c>
      <c r="P271" s="38" t="str">
        <f>VLOOKUP(dataset_A!C271,$Q$2:$R$5,2,0)</f>
        <v>Spring</v>
      </c>
      <c r="S271" s="38" t="str">
        <f t="array" ref="S271">INDEX($R$2:$R$5,MATCH(dataset_A!C271,$Q$2:$Q$5,0))</f>
        <v>Spring</v>
      </c>
      <c r="T271" s="38" t="str">
        <f t="shared" si="4"/>
        <v>Match</v>
      </c>
    </row>
    <row r="272" ht="12.75" customHeight="1">
      <c r="A272" s="38">
        <f>dataset_A!A272</f>
        <v>359</v>
      </c>
      <c r="B272" s="39">
        <f>dataset_A!B272</f>
        <v>40559</v>
      </c>
      <c r="C272" s="38">
        <f>dataset_A!F272</f>
        <v>10</v>
      </c>
      <c r="D272" s="38">
        <f>dataset_A!H272</f>
        <v>0</v>
      </c>
      <c r="E272" s="38" t="b">
        <f>dataset_A!G272</f>
        <v>0</v>
      </c>
      <c r="F272" s="38" t="b">
        <f>dataset_A!G272</f>
        <v>0</v>
      </c>
      <c r="G272" s="38" t="str">
        <f t="shared" si="1"/>
        <v>Weekend</v>
      </c>
      <c r="H272" s="38" t="str">
        <f t="shared" si="2"/>
        <v>Morning</v>
      </c>
      <c r="I272" s="38" t="str">
        <f>IF(dataset_A!C272=1,"Spring",IF(dataset_A!C272=2,"Summer",IF(dataset_A!C272=3,"Fail","Winter")))</f>
        <v>Spring</v>
      </c>
      <c r="J272" s="38" t="str">
        <f>IF(dataset_A!I272=1,"Clear",IF(dataset_A!I272,"Mist/Cloudy",IF(dataset_A!I272=3,"Light Rain/Snow","Heavy Rain/Snow")))</f>
        <v>Clear</v>
      </c>
      <c r="K272" s="38">
        <f>dataset_A!N272</f>
        <v>8</v>
      </c>
      <c r="L272" s="38">
        <f>dataset_A!O272</f>
        <v>71</v>
      </c>
      <c r="M272" s="38">
        <f>dataset_A!P272</f>
        <v>79</v>
      </c>
      <c r="N272" s="38" t="str">
        <f t="shared" si="3"/>
        <v>Ok</v>
      </c>
      <c r="O272" s="38" t="str">
        <f>IF(M272&gt;Analysis!$B$3*1.5,"High",IF(M272&lt;Analysis!$B$3*0.5,"Low","Medium"))</f>
        <v>Medium</v>
      </c>
      <c r="P272" s="38" t="str">
        <f>VLOOKUP(dataset_A!C272,$Q$2:$R$5,2,0)</f>
        <v>Spring</v>
      </c>
      <c r="S272" s="38" t="str">
        <f t="array" ref="S272">INDEX($R$2:$R$5,MATCH(dataset_A!C272,$Q$2:$Q$5,0))</f>
        <v>Spring</v>
      </c>
      <c r="T272" s="38" t="str">
        <f t="shared" si="4"/>
        <v>Match</v>
      </c>
    </row>
    <row r="273" ht="12.75" customHeight="1">
      <c r="A273" s="38">
        <f>dataset_A!A273</f>
        <v>591</v>
      </c>
      <c r="B273" s="39">
        <f>dataset_A!B273</f>
        <v>40570</v>
      </c>
      <c r="C273" s="38">
        <f>dataset_A!F273</f>
        <v>19</v>
      </c>
      <c r="D273" s="38">
        <f>dataset_A!H273</f>
        <v>4</v>
      </c>
      <c r="E273" s="38" t="b">
        <f>dataset_A!G273</f>
        <v>0</v>
      </c>
      <c r="F273" s="38" t="b">
        <f>dataset_A!G273</f>
        <v>0</v>
      </c>
      <c r="G273" s="38" t="str">
        <f t="shared" si="1"/>
        <v>Weekday</v>
      </c>
      <c r="H273" s="38" t="str">
        <f t="shared" si="2"/>
        <v>Evening</v>
      </c>
      <c r="I273" s="38" t="str">
        <f>IF(dataset_A!C273=1,"Spring",IF(dataset_A!C273=2,"Summer",IF(dataset_A!C273=3,"Fail","Winter")))</f>
        <v>Spring</v>
      </c>
      <c r="J273" s="38" t="str">
        <f>IF(dataset_A!I273=1,"Clear",IF(dataset_A!I273,"Mist/Cloudy",IF(dataset_A!I273=3,"Light Rain/Snow","Heavy Rain/Snow")))</f>
        <v>Clear</v>
      </c>
      <c r="K273" s="38">
        <f>dataset_A!N273</f>
        <v>3</v>
      </c>
      <c r="L273" s="38">
        <f>dataset_A!O273</f>
        <v>76</v>
      </c>
      <c r="M273" s="38">
        <f>dataset_A!P273</f>
        <v>79</v>
      </c>
      <c r="N273" s="38" t="str">
        <f t="shared" si="3"/>
        <v>Ok</v>
      </c>
      <c r="O273" s="38" t="str">
        <f>IF(M273&gt;Analysis!$B$3*1.5,"High",IF(M273&lt;Analysis!$B$3*0.5,"Low","Medium"))</f>
        <v>Medium</v>
      </c>
      <c r="P273" s="38" t="str">
        <f>VLOOKUP(dataset_A!C273,$Q$2:$R$5,2,0)</f>
        <v>Spring</v>
      </c>
      <c r="S273" s="38" t="str">
        <f t="array" ref="S273">INDEX($R$2:$R$5,MATCH(dataset_A!C273,$Q$2:$Q$5,0))</f>
        <v>Spring</v>
      </c>
      <c r="T273" s="38" t="str">
        <f t="shared" si="4"/>
        <v>Match</v>
      </c>
    </row>
    <row r="274" ht="12.75" customHeight="1">
      <c r="A274" s="38">
        <f>dataset_A!A274</f>
        <v>893</v>
      </c>
      <c r="B274" s="39">
        <f>dataset_A!B274</f>
        <v>40583</v>
      </c>
      <c r="C274" s="38">
        <f>dataset_A!F274</f>
        <v>16</v>
      </c>
      <c r="D274" s="38">
        <f>dataset_A!H274</f>
        <v>3</v>
      </c>
      <c r="E274" s="38" t="b">
        <f>dataset_A!G274</f>
        <v>0</v>
      </c>
      <c r="F274" s="38" t="b">
        <f>dataset_A!G274</f>
        <v>0</v>
      </c>
      <c r="G274" s="38" t="str">
        <f t="shared" si="1"/>
        <v>Weekday</v>
      </c>
      <c r="H274" s="38" t="str">
        <f t="shared" si="2"/>
        <v>Afternoon</v>
      </c>
      <c r="I274" s="38" t="str">
        <f>IF(dataset_A!C274=1,"Spring",IF(dataset_A!C274=2,"Summer",IF(dataset_A!C274=3,"Fail","Winter")))</f>
        <v>Spring</v>
      </c>
      <c r="J274" s="38" t="str">
        <f>IF(dataset_A!I274=1,"Clear",IF(dataset_A!I274,"Mist/Cloudy",IF(dataset_A!I274=3,"Light Rain/Snow","Heavy Rain/Snow")))</f>
        <v>Mist/Cloudy</v>
      </c>
      <c r="K274" s="38">
        <f>dataset_A!N274</f>
        <v>7</v>
      </c>
      <c r="L274" s="38">
        <f>dataset_A!O274</f>
        <v>72</v>
      </c>
      <c r="M274" s="38">
        <f>dataset_A!P274</f>
        <v>79</v>
      </c>
      <c r="N274" s="38" t="str">
        <f t="shared" si="3"/>
        <v>Ok</v>
      </c>
      <c r="O274" s="38" t="str">
        <f>IF(M274&gt;Analysis!$B$3*1.5,"High",IF(M274&lt;Analysis!$B$3*0.5,"Low","Medium"))</f>
        <v>Medium</v>
      </c>
      <c r="P274" s="38" t="str">
        <f>VLOOKUP(dataset_A!C274,$Q$2:$R$5,2,0)</f>
        <v>Spring</v>
      </c>
      <c r="S274" s="38" t="str">
        <f t="array" ref="S274">INDEX($R$2:$R$5,MATCH(dataset_A!C274,$Q$2:$Q$5,0))</f>
        <v>Spring</v>
      </c>
      <c r="T274" s="38" t="str">
        <f t="shared" si="4"/>
        <v>Match</v>
      </c>
    </row>
    <row r="275" ht="12.75" customHeight="1">
      <c r="A275" s="38">
        <f>dataset_A!A275</f>
        <v>81</v>
      </c>
      <c r="B275" s="39">
        <f>dataset_A!B275</f>
        <v>40547</v>
      </c>
      <c r="C275" s="38">
        <f>dataset_A!F275</f>
        <v>12</v>
      </c>
      <c r="D275" s="38">
        <f>dataset_A!H275</f>
        <v>2</v>
      </c>
      <c r="E275" s="38" t="b">
        <f>dataset_A!G275</f>
        <v>0</v>
      </c>
      <c r="F275" s="38" t="b">
        <f>dataset_A!G275</f>
        <v>0</v>
      </c>
      <c r="G275" s="38" t="str">
        <f t="shared" si="1"/>
        <v>Weekday</v>
      </c>
      <c r="H275" s="38" t="str">
        <f t="shared" si="2"/>
        <v>Afternoon</v>
      </c>
      <c r="I275" s="38" t="str">
        <f>IF(dataset_A!C275=1,"Spring",IF(dataset_A!C275=2,"Summer",IF(dataset_A!C275=3,"Fail","Winter")))</f>
        <v>Spring</v>
      </c>
      <c r="J275" s="38" t="str">
        <f>IF(dataset_A!I275=1,"Clear",IF(dataset_A!I275,"Mist/Cloudy",IF(dataset_A!I275=3,"Light Rain/Snow","Heavy Rain/Snow")))</f>
        <v>Clear</v>
      </c>
      <c r="K275" s="38">
        <f>dataset_A!N275</f>
        <v>12</v>
      </c>
      <c r="L275" s="38">
        <f>dataset_A!O275</f>
        <v>66</v>
      </c>
      <c r="M275" s="38">
        <f>dataset_A!P275</f>
        <v>78</v>
      </c>
      <c r="N275" s="38" t="str">
        <f t="shared" si="3"/>
        <v>Ok</v>
      </c>
      <c r="O275" s="38" t="str">
        <f>IF(M275&gt;Analysis!$B$3*1.5,"High",IF(M275&lt;Analysis!$B$3*0.5,"Low","Medium"))</f>
        <v>Medium</v>
      </c>
      <c r="P275" s="38" t="str">
        <f>VLOOKUP(dataset_A!C275,$Q$2:$R$5,2,0)</f>
        <v>Spring</v>
      </c>
      <c r="S275" s="38" t="str">
        <f t="array" ref="S275">INDEX($R$2:$R$5,MATCH(dataset_A!C275,$Q$2:$Q$5,0))</f>
        <v>Spring</v>
      </c>
      <c r="T275" s="38" t="str">
        <f t="shared" si="4"/>
        <v>Match</v>
      </c>
    </row>
    <row r="276" ht="12.75" customHeight="1">
      <c r="A276" s="38">
        <f>dataset_A!A276</f>
        <v>294</v>
      </c>
      <c r="B276" s="39">
        <f>dataset_A!B276</f>
        <v>40556</v>
      </c>
      <c r="C276" s="38">
        <f>dataset_A!F276</f>
        <v>16</v>
      </c>
      <c r="D276" s="38">
        <f>dataset_A!H276</f>
        <v>4</v>
      </c>
      <c r="E276" s="38" t="b">
        <f>dataset_A!G276</f>
        <v>0</v>
      </c>
      <c r="F276" s="38" t="b">
        <f>dataset_A!G276</f>
        <v>0</v>
      </c>
      <c r="G276" s="38" t="str">
        <f t="shared" si="1"/>
        <v>Weekday</v>
      </c>
      <c r="H276" s="38" t="str">
        <f t="shared" si="2"/>
        <v>Afternoon</v>
      </c>
      <c r="I276" s="38" t="str">
        <f>IF(dataset_A!C276=1,"Spring",IF(dataset_A!C276=2,"Summer",IF(dataset_A!C276=3,"Fail","Winter")))</f>
        <v>Spring</v>
      </c>
      <c r="J276" s="38" t="str">
        <f>IF(dataset_A!I276=1,"Clear",IF(dataset_A!I276,"Mist/Cloudy",IF(dataset_A!I276=3,"Light Rain/Snow","Heavy Rain/Snow")))</f>
        <v>Clear</v>
      </c>
      <c r="K276" s="38">
        <f>dataset_A!N276</f>
        <v>2</v>
      </c>
      <c r="L276" s="38">
        <f>dataset_A!O276</f>
        <v>76</v>
      </c>
      <c r="M276" s="38">
        <f>dataset_A!P276</f>
        <v>78</v>
      </c>
      <c r="N276" s="38" t="str">
        <f t="shared" si="3"/>
        <v>Ok</v>
      </c>
      <c r="O276" s="38" t="str">
        <f>IF(M276&gt;Analysis!$B$3*1.5,"High",IF(M276&lt;Analysis!$B$3*0.5,"Low","Medium"))</f>
        <v>Medium</v>
      </c>
      <c r="P276" s="38" t="str">
        <f>VLOOKUP(dataset_A!C276,$Q$2:$R$5,2,0)</f>
        <v>Spring</v>
      </c>
      <c r="S276" s="38" t="str">
        <f t="array" ref="S276">INDEX($R$2:$R$5,MATCH(dataset_A!C276,$Q$2:$Q$5,0))</f>
        <v>Spring</v>
      </c>
      <c r="T276" s="38" t="str">
        <f t="shared" si="4"/>
        <v>Match</v>
      </c>
    </row>
    <row r="277" ht="12.75" customHeight="1">
      <c r="A277" s="38">
        <f>dataset_A!A277</f>
        <v>421</v>
      </c>
      <c r="B277" s="39">
        <f>dataset_A!B277</f>
        <v>40562</v>
      </c>
      <c r="C277" s="38">
        <f>dataset_A!F277</f>
        <v>13</v>
      </c>
      <c r="D277" s="38">
        <f>dataset_A!H277</f>
        <v>3</v>
      </c>
      <c r="E277" s="38" t="b">
        <f>dataset_A!G277</f>
        <v>0</v>
      </c>
      <c r="F277" s="38" t="b">
        <f>dataset_A!G277</f>
        <v>0</v>
      </c>
      <c r="G277" s="38" t="str">
        <f t="shared" si="1"/>
        <v>Weekday</v>
      </c>
      <c r="H277" s="38" t="str">
        <f t="shared" si="2"/>
        <v>Afternoon</v>
      </c>
      <c r="I277" s="38" t="str">
        <f>IF(dataset_A!C277=1,"Spring",IF(dataset_A!C277=2,"Summer",IF(dataset_A!C277=3,"Fail","Winter")))</f>
        <v>Spring</v>
      </c>
      <c r="J277" s="38" t="str">
        <f>IF(dataset_A!I277=1,"Clear",IF(dataset_A!I277,"Mist/Cloudy",IF(dataset_A!I277=3,"Light Rain/Snow","Heavy Rain/Snow")))</f>
        <v>Clear</v>
      </c>
      <c r="K277" s="38">
        <f>dataset_A!N277</f>
        <v>11</v>
      </c>
      <c r="L277" s="38">
        <f>dataset_A!O277</f>
        <v>67</v>
      </c>
      <c r="M277" s="38">
        <f>dataset_A!P277</f>
        <v>78</v>
      </c>
      <c r="N277" s="38" t="str">
        <f t="shared" si="3"/>
        <v>Ok</v>
      </c>
      <c r="O277" s="38" t="str">
        <f>IF(M277&gt;Analysis!$B$3*1.5,"High",IF(M277&lt;Analysis!$B$3*0.5,"Low","Medium"))</f>
        <v>Medium</v>
      </c>
      <c r="P277" s="38" t="str">
        <f>VLOOKUP(dataset_A!C277,$Q$2:$R$5,2,0)</f>
        <v>Spring</v>
      </c>
      <c r="S277" s="38" t="str">
        <f t="array" ref="S277">INDEX($R$2:$R$5,MATCH(dataset_A!C277,$Q$2:$Q$5,0))</f>
        <v>Spring</v>
      </c>
      <c r="T277" s="38" t="str">
        <f t="shared" si="4"/>
        <v>Match</v>
      </c>
    </row>
    <row r="278" ht="12.75" customHeight="1">
      <c r="A278" s="38">
        <f>dataset_A!A278</f>
        <v>468</v>
      </c>
      <c r="B278" s="39">
        <f>dataset_A!B278</f>
        <v>40564</v>
      </c>
      <c r="C278" s="38">
        <f>dataset_A!F278</f>
        <v>12</v>
      </c>
      <c r="D278" s="38">
        <f>dataset_A!H278</f>
        <v>5</v>
      </c>
      <c r="E278" s="38" t="b">
        <f>dataset_A!G278</f>
        <v>0</v>
      </c>
      <c r="F278" s="38" t="b">
        <f>dataset_A!G278</f>
        <v>0</v>
      </c>
      <c r="G278" s="38" t="str">
        <f t="shared" si="1"/>
        <v>Weekday</v>
      </c>
      <c r="H278" s="38" t="str">
        <f t="shared" si="2"/>
        <v>Afternoon</v>
      </c>
      <c r="I278" s="38" t="str">
        <f>IF(dataset_A!C278=1,"Spring",IF(dataset_A!C278=2,"Summer",IF(dataset_A!C278=3,"Fail","Winter")))</f>
        <v>Spring</v>
      </c>
      <c r="J278" s="38" t="str">
        <f>IF(dataset_A!I278=1,"Clear",IF(dataset_A!I278,"Mist/Cloudy",IF(dataset_A!I278=3,"Light Rain/Snow","Heavy Rain/Snow")))</f>
        <v>Clear</v>
      </c>
      <c r="K278" s="38">
        <f>dataset_A!N278</f>
        <v>11</v>
      </c>
      <c r="L278" s="38">
        <f>dataset_A!O278</f>
        <v>67</v>
      </c>
      <c r="M278" s="38">
        <f>dataset_A!P278</f>
        <v>78</v>
      </c>
      <c r="N278" s="38" t="str">
        <f t="shared" si="3"/>
        <v>Ok</v>
      </c>
      <c r="O278" s="38" t="str">
        <f>IF(M278&gt;Analysis!$B$3*1.5,"High",IF(M278&lt;Analysis!$B$3*0.5,"Low","Medium"))</f>
        <v>Medium</v>
      </c>
      <c r="P278" s="38" t="str">
        <f>VLOOKUP(dataset_A!C278,$Q$2:$R$5,2,0)</f>
        <v>Spring</v>
      </c>
      <c r="S278" s="38" t="str">
        <f t="array" ref="S278">INDEX($R$2:$R$5,MATCH(dataset_A!C278,$Q$2:$Q$5,0))</f>
        <v>Spring</v>
      </c>
      <c r="T278" s="38" t="str">
        <f t="shared" si="4"/>
        <v>Match</v>
      </c>
    </row>
    <row r="279" ht="12.75" customHeight="1">
      <c r="A279" s="38">
        <f>dataset_A!A279</f>
        <v>630</v>
      </c>
      <c r="B279" s="39">
        <f>dataset_A!B279</f>
        <v>40572</v>
      </c>
      <c r="C279" s="38">
        <f>dataset_A!F279</f>
        <v>12</v>
      </c>
      <c r="D279" s="38">
        <f>dataset_A!H279</f>
        <v>6</v>
      </c>
      <c r="E279" s="38" t="b">
        <f>dataset_A!G279</f>
        <v>0</v>
      </c>
      <c r="F279" s="38" t="b">
        <f>dataset_A!G279</f>
        <v>0</v>
      </c>
      <c r="G279" s="38" t="str">
        <f t="shared" si="1"/>
        <v>Weekend</v>
      </c>
      <c r="H279" s="38" t="str">
        <f t="shared" si="2"/>
        <v>Afternoon</v>
      </c>
      <c r="I279" s="38" t="str">
        <f>IF(dataset_A!C279=1,"Spring",IF(dataset_A!C279=2,"Summer",IF(dataset_A!C279=3,"Fail","Winter")))</f>
        <v>Spring</v>
      </c>
      <c r="J279" s="38" t="str">
        <f>IF(dataset_A!I279=1,"Clear",IF(dataset_A!I279,"Mist/Cloudy",IF(dataset_A!I279=3,"Light Rain/Snow","Heavy Rain/Snow")))</f>
        <v>Mist/Cloudy</v>
      </c>
      <c r="K279" s="38">
        <f>dataset_A!N279</f>
        <v>12</v>
      </c>
      <c r="L279" s="38">
        <f>dataset_A!O279</f>
        <v>66</v>
      </c>
      <c r="M279" s="38">
        <f>dataset_A!P279</f>
        <v>78</v>
      </c>
      <c r="N279" s="38" t="str">
        <f t="shared" si="3"/>
        <v>Ok</v>
      </c>
      <c r="O279" s="38" t="str">
        <f>IF(M279&gt;Analysis!$B$3*1.5,"High",IF(M279&lt;Analysis!$B$3*0.5,"Low","Medium"))</f>
        <v>Medium</v>
      </c>
      <c r="P279" s="38" t="str">
        <f>VLOOKUP(dataset_A!C279,$Q$2:$R$5,2,0)</f>
        <v>Spring</v>
      </c>
      <c r="S279" s="38" t="str">
        <f t="array" ref="S279">INDEX($R$2:$R$5,MATCH(dataset_A!C279,$Q$2:$Q$5,0))</f>
        <v>Spring</v>
      </c>
      <c r="T279" s="38" t="str">
        <f t="shared" si="4"/>
        <v>Match</v>
      </c>
    </row>
    <row r="280" ht="12.75" customHeight="1">
      <c r="A280" s="38">
        <f>dataset_A!A280</f>
        <v>685</v>
      </c>
      <c r="B280" s="39">
        <f>dataset_A!B280</f>
        <v>40574</v>
      </c>
      <c r="C280" s="38">
        <f>dataset_A!F280</f>
        <v>20</v>
      </c>
      <c r="D280" s="38">
        <f>dataset_A!H280</f>
        <v>1</v>
      </c>
      <c r="E280" s="38" t="b">
        <f>dataset_A!G280</f>
        <v>0</v>
      </c>
      <c r="F280" s="38" t="b">
        <f>dataset_A!G280</f>
        <v>0</v>
      </c>
      <c r="G280" s="38" t="str">
        <f t="shared" si="1"/>
        <v>Weekday</v>
      </c>
      <c r="H280" s="38" t="str">
        <f t="shared" si="2"/>
        <v>Evening</v>
      </c>
      <c r="I280" s="38" t="str">
        <f>IF(dataset_A!C280=1,"Spring",IF(dataset_A!C280=2,"Summer",IF(dataset_A!C280=3,"Fail","Winter")))</f>
        <v>Spring</v>
      </c>
      <c r="J280" s="38" t="str">
        <f>IF(dataset_A!I280=1,"Clear",IF(dataset_A!I280,"Mist/Cloudy",IF(dataset_A!I280=3,"Light Rain/Snow","Heavy Rain/Snow")))</f>
        <v>Mist/Cloudy</v>
      </c>
      <c r="K280" s="38">
        <f>dataset_A!N280</f>
        <v>0</v>
      </c>
      <c r="L280" s="38">
        <f>dataset_A!O280</f>
        <v>78</v>
      </c>
      <c r="M280" s="38">
        <f>dataset_A!P280</f>
        <v>78</v>
      </c>
      <c r="N280" s="38" t="str">
        <f t="shared" si="3"/>
        <v>Ok</v>
      </c>
      <c r="O280" s="38" t="str">
        <f>IF(M280&gt;Analysis!$B$3*1.5,"High",IF(M280&lt;Analysis!$B$3*0.5,"Low","Medium"))</f>
        <v>Medium</v>
      </c>
      <c r="P280" s="38" t="str">
        <f>VLOOKUP(dataset_A!C280,$Q$2:$R$5,2,0)</f>
        <v>Spring</v>
      </c>
      <c r="S280" s="38" t="str">
        <f t="array" ref="S280">INDEX($R$2:$R$5,MATCH(dataset_A!C280,$Q$2:$Q$5,0))</f>
        <v>Spring</v>
      </c>
      <c r="T280" s="38" t="str">
        <f t="shared" si="4"/>
        <v>Match</v>
      </c>
    </row>
    <row r="281" ht="12.75" customHeight="1">
      <c r="A281" s="38">
        <f>dataset_A!A281</f>
        <v>751</v>
      </c>
      <c r="B281" s="39">
        <f>dataset_A!B281</f>
        <v>40577</v>
      </c>
      <c r="C281" s="38">
        <f>dataset_A!F281</f>
        <v>16</v>
      </c>
      <c r="D281" s="38">
        <f>dataset_A!H281</f>
        <v>4</v>
      </c>
      <c r="E281" s="38" t="b">
        <f>dataset_A!G281</f>
        <v>0</v>
      </c>
      <c r="F281" s="38" t="b">
        <f>dataset_A!G281</f>
        <v>0</v>
      </c>
      <c r="G281" s="38" t="str">
        <f t="shared" si="1"/>
        <v>Weekday</v>
      </c>
      <c r="H281" s="38" t="str">
        <f t="shared" si="2"/>
        <v>Afternoon</v>
      </c>
      <c r="I281" s="38" t="str">
        <f>IF(dataset_A!C281=1,"Spring",IF(dataset_A!C281=2,"Summer",IF(dataset_A!C281=3,"Fail","Winter")))</f>
        <v>Spring</v>
      </c>
      <c r="J281" s="38" t="str">
        <f>IF(dataset_A!I281=1,"Clear",IF(dataset_A!I281,"Mist/Cloudy",IF(dataset_A!I281=3,"Light Rain/Snow","Heavy Rain/Snow")))</f>
        <v>Clear</v>
      </c>
      <c r="K281" s="38">
        <f>dataset_A!N281</f>
        <v>5</v>
      </c>
      <c r="L281" s="38">
        <f>dataset_A!O281</f>
        <v>73</v>
      </c>
      <c r="M281" s="38">
        <f>dataset_A!P281</f>
        <v>78</v>
      </c>
      <c r="N281" s="38" t="str">
        <f t="shared" si="3"/>
        <v>Ok</v>
      </c>
      <c r="O281" s="38" t="str">
        <f>IF(M281&gt;Analysis!$B$3*1.5,"High",IF(M281&lt;Analysis!$B$3*0.5,"Low","Medium"))</f>
        <v>Medium</v>
      </c>
      <c r="P281" s="38" t="str">
        <f>VLOOKUP(dataset_A!C281,$Q$2:$R$5,2,0)</f>
        <v>Spring</v>
      </c>
      <c r="S281" s="38" t="str">
        <f t="array" ref="S281">INDEX($R$2:$R$5,MATCH(dataset_A!C281,$Q$2:$Q$5,0))</f>
        <v>Spring</v>
      </c>
      <c r="T281" s="38" t="str">
        <f t="shared" si="4"/>
        <v>Match</v>
      </c>
    </row>
    <row r="282" ht="12.75" customHeight="1">
      <c r="A282" s="38">
        <f>dataset_A!A282</f>
        <v>799</v>
      </c>
      <c r="B282" s="39">
        <f>dataset_A!B282</f>
        <v>40579</v>
      </c>
      <c r="C282" s="38">
        <f>dataset_A!F282</f>
        <v>17</v>
      </c>
      <c r="D282" s="38">
        <f>dataset_A!H282</f>
        <v>6</v>
      </c>
      <c r="E282" s="38" t="b">
        <f>dataset_A!G282</f>
        <v>0</v>
      </c>
      <c r="F282" s="38" t="b">
        <f>dataset_A!G282</f>
        <v>0</v>
      </c>
      <c r="G282" s="38" t="str">
        <f t="shared" si="1"/>
        <v>Weekend</v>
      </c>
      <c r="H282" s="38" t="str">
        <f t="shared" si="2"/>
        <v>Afternoon</v>
      </c>
      <c r="I282" s="38" t="str">
        <f>IF(dataset_A!C282=1,"Spring",IF(dataset_A!C282=2,"Summer",IF(dataset_A!C282=3,"Fail","Winter")))</f>
        <v>Spring</v>
      </c>
      <c r="J282" s="38" t="str">
        <f>IF(dataset_A!I282=1,"Clear",IF(dataset_A!I282,"Mist/Cloudy",IF(dataset_A!I282=3,"Light Rain/Snow","Heavy Rain/Snow")))</f>
        <v>Mist/Cloudy</v>
      </c>
      <c r="K282" s="38">
        <f>dataset_A!N282</f>
        <v>14</v>
      </c>
      <c r="L282" s="38">
        <f>dataset_A!O282</f>
        <v>64</v>
      </c>
      <c r="M282" s="38">
        <f>dataset_A!P282</f>
        <v>78</v>
      </c>
      <c r="N282" s="38" t="str">
        <f t="shared" si="3"/>
        <v>Ok</v>
      </c>
      <c r="O282" s="38" t="str">
        <f>IF(M282&gt;Analysis!$B$3*1.5,"High",IF(M282&lt;Analysis!$B$3*0.5,"Low","Medium"))</f>
        <v>Medium</v>
      </c>
      <c r="P282" s="38" t="str">
        <f>VLOOKUP(dataset_A!C282,$Q$2:$R$5,2,0)</f>
        <v>Spring</v>
      </c>
      <c r="S282" s="38" t="str">
        <f t="array" ref="S282">INDEX($R$2:$R$5,MATCH(dataset_A!C282,$Q$2:$Q$5,0))</f>
        <v>Spring</v>
      </c>
      <c r="T282" s="38" t="str">
        <f t="shared" si="4"/>
        <v>Match</v>
      </c>
    </row>
    <row r="283" ht="12.75" customHeight="1">
      <c r="A283" s="38">
        <f>dataset_A!A283</f>
        <v>824</v>
      </c>
      <c r="B283" s="39">
        <f>dataset_A!B283</f>
        <v>40580</v>
      </c>
      <c r="C283" s="38">
        <f>dataset_A!F283</f>
        <v>18</v>
      </c>
      <c r="D283" s="38">
        <f>dataset_A!H283</f>
        <v>0</v>
      </c>
      <c r="E283" s="38" t="b">
        <f>dataset_A!G283</f>
        <v>0</v>
      </c>
      <c r="F283" s="38" t="b">
        <f>dataset_A!G283</f>
        <v>0</v>
      </c>
      <c r="G283" s="38" t="str">
        <f t="shared" si="1"/>
        <v>Weekend</v>
      </c>
      <c r="H283" s="38" t="str">
        <f t="shared" si="2"/>
        <v>Evening</v>
      </c>
      <c r="I283" s="38" t="str">
        <f>IF(dataset_A!C283=1,"Spring",IF(dataset_A!C283=2,"Summer",IF(dataset_A!C283=3,"Fail","Winter")))</f>
        <v>Spring</v>
      </c>
      <c r="J283" s="38" t="str">
        <f>IF(dataset_A!I283=1,"Clear",IF(dataset_A!I283,"Mist/Cloudy",IF(dataset_A!I283=3,"Light Rain/Snow","Heavy Rain/Snow")))</f>
        <v>Clear</v>
      </c>
      <c r="K283" s="38">
        <f>dataset_A!N283</f>
        <v>13</v>
      </c>
      <c r="L283" s="38">
        <f>dataset_A!O283</f>
        <v>65</v>
      </c>
      <c r="M283" s="38">
        <f>dataset_A!P283</f>
        <v>78</v>
      </c>
      <c r="N283" s="38" t="str">
        <f t="shared" si="3"/>
        <v>Ok</v>
      </c>
      <c r="O283" s="38" t="str">
        <f>IF(M283&gt;Analysis!$B$3*1.5,"High",IF(M283&lt;Analysis!$B$3*0.5,"Low","Medium"))</f>
        <v>Medium</v>
      </c>
      <c r="P283" s="38" t="str">
        <f>VLOOKUP(dataset_A!C283,$Q$2:$R$5,2,0)</f>
        <v>Spring</v>
      </c>
      <c r="S283" s="38" t="str">
        <f t="array" ref="S283">INDEX($R$2:$R$5,MATCH(dataset_A!C283,$Q$2:$Q$5,0))</f>
        <v>Spring</v>
      </c>
      <c r="T283" s="38" t="str">
        <f t="shared" si="4"/>
        <v>Match</v>
      </c>
    </row>
    <row r="284" ht="12.75" customHeight="1">
      <c r="A284" s="38">
        <f>dataset_A!A284</f>
        <v>851</v>
      </c>
      <c r="B284" s="39">
        <f>dataset_A!B284</f>
        <v>40581</v>
      </c>
      <c r="C284" s="38">
        <f>dataset_A!F284</f>
        <v>21</v>
      </c>
      <c r="D284" s="38">
        <f>dataset_A!H284</f>
        <v>1</v>
      </c>
      <c r="E284" s="38" t="b">
        <f>dataset_A!G284</f>
        <v>0</v>
      </c>
      <c r="F284" s="38" t="b">
        <f>dataset_A!G284</f>
        <v>0</v>
      </c>
      <c r="G284" s="38" t="str">
        <f t="shared" si="1"/>
        <v>Weekday</v>
      </c>
      <c r="H284" s="38" t="str">
        <f t="shared" si="2"/>
        <v>Evening</v>
      </c>
      <c r="I284" s="38" t="str">
        <f>IF(dataset_A!C284=1,"Spring",IF(dataset_A!C284=2,"Summer",IF(dataset_A!C284=3,"Fail","Winter")))</f>
        <v>Spring</v>
      </c>
      <c r="J284" s="38" t="str">
        <f>IF(dataset_A!I284=1,"Clear",IF(dataset_A!I284,"Mist/Cloudy",IF(dataset_A!I284=3,"Light Rain/Snow","Heavy Rain/Snow")))</f>
        <v>Clear</v>
      </c>
      <c r="K284" s="38">
        <f>dataset_A!N284</f>
        <v>3</v>
      </c>
      <c r="L284" s="38">
        <f>dataset_A!O284</f>
        <v>75</v>
      </c>
      <c r="M284" s="38">
        <f>dataset_A!P284</f>
        <v>78</v>
      </c>
      <c r="N284" s="38" t="str">
        <f t="shared" si="3"/>
        <v>Ok</v>
      </c>
      <c r="O284" s="38" t="str">
        <f>IF(M284&gt;Analysis!$B$3*1.5,"High",IF(M284&lt;Analysis!$B$3*0.5,"Low","Medium"))</f>
        <v>Medium</v>
      </c>
      <c r="P284" s="38" t="str">
        <f>VLOOKUP(dataset_A!C284,$Q$2:$R$5,2,0)</f>
        <v>Spring</v>
      </c>
      <c r="S284" s="38" t="str">
        <f t="array" ref="S284">INDEX($R$2:$R$5,MATCH(dataset_A!C284,$Q$2:$Q$5,0))</f>
        <v>Spring</v>
      </c>
      <c r="T284" s="38" t="str">
        <f t="shared" si="4"/>
        <v>Match</v>
      </c>
    </row>
    <row r="285" ht="12.75" customHeight="1">
      <c r="A285" s="38">
        <f>dataset_A!A285</f>
        <v>60</v>
      </c>
      <c r="B285" s="39">
        <f>dataset_A!B285</f>
        <v>40546</v>
      </c>
      <c r="C285" s="38">
        <f>dataset_A!F285</f>
        <v>14</v>
      </c>
      <c r="D285" s="38">
        <f>dataset_A!H285</f>
        <v>1</v>
      </c>
      <c r="E285" s="38" t="b">
        <f>dataset_A!G285</f>
        <v>0</v>
      </c>
      <c r="F285" s="38" t="b">
        <f>dataset_A!G285</f>
        <v>0</v>
      </c>
      <c r="G285" s="38" t="str">
        <f t="shared" si="1"/>
        <v>Weekday</v>
      </c>
      <c r="H285" s="38" t="str">
        <f t="shared" si="2"/>
        <v>Afternoon</v>
      </c>
      <c r="I285" s="38" t="str">
        <f>IF(dataset_A!C285=1,"Spring",IF(dataset_A!C285=2,"Summer",IF(dataset_A!C285=3,"Fail","Winter")))</f>
        <v>Spring</v>
      </c>
      <c r="J285" s="38" t="str">
        <f>IF(dataset_A!I285=1,"Clear",IF(dataset_A!I285,"Mist/Cloudy",IF(dataset_A!I285=3,"Light Rain/Snow","Heavy Rain/Snow")))</f>
        <v>Clear</v>
      </c>
      <c r="K285" s="38">
        <f>dataset_A!N285</f>
        <v>11</v>
      </c>
      <c r="L285" s="38">
        <f>dataset_A!O285</f>
        <v>66</v>
      </c>
      <c r="M285" s="38">
        <f>dataset_A!P285</f>
        <v>77</v>
      </c>
      <c r="N285" s="38" t="str">
        <f t="shared" si="3"/>
        <v>Ok</v>
      </c>
      <c r="O285" s="38" t="str">
        <f>IF(M285&gt;Analysis!$B$3*1.5,"High",IF(M285&lt;Analysis!$B$3*0.5,"Low","Medium"))</f>
        <v>Medium</v>
      </c>
      <c r="P285" s="38" t="str">
        <f>VLOOKUP(dataset_A!C285,$Q$2:$R$5,2,0)</f>
        <v>Spring</v>
      </c>
      <c r="S285" s="38" t="str">
        <f t="array" ref="S285">INDEX($R$2:$R$5,MATCH(dataset_A!C285,$Q$2:$Q$5,0))</f>
        <v>Spring</v>
      </c>
      <c r="T285" s="38" t="str">
        <f t="shared" si="4"/>
        <v>Match</v>
      </c>
    </row>
    <row r="286" ht="12.75" customHeight="1">
      <c r="A286" s="38">
        <f>dataset_A!A286</f>
        <v>217</v>
      </c>
      <c r="B286" s="39">
        <f>dataset_A!B286</f>
        <v>40553</v>
      </c>
      <c r="C286" s="38">
        <f>dataset_A!F286</f>
        <v>7</v>
      </c>
      <c r="D286" s="38">
        <f>dataset_A!H286</f>
        <v>1</v>
      </c>
      <c r="E286" s="38" t="b">
        <f>dataset_A!G286</f>
        <v>0</v>
      </c>
      <c r="F286" s="38" t="b">
        <f>dataset_A!G286</f>
        <v>0</v>
      </c>
      <c r="G286" s="38" t="str">
        <f t="shared" si="1"/>
        <v>Weekday</v>
      </c>
      <c r="H286" s="38" t="str">
        <f t="shared" si="2"/>
        <v>Morning</v>
      </c>
      <c r="I286" s="38" t="str">
        <f>IF(dataset_A!C286=1,"Spring",IF(dataset_A!C286=2,"Summer",IF(dataset_A!C286=3,"Fail","Winter")))</f>
        <v>Spring</v>
      </c>
      <c r="J286" s="38" t="str">
        <f>IF(dataset_A!I286=1,"Clear",IF(dataset_A!I286,"Mist/Cloudy",IF(dataset_A!I286=3,"Light Rain/Snow","Heavy Rain/Snow")))</f>
        <v>Clear</v>
      </c>
      <c r="K286" s="38">
        <f>dataset_A!N286</f>
        <v>2</v>
      </c>
      <c r="L286" s="38">
        <f>dataset_A!O286</f>
        <v>75</v>
      </c>
      <c r="M286" s="38">
        <f>dataset_A!P286</f>
        <v>77</v>
      </c>
      <c r="N286" s="38" t="str">
        <f t="shared" si="3"/>
        <v>Ok</v>
      </c>
      <c r="O286" s="38" t="str">
        <f>IF(M286&gt;Analysis!$B$3*1.5,"High",IF(M286&lt;Analysis!$B$3*0.5,"Low","Medium"))</f>
        <v>Medium</v>
      </c>
      <c r="P286" s="38" t="str">
        <f>VLOOKUP(dataset_A!C286,$Q$2:$R$5,2,0)</f>
        <v>Spring</v>
      </c>
      <c r="S286" s="38" t="str">
        <f t="array" ref="S286">INDEX($R$2:$R$5,MATCH(dataset_A!C286,$Q$2:$Q$5,0))</f>
        <v>Spring</v>
      </c>
      <c r="T286" s="38" t="str">
        <f t="shared" si="4"/>
        <v>Match</v>
      </c>
    </row>
    <row r="287" ht="12.75" customHeight="1">
      <c r="A287" s="38">
        <f>dataset_A!A287</f>
        <v>314</v>
      </c>
      <c r="B287" s="39">
        <f>dataset_A!B287</f>
        <v>40557</v>
      </c>
      <c r="C287" s="38">
        <f>dataset_A!F287</f>
        <v>13</v>
      </c>
      <c r="D287" s="38">
        <f>dataset_A!H287</f>
        <v>5</v>
      </c>
      <c r="E287" s="38" t="b">
        <f>dataset_A!G287</f>
        <v>0</v>
      </c>
      <c r="F287" s="38" t="b">
        <f>dataset_A!G287</f>
        <v>0</v>
      </c>
      <c r="G287" s="38" t="str">
        <f t="shared" si="1"/>
        <v>Weekday</v>
      </c>
      <c r="H287" s="38" t="str">
        <f t="shared" si="2"/>
        <v>Afternoon</v>
      </c>
      <c r="I287" s="38" t="str">
        <f>IF(dataset_A!C287=1,"Spring",IF(dataset_A!C287=2,"Summer",IF(dataset_A!C287=3,"Fail","Winter")))</f>
        <v>Spring</v>
      </c>
      <c r="J287" s="38" t="str">
        <f>IF(dataset_A!I287=1,"Clear",IF(dataset_A!I287,"Mist/Cloudy",IF(dataset_A!I287=3,"Light Rain/Snow","Heavy Rain/Snow")))</f>
        <v>Clear</v>
      </c>
      <c r="K287" s="38">
        <f>dataset_A!N287</f>
        <v>4</v>
      </c>
      <c r="L287" s="38">
        <f>dataset_A!O287</f>
        <v>73</v>
      </c>
      <c r="M287" s="38">
        <f>dataset_A!P287</f>
        <v>77</v>
      </c>
      <c r="N287" s="38" t="str">
        <f t="shared" si="3"/>
        <v>Ok</v>
      </c>
      <c r="O287" s="38" t="str">
        <f>IF(M287&gt;Analysis!$B$3*1.5,"High",IF(M287&lt;Analysis!$B$3*0.5,"Low","Medium"))</f>
        <v>Medium</v>
      </c>
      <c r="P287" s="38" t="str">
        <f>VLOOKUP(dataset_A!C287,$Q$2:$R$5,2,0)</f>
        <v>Spring</v>
      </c>
      <c r="S287" s="38" t="str">
        <f t="array" ref="S287">INDEX($R$2:$R$5,MATCH(dataset_A!C287,$Q$2:$Q$5,0))</f>
        <v>Spring</v>
      </c>
      <c r="T287" s="38" t="str">
        <f t="shared" si="4"/>
        <v>Match</v>
      </c>
    </row>
    <row r="288" ht="12.75" customHeight="1">
      <c r="A288" s="38">
        <f>dataset_A!A288</f>
        <v>517</v>
      </c>
      <c r="B288" s="39">
        <f>dataset_A!B288</f>
        <v>40566</v>
      </c>
      <c r="C288" s="38">
        <f>dataset_A!F288</f>
        <v>15</v>
      </c>
      <c r="D288" s="38">
        <f>dataset_A!H288</f>
        <v>0</v>
      </c>
      <c r="E288" s="38" t="b">
        <f>dataset_A!G288</f>
        <v>0</v>
      </c>
      <c r="F288" s="38" t="b">
        <f>dataset_A!G288</f>
        <v>0</v>
      </c>
      <c r="G288" s="38" t="str">
        <f t="shared" si="1"/>
        <v>Weekend</v>
      </c>
      <c r="H288" s="38" t="str">
        <f t="shared" si="2"/>
        <v>Afternoon</v>
      </c>
      <c r="I288" s="38" t="str">
        <f>IF(dataset_A!C288=1,"Spring",IF(dataset_A!C288=2,"Summer",IF(dataset_A!C288=3,"Fail","Winter")))</f>
        <v>Spring</v>
      </c>
      <c r="J288" s="38" t="str">
        <f>IF(dataset_A!I288=1,"Clear",IF(dataset_A!I288,"Mist/Cloudy",IF(dataset_A!I288=3,"Light Rain/Snow","Heavy Rain/Snow")))</f>
        <v>Clear</v>
      </c>
      <c r="K288" s="38">
        <f>dataset_A!N288</f>
        <v>13</v>
      </c>
      <c r="L288" s="38">
        <f>dataset_A!O288</f>
        <v>64</v>
      </c>
      <c r="M288" s="38">
        <f>dataset_A!P288</f>
        <v>77</v>
      </c>
      <c r="N288" s="38" t="str">
        <f t="shared" si="3"/>
        <v>Ok</v>
      </c>
      <c r="O288" s="38" t="str">
        <f>IF(M288&gt;Analysis!$B$3*1.5,"High",IF(M288&lt;Analysis!$B$3*0.5,"Low","Medium"))</f>
        <v>Medium</v>
      </c>
      <c r="P288" s="38" t="str">
        <f>VLOOKUP(dataset_A!C288,$Q$2:$R$5,2,0)</f>
        <v>Spring</v>
      </c>
      <c r="S288" s="38" t="str">
        <f t="array" ref="S288">INDEX($R$2:$R$5,MATCH(dataset_A!C288,$Q$2:$Q$5,0))</f>
        <v>Spring</v>
      </c>
      <c r="T288" s="38" t="str">
        <f t="shared" si="4"/>
        <v>Match</v>
      </c>
    </row>
    <row r="289" ht="12.75" customHeight="1">
      <c r="A289" s="38">
        <f>dataset_A!A289</f>
        <v>658</v>
      </c>
      <c r="B289" s="39">
        <f>dataset_A!B289</f>
        <v>40573</v>
      </c>
      <c r="C289" s="38">
        <f>dataset_A!F289</f>
        <v>17</v>
      </c>
      <c r="D289" s="38">
        <f>dataset_A!H289</f>
        <v>0</v>
      </c>
      <c r="E289" s="38" t="b">
        <f>dataset_A!G289</f>
        <v>0</v>
      </c>
      <c r="F289" s="38" t="b">
        <f>dataset_A!G289</f>
        <v>0</v>
      </c>
      <c r="G289" s="38" t="str">
        <f t="shared" si="1"/>
        <v>Weekend</v>
      </c>
      <c r="H289" s="38" t="str">
        <f t="shared" si="2"/>
        <v>Afternoon</v>
      </c>
      <c r="I289" s="38" t="str">
        <f>IF(dataset_A!C289=1,"Spring",IF(dataset_A!C289=2,"Summer",IF(dataset_A!C289=3,"Fail","Winter")))</f>
        <v>Spring</v>
      </c>
      <c r="J289" s="38" t="str">
        <f>IF(dataset_A!I289=1,"Clear",IF(dataset_A!I289,"Mist/Cloudy",IF(dataset_A!I289=3,"Light Rain/Snow","Heavy Rain/Snow")))</f>
        <v>Clear</v>
      </c>
      <c r="K289" s="38">
        <f>dataset_A!N289</f>
        <v>6</v>
      </c>
      <c r="L289" s="38">
        <f>dataset_A!O289</f>
        <v>71</v>
      </c>
      <c r="M289" s="38">
        <f>dataset_A!P289</f>
        <v>77</v>
      </c>
      <c r="N289" s="38" t="str">
        <f t="shared" si="3"/>
        <v>Ok</v>
      </c>
      <c r="O289" s="38" t="str">
        <f>IF(M289&gt;Analysis!$B$3*1.5,"High",IF(M289&lt;Analysis!$B$3*0.5,"Low","Medium"))</f>
        <v>Medium</v>
      </c>
      <c r="P289" s="38" t="str">
        <f>VLOOKUP(dataset_A!C289,$Q$2:$R$5,2,0)</f>
        <v>Spring</v>
      </c>
      <c r="S289" s="38" t="str">
        <f t="array" ref="S289">INDEX($R$2:$R$5,MATCH(dataset_A!C289,$Q$2:$Q$5,0))</f>
        <v>Spring</v>
      </c>
      <c r="T289" s="38" t="str">
        <f t="shared" si="4"/>
        <v>Match</v>
      </c>
    </row>
    <row r="290" ht="12.75" customHeight="1">
      <c r="A290" s="38">
        <f>dataset_A!A290</f>
        <v>40</v>
      </c>
      <c r="B290" s="39">
        <f>dataset_A!B290</f>
        <v>40545</v>
      </c>
      <c r="C290" s="38">
        <f>dataset_A!F290</f>
        <v>16</v>
      </c>
      <c r="D290" s="38">
        <f>dataset_A!H290</f>
        <v>0</v>
      </c>
      <c r="E290" s="38" t="b">
        <f>dataset_A!G290</f>
        <v>0</v>
      </c>
      <c r="F290" s="38" t="b">
        <f>dataset_A!G290</f>
        <v>0</v>
      </c>
      <c r="G290" s="38" t="str">
        <f t="shared" si="1"/>
        <v>Weekend</v>
      </c>
      <c r="H290" s="38" t="str">
        <f t="shared" si="2"/>
        <v>Afternoon</v>
      </c>
      <c r="I290" s="38" t="str">
        <f>IF(dataset_A!C290=1,"Spring",IF(dataset_A!C290=2,"Summer",IF(dataset_A!C290=3,"Fail","Winter")))</f>
        <v>Spring</v>
      </c>
      <c r="J290" s="38" t="str">
        <f>IF(dataset_A!I290=1,"Clear",IF(dataset_A!I290,"Mist/Cloudy",IF(dataset_A!I290=3,"Light Rain/Snow","Heavy Rain/Snow")))</f>
        <v>Mist/Cloudy</v>
      </c>
      <c r="K290" s="38">
        <f>dataset_A!N290</f>
        <v>9</v>
      </c>
      <c r="L290" s="38">
        <f>dataset_A!O290</f>
        <v>67</v>
      </c>
      <c r="M290" s="38">
        <f>dataset_A!P290</f>
        <v>76</v>
      </c>
      <c r="N290" s="38" t="str">
        <f t="shared" si="3"/>
        <v>Ok</v>
      </c>
      <c r="O290" s="38" t="str">
        <f>IF(M290&gt;Analysis!$B$3*1.5,"High",IF(M290&lt;Analysis!$B$3*0.5,"Low","Medium"))</f>
        <v>Medium</v>
      </c>
      <c r="P290" s="38" t="str">
        <f>VLOOKUP(dataset_A!C290,$Q$2:$R$5,2,0)</f>
        <v>Spring</v>
      </c>
      <c r="S290" s="38" t="str">
        <f t="array" ref="S290">INDEX($R$2:$R$5,MATCH(dataset_A!C290,$Q$2:$Q$5,0))</f>
        <v>Spring</v>
      </c>
      <c r="T290" s="38" t="str">
        <f t="shared" si="4"/>
        <v>Match</v>
      </c>
    </row>
    <row r="291" ht="12.75" customHeight="1">
      <c r="A291" s="38">
        <f>dataset_A!A291</f>
        <v>62</v>
      </c>
      <c r="B291" s="39">
        <f>dataset_A!B291</f>
        <v>40546</v>
      </c>
      <c r="C291" s="38">
        <f>dataset_A!F291</f>
        <v>16</v>
      </c>
      <c r="D291" s="38">
        <f>dataset_A!H291</f>
        <v>1</v>
      </c>
      <c r="E291" s="38" t="b">
        <f>dataset_A!G291</f>
        <v>0</v>
      </c>
      <c r="F291" s="38" t="b">
        <f>dataset_A!G291</f>
        <v>0</v>
      </c>
      <c r="G291" s="38" t="str">
        <f t="shared" si="1"/>
        <v>Weekday</v>
      </c>
      <c r="H291" s="38" t="str">
        <f t="shared" si="2"/>
        <v>Afternoon</v>
      </c>
      <c r="I291" s="38" t="str">
        <f>IF(dataset_A!C291=1,"Spring",IF(dataset_A!C291=2,"Summer",IF(dataset_A!C291=3,"Fail","Winter")))</f>
        <v>Spring</v>
      </c>
      <c r="J291" s="38" t="str">
        <f>IF(dataset_A!I291=1,"Clear",IF(dataset_A!I291,"Mist/Cloudy",IF(dataset_A!I291=3,"Light Rain/Snow","Heavy Rain/Snow")))</f>
        <v>Clear</v>
      </c>
      <c r="K291" s="38">
        <f>dataset_A!N291</f>
        <v>9</v>
      </c>
      <c r="L291" s="38">
        <f>dataset_A!O291</f>
        <v>67</v>
      </c>
      <c r="M291" s="38">
        <f>dataset_A!P291</f>
        <v>76</v>
      </c>
      <c r="N291" s="38" t="str">
        <f t="shared" si="3"/>
        <v>Ok</v>
      </c>
      <c r="O291" s="38" t="str">
        <f>IF(M291&gt;Analysis!$B$3*1.5,"High",IF(M291&lt;Analysis!$B$3*0.5,"Low","Medium"))</f>
        <v>Medium</v>
      </c>
      <c r="P291" s="38" t="str">
        <f>VLOOKUP(dataset_A!C291,$Q$2:$R$5,2,0)</f>
        <v>Spring</v>
      </c>
      <c r="S291" s="38" t="str">
        <f t="array" ref="S291">INDEX($R$2:$R$5,MATCH(dataset_A!C291,$Q$2:$Q$5,0))</f>
        <v>Spring</v>
      </c>
      <c r="T291" s="38" t="str">
        <f t="shared" si="4"/>
        <v>Match</v>
      </c>
    </row>
    <row r="292" ht="12.75" customHeight="1">
      <c r="A292" s="38">
        <f>dataset_A!A292</f>
        <v>178</v>
      </c>
      <c r="B292" s="39">
        <f>dataset_A!B292</f>
        <v>40551</v>
      </c>
      <c r="C292" s="38">
        <f>dataset_A!F292</f>
        <v>16</v>
      </c>
      <c r="D292" s="38">
        <f>dataset_A!H292</f>
        <v>6</v>
      </c>
      <c r="E292" s="38" t="b">
        <f>dataset_A!G292</f>
        <v>0</v>
      </c>
      <c r="F292" s="38" t="b">
        <f>dataset_A!G292</f>
        <v>0</v>
      </c>
      <c r="G292" s="38" t="str">
        <f t="shared" si="1"/>
        <v>Weekend</v>
      </c>
      <c r="H292" s="38" t="str">
        <f t="shared" si="2"/>
        <v>Afternoon</v>
      </c>
      <c r="I292" s="38" t="str">
        <f>IF(dataset_A!C292=1,"Spring",IF(dataset_A!C292=2,"Summer",IF(dataset_A!C292=3,"Fail","Winter")))</f>
        <v>Spring</v>
      </c>
      <c r="J292" s="38" t="str">
        <f>IF(dataset_A!I292=1,"Clear",IF(dataset_A!I292,"Mist/Cloudy",IF(dataset_A!I292=3,"Light Rain/Snow","Heavy Rain/Snow")))</f>
        <v>Clear</v>
      </c>
      <c r="K292" s="38">
        <f>dataset_A!N292</f>
        <v>8</v>
      </c>
      <c r="L292" s="38">
        <f>dataset_A!O292</f>
        <v>68</v>
      </c>
      <c r="M292" s="38">
        <f>dataset_A!P292</f>
        <v>76</v>
      </c>
      <c r="N292" s="38" t="str">
        <f t="shared" si="3"/>
        <v>Ok</v>
      </c>
      <c r="O292" s="38" t="str">
        <f>IF(M292&gt;Analysis!$B$3*1.5,"High",IF(M292&lt;Analysis!$B$3*0.5,"Low","Medium"))</f>
        <v>Medium</v>
      </c>
      <c r="P292" s="38" t="str">
        <f>VLOOKUP(dataset_A!C292,$Q$2:$R$5,2,0)</f>
        <v>Spring</v>
      </c>
      <c r="S292" s="38" t="str">
        <f t="array" ref="S292">INDEX($R$2:$R$5,MATCH(dataset_A!C292,$Q$2:$Q$5,0))</f>
        <v>Spring</v>
      </c>
      <c r="T292" s="38" t="str">
        <f t="shared" si="4"/>
        <v>Match</v>
      </c>
    </row>
    <row r="293" ht="12.75" customHeight="1">
      <c r="A293" s="38">
        <f>dataset_A!A293</f>
        <v>248</v>
      </c>
      <c r="B293" s="39">
        <f>dataset_A!B293</f>
        <v>40554</v>
      </c>
      <c r="C293" s="38">
        <f>dataset_A!F293</f>
        <v>16</v>
      </c>
      <c r="D293" s="38">
        <f>dataset_A!H293</f>
        <v>2</v>
      </c>
      <c r="E293" s="38" t="b">
        <f>dataset_A!G293</f>
        <v>0</v>
      </c>
      <c r="F293" s="38" t="b">
        <f>dataset_A!G293</f>
        <v>0</v>
      </c>
      <c r="G293" s="38" t="str">
        <f t="shared" si="1"/>
        <v>Weekday</v>
      </c>
      <c r="H293" s="38" t="str">
        <f t="shared" si="2"/>
        <v>Afternoon</v>
      </c>
      <c r="I293" s="38" t="str">
        <f>IF(dataset_A!C293=1,"Spring",IF(dataset_A!C293=2,"Summer",IF(dataset_A!C293=3,"Fail","Winter")))</f>
        <v>Spring</v>
      </c>
      <c r="J293" s="38" t="str">
        <f>IF(dataset_A!I293=1,"Clear",IF(dataset_A!I293,"Mist/Cloudy",IF(dataset_A!I293=3,"Light Rain/Snow","Heavy Rain/Snow")))</f>
        <v>Mist/Cloudy</v>
      </c>
      <c r="K293" s="38">
        <f>dataset_A!N293</f>
        <v>4</v>
      </c>
      <c r="L293" s="38">
        <f>dataset_A!O293</f>
        <v>72</v>
      </c>
      <c r="M293" s="38">
        <f>dataset_A!P293</f>
        <v>76</v>
      </c>
      <c r="N293" s="38" t="str">
        <f t="shared" si="3"/>
        <v>Ok</v>
      </c>
      <c r="O293" s="38" t="str">
        <f>IF(M293&gt;Analysis!$B$3*1.5,"High",IF(M293&lt;Analysis!$B$3*0.5,"Low","Medium"))</f>
        <v>Medium</v>
      </c>
      <c r="P293" s="38" t="str">
        <f>VLOOKUP(dataset_A!C293,$Q$2:$R$5,2,0)</f>
        <v>Spring</v>
      </c>
      <c r="S293" s="38" t="str">
        <f t="array" ref="S293">INDEX($R$2:$R$5,MATCH(dataset_A!C293,$Q$2:$Q$5,0))</f>
        <v>Spring</v>
      </c>
      <c r="T293" s="38" t="str">
        <f t="shared" si="4"/>
        <v>Match</v>
      </c>
    </row>
    <row r="294" ht="12.75" customHeight="1">
      <c r="A294" s="38">
        <f>dataset_A!A294</f>
        <v>428</v>
      </c>
      <c r="B294" s="39">
        <f>dataset_A!B294</f>
        <v>40562</v>
      </c>
      <c r="C294" s="38">
        <f>dataset_A!F294</f>
        <v>20</v>
      </c>
      <c r="D294" s="38">
        <f>dataset_A!H294</f>
        <v>3</v>
      </c>
      <c r="E294" s="38" t="b">
        <f>dataset_A!G294</f>
        <v>0</v>
      </c>
      <c r="F294" s="38" t="b">
        <f>dataset_A!G294</f>
        <v>0</v>
      </c>
      <c r="G294" s="38" t="str">
        <f t="shared" si="1"/>
        <v>Weekday</v>
      </c>
      <c r="H294" s="38" t="str">
        <f t="shared" si="2"/>
        <v>Evening</v>
      </c>
      <c r="I294" s="38" t="str">
        <f>IF(dataset_A!C294=1,"Spring",IF(dataset_A!C294=2,"Summer",IF(dataset_A!C294=3,"Fail","Winter")))</f>
        <v>Spring</v>
      </c>
      <c r="J294" s="38" t="str">
        <f>IF(dataset_A!I294=1,"Clear",IF(dataset_A!I294,"Mist/Cloudy",IF(dataset_A!I294=3,"Light Rain/Snow","Heavy Rain/Snow")))</f>
        <v>Clear</v>
      </c>
      <c r="K294" s="38">
        <f>dataset_A!N294</f>
        <v>2</v>
      </c>
      <c r="L294" s="38">
        <f>dataset_A!O294</f>
        <v>74</v>
      </c>
      <c r="M294" s="38">
        <f>dataset_A!P294</f>
        <v>76</v>
      </c>
      <c r="N294" s="38" t="str">
        <f t="shared" si="3"/>
        <v>Ok</v>
      </c>
      <c r="O294" s="38" t="str">
        <f>IF(M294&gt;Analysis!$B$3*1.5,"High",IF(M294&lt;Analysis!$B$3*0.5,"Low","Medium"))</f>
        <v>Medium</v>
      </c>
      <c r="P294" s="38" t="str">
        <f>VLOOKUP(dataset_A!C294,$Q$2:$R$5,2,0)</f>
        <v>Spring</v>
      </c>
      <c r="S294" s="38" t="str">
        <f t="array" ref="S294">INDEX($R$2:$R$5,MATCH(dataset_A!C294,$Q$2:$Q$5,0))</f>
        <v>Spring</v>
      </c>
      <c r="T294" s="38" t="str">
        <f t="shared" si="4"/>
        <v>Match</v>
      </c>
    </row>
    <row r="295" ht="12.75" customHeight="1">
      <c r="A295" s="38">
        <f>dataset_A!A295</f>
        <v>727</v>
      </c>
      <c r="B295" s="39">
        <f>dataset_A!B295</f>
        <v>40576</v>
      </c>
      <c r="C295" s="38">
        <f>dataset_A!F295</f>
        <v>15</v>
      </c>
      <c r="D295" s="38">
        <f>dataset_A!H295</f>
        <v>3</v>
      </c>
      <c r="E295" s="38" t="b">
        <f>dataset_A!G295</f>
        <v>0</v>
      </c>
      <c r="F295" s="38" t="b">
        <f>dataset_A!G295</f>
        <v>0</v>
      </c>
      <c r="G295" s="38" t="str">
        <f t="shared" si="1"/>
        <v>Weekday</v>
      </c>
      <c r="H295" s="38" t="str">
        <f t="shared" si="2"/>
        <v>Afternoon</v>
      </c>
      <c r="I295" s="38" t="str">
        <f>IF(dataset_A!C295=1,"Spring",IF(dataset_A!C295=2,"Summer",IF(dataset_A!C295=3,"Fail","Winter")))</f>
        <v>Spring</v>
      </c>
      <c r="J295" s="38" t="str">
        <f>IF(dataset_A!I295=1,"Clear",IF(dataset_A!I295,"Mist/Cloudy",IF(dataset_A!I295=3,"Light Rain/Snow","Heavy Rain/Snow")))</f>
        <v>Clear</v>
      </c>
      <c r="K295" s="38">
        <f>dataset_A!N295</f>
        <v>10</v>
      </c>
      <c r="L295" s="38">
        <f>dataset_A!O295</f>
        <v>66</v>
      </c>
      <c r="M295" s="38">
        <f>dataset_A!P295</f>
        <v>76</v>
      </c>
      <c r="N295" s="38" t="str">
        <f t="shared" si="3"/>
        <v>Ok</v>
      </c>
      <c r="O295" s="38" t="str">
        <f>IF(M295&gt;Analysis!$B$3*1.5,"High",IF(M295&lt;Analysis!$B$3*0.5,"Low","Medium"))</f>
        <v>Medium</v>
      </c>
      <c r="P295" s="38" t="str">
        <f>VLOOKUP(dataset_A!C295,$Q$2:$R$5,2,0)</f>
        <v>Spring</v>
      </c>
      <c r="S295" s="38" t="str">
        <f t="array" ref="S295">INDEX($R$2:$R$5,MATCH(dataset_A!C295,$Q$2:$Q$5,0))</f>
        <v>Spring</v>
      </c>
      <c r="T295" s="38" t="str">
        <f t="shared" si="4"/>
        <v>Match</v>
      </c>
    </row>
    <row r="296" ht="12.75" customHeight="1">
      <c r="A296" s="38">
        <f>dataset_A!A296</f>
        <v>37</v>
      </c>
      <c r="B296" s="39">
        <f>dataset_A!B296</f>
        <v>40545</v>
      </c>
      <c r="C296" s="38">
        <f>dataset_A!F296</f>
        <v>13</v>
      </c>
      <c r="D296" s="38">
        <f>dataset_A!H296</f>
        <v>0</v>
      </c>
      <c r="E296" s="38" t="b">
        <f>dataset_A!G296</f>
        <v>0</v>
      </c>
      <c r="F296" s="38" t="b">
        <f>dataset_A!G296</f>
        <v>0</v>
      </c>
      <c r="G296" s="38" t="str">
        <f t="shared" si="1"/>
        <v>Weekend</v>
      </c>
      <c r="H296" s="38" t="str">
        <f t="shared" si="2"/>
        <v>Afternoon</v>
      </c>
      <c r="I296" s="38" t="str">
        <f>IF(dataset_A!C296=1,"Spring",IF(dataset_A!C296=2,"Summer",IF(dataset_A!C296=3,"Fail","Winter")))</f>
        <v>Spring</v>
      </c>
      <c r="J296" s="38" t="str">
        <f>IF(dataset_A!I296=1,"Clear",IF(dataset_A!I296,"Mist/Cloudy",IF(dataset_A!I296=3,"Light Rain/Snow","Heavy Rain/Snow")))</f>
        <v>Mist/Cloudy</v>
      </c>
      <c r="K296" s="38">
        <f>dataset_A!N296</f>
        <v>11</v>
      </c>
      <c r="L296" s="38">
        <f>dataset_A!O296</f>
        <v>64</v>
      </c>
      <c r="M296" s="38">
        <f>dataset_A!P296</f>
        <v>75</v>
      </c>
      <c r="N296" s="38" t="str">
        <f t="shared" si="3"/>
        <v>Ok</v>
      </c>
      <c r="O296" s="38" t="str">
        <f>IF(M296&gt;Analysis!$B$3*1.5,"High",IF(M296&lt;Analysis!$B$3*0.5,"Low","Medium"))</f>
        <v>Medium</v>
      </c>
      <c r="P296" s="38" t="str">
        <f>VLOOKUP(dataset_A!C296,$Q$2:$R$5,2,0)</f>
        <v>Spring</v>
      </c>
      <c r="S296" s="38" t="str">
        <f t="array" ref="S296">INDEX($R$2:$R$5,MATCH(dataset_A!C296,$Q$2:$Q$5,0))</f>
        <v>Spring</v>
      </c>
      <c r="T296" s="38" t="str">
        <f t="shared" si="4"/>
        <v>Match</v>
      </c>
    </row>
    <row r="297" ht="12.75" customHeight="1">
      <c r="A297" s="38">
        <f>dataset_A!A297</f>
        <v>199</v>
      </c>
      <c r="B297" s="39">
        <f>dataset_A!B297</f>
        <v>40552</v>
      </c>
      <c r="C297" s="38">
        <f>dataset_A!F297</f>
        <v>13</v>
      </c>
      <c r="D297" s="38">
        <f>dataset_A!H297</f>
        <v>0</v>
      </c>
      <c r="E297" s="38" t="b">
        <f>dataset_A!G297</f>
        <v>0</v>
      </c>
      <c r="F297" s="38" t="b">
        <f>dataset_A!G297</f>
        <v>0</v>
      </c>
      <c r="G297" s="38" t="str">
        <f t="shared" si="1"/>
        <v>Weekend</v>
      </c>
      <c r="H297" s="38" t="str">
        <f t="shared" si="2"/>
        <v>Afternoon</v>
      </c>
      <c r="I297" s="38" t="str">
        <f>IF(dataset_A!C297=1,"Spring",IF(dataset_A!C297=2,"Summer",IF(dataset_A!C297=3,"Fail","Winter")))</f>
        <v>Spring</v>
      </c>
      <c r="J297" s="38" t="str">
        <f>IF(dataset_A!I297=1,"Clear",IF(dataset_A!I297,"Mist/Cloudy",IF(dataset_A!I297=3,"Light Rain/Snow","Heavy Rain/Snow")))</f>
        <v>Clear</v>
      </c>
      <c r="K297" s="38">
        <f>dataset_A!N297</f>
        <v>6</v>
      </c>
      <c r="L297" s="38">
        <f>dataset_A!O297</f>
        <v>69</v>
      </c>
      <c r="M297" s="38">
        <f>dataset_A!P297</f>
        <v>75</v>
      </c>
      <c r="N297" s="38" t="str">
        <f t="shared" si="3"/>
        <v>Ok</v>
      </c>
      <c r="O297" s="38" t="str">
        <f>IF(M297&gt;Analysis!$B$3*1.5,"High",IF(M297&lt;Analysis!$B$3*0.5,"Low","Medium"))</f>
        <v>Medium</v>
      </c>
      <c r="P297" s="38" t="str">
        <f>VLOOKUP(dataset_A!C297,$Q$2:$R$5,2,0)</f>
        <v>Spring</v>
      </c>
      <c r="S297" s="38" t="str">
        <f t="array" ref="S297">INDEX($R$2:$R$5,MATCH(dataset_A!C297,$Q$2:$Q$5,0))</f>
        <v>Spring</v>
      </c>
      <c r="T297" s="38" t="str">
        <f t="shared" si="4"/>
        <v>Match</v>
      </c>
    </row>
    <row r="298" ht="12.75" customHeight="1">
      <c r="A298" s="38">
        <f>dataset_A!A298</f>
        <v>422</v>
      </c>
      <c r="B298" s="39">
        <f>dataset_A!B298</f>
        <v>40562</v>
      </c>
      <c r="C298" s="38">
        <f>dataset_A!F298</f>
        <v>14</v>
      </c>
      <c r="D298" s="38">
        <f>dataset_A!H298</f>
        <v>3</v>
      </c>
      <c r="E298" s="38" t="b">
        <f>dataset_A!G298</f>
        <v>0</v>
      </c>
      <c r="F298" s="38" t="b">
        <f>dataset_A!G298</f>
        <v>0</v>
      </c>
      <c r="G298" s="38" t="str">
        <f t="shared" si="1"/>
        <v>Weekday</v>
      </c>
      <c r="H298" s="38" t="str">
        <f t="shared" si="2"/>
        <v>Afternoon</v>
      </c>
      <c r="I298" s="38" t="str">
        <f>IF(dataset_A!C298=1,"Spring",IF(dataset_A!C298=2,"Summer",IF(dataset_A!C298=3,"Fail","Winter")))</f>
        <v>Spring</v>
      </c>
      <c r="J298" s="38" t="str">
        <f>IF(dataset_A!I298=1,"Clear",IF(dataset_A!I298,"Mist/Cloudy",IF(dataset_A!I298=3,"Light Rain/Snow","Heavy Rain/Snow")))</f>
        <v>Clear</v>
      </c>
      <c r="K298" s="38">
        <f>dataset_A!N298</f>
        <v>7</v>
      </c>
      <c r="L298" s="38">
        <f>dataset_A!O298</f>
        <v>68</v>
      </c>
      <c r="M298" s="38">
        <f>dataset_A!P298</f>
        <v>75</v>
      </c>
      <c r="N298" s="38" t="str">
        <f t="shared" si="3"/>
        <v>Ok</v>
      </c>
      <c r="O298" s="38" t="str">
        <f>IF(M298&gt;Analysis!$B$3*1.5,"High",IF(M298&lt;Analysis!$B$3*0.5,"Low","Medium"))</f>
        <v>Medium</v>
      </c>
      <c r="P298" s="38" t="str">
        <f>VLOOKUP(dataset_A!C298,$Q$2:$R$5,2,0)</f>
        <v>Spring</v>
      </c>
      <c r="S298" s="38" t="str">
        <f t="array" ref="S298">INDEX($R$2:$R$5,MATCH(dataset_A!C298,$Q$2:$Q$5,0))</f>
        <v>Spring</v>
      </c>
      <c r="T298" s="38" t="str">
        <f t="shared" si="4"/>
        <v>Match</v>
      </c>
    </row>
    <row r="299" ht="12.75" customHeight="1">
      <c r="A299" s="38">
        <f>dataset_A!A299</f>
        <v>493</v>
      </c>
      <c r="B299" s="39">
        <f>dataset_A!B299</f>
        <v>40565</v>
      </c>
      <c r="C299" s="38">
        <f>dataset_A!F299</f>
        <v>14</v>
      </c>
      <c r="D299" s="38">
        <f>dataset_A!H299</f>
        <v>6</v>
      </c>
      <c r="E299" s="38" t="b">
        <f>dataset_A!G299</f>
        <v>0</v>
      </c>
      <c r="F299" s="38" t="b">
        <f>dataset_A!G299</f>
        <v>0</v>
      </c>
      <c r="G299" s="38" t="str">
        <f t="shared" si="1"/>
        <v>Weekend</v>
      </c>
      <c r="H299" s="38" t="str">
        <f t="shared" si="2"/>
        <v>Afternoon</v>
      </c>
      <c r="I299" s="38" t="str">
        <f>IF(dataset_A!C299=1,"Spring",IF(dataset_A!C299=2,"Summer",IF(dataset_A!C299=3,"Fail","Winter")))</f>
        <v>Spring</v>
      </c>
      <c r="J299" s="38" t="str">
        <f>IF(dataset_A!I299=1,"Clear",IF(dataset_A!I299,"Mist/Cloudy",IF(dataset_A!I299=3,"Light Rain/Snow","Heavy Rain/Snow")))</f>
        <v>Clear</v>
      </c>
      <c r="K299" s="38">
        <f>dataset_A!N299</f>
        <v>11</v>
      </c>
      <c r="L299" s="38">
        <f>dataset_A!O299</f>
        <v>64</v>
      </c>
      <c r="M299" s="38">
        <f>dataset_A!P299</f>
        <v>75</v>
      </c>
      <c r="N299" s="38" t="str">
        <f t="shared" si="3"/>
        <v>Ok</v>
      </c>
      <c r="O299" s="38" t="str">
        <f>IF(M299&gt;Analysis!$B$3*1.5,"High",IF(M299&lt;Analysis!$B$3*0.5,"Low","Medium"))</f>
        <v>Medium</v>
      </c>
      <c r="P299" s="38" t="str">
        <f>VLOOKUP(dataset_A!C299,$Q$2:$R$5,2,0)</f>
        <v>Spring</v>
      </c>
      <c r="S299" s="38" t="str">
        <f t="array" ref="S299">INDEX($R$2:$R$5,MATCH(dataset_A!C299,$Q$2:$Q$5,0))</f>
        <v>Spring</v>
      </c>
      <c r="T299" s="38" t="str">
        <f t="shared" si="4"/>
        <v>Match</v>
      </c>
    </row>
    <row r="300" ht="12.75" customHeight="1">
      <c r="A300" s="38">
        <f>dataset_A!A300</f>
        <v>725</v>
      </c>
      <c r="B300" s="39">
        <f>dataset_A!B300</f>
        <v>40576</v>
      </c>
      <c r="C300" s="38">
        <f>dataset_A!F300</f>
        <v>13</v>
      </c>
      <c r="D300" s="38">
        <f>dataset_A!H300</f>
        <v>3</v>
      </c>
      <c r="E300" s="38" t="b">
        <f>dataset_A!G300</f>
        <v>0</v>
      </c>
      <c r="F300" s="38" t="b">
        <f>dataset_A!G300</f>
        <v>0</v>
      </c>
      <c r="G300" s="38" t="str">
        <f t="shared" si="1"/>
        <v>Weekday</v>
      </c>
      <c r="H300" s="38" t="str">
        <f t="shared" si="2"/>
        <v>Afternoon</v>
      </c>
      <c r="I300" s="38" t="str">
        <f>IF(dataset_A!C300=1,"Spring",IF(dataset_A!C300=2,"Summer",IF(dataset_A!C300=3,"Fail","Winter")))</f>
        <v>Spring</v>
      </c>
      <c r="J300" s="38" t="str">
        <f>IF(dataset_A!I300=1,"Clear",IF(dataset_A!I300,"Mist/Cloudy",IF(dataset_A!I300=3,"Light Rain/Snow","Heavy Rain/Snow")))</f>
        <v>Clear</v>
      </c>
      <c r="K300" s="38">
        <f>dataset_A!N300</f>
        <v>1</v>
      </c>
      <c r="L300" s="38">
        <f>dataset_A!O300</f>
        <v>74</v>
      </c>
      <c r="M300" s="38">
        <f>dataset_A!P300</f>
        <v>75</v>
      </c>
      <c r="N300" s="38" t="str">
        <f t="shared" si="3"/>
        <v>Ok</v>
      </c>
      <c r="O300" s="38" t="str">
        <f>IF(M300&gt;Analysis!$B$3*1.5,"High",IF(M300&lt;Analysis!$B$3*0.5,"Low","Medium"))</f>
        <v>Medium</v>
      </c>
      <c r="P300" s="38" t="str">
        <f>VLOOKUP(dataset_A!C300,$Q$2:$R$5,2,0)</f>
        <v>Spring</v>
      </c>
      <c r="S300" s="38" t="str">
        <f t="array" ref="S300">INDEX($R$2:$R$5,MATCH(dataset_A!C300,$Q$2:$Q$5,0))</f>
        <v>Spring</v>
      </c>
      <c r="T300" s="38" t="str">
        <f t="shared" si="4"/>
        <v>Match</v>
      </c>
    </row>
    <row r="301" ht="12.75" customHeight="1">
      <c r="A301" s="38">
        <f>dataset_A!A301</f>
        <v>732</v>
      </c>
      <c r="B301" s="39">
        <f>dataset_A!B301</f>
        <v>40576</v>
      </c>
      <c r="C301" s="38">
        <f>dataset_A!F301</f>
        <v>20</v>
      </c>
      <c r="D301" s="38">
        <f>dataset_A!H301</f>
        <v>3</v>
      </c>
      <c r="E301" s="38" t="b">
        <f>dataset_A!G301</f>
        <v>0</v>
      </c>
      <c r="F301" s="38" t="b">
        <f>dataset_A!G301</f>
        <v>0</v>
      </c>
      <c r="G301" s="38" t="str">
        <f t="shared" si="1"/>
        <v>Weekday</v>
      </c>
      <c r="H301" s="38" t="str">
        <f t="shared" si="2"/>
        <v>Evening</v>
      </c>
      <c r="I301" s="38" t="str">
        <f>IF(dataset_A!C301=1,"Spring",IF(dataset_A!C301=2,"Summer",IF(dataset_A!C301=3,"Fail","Winter")))</f>
        <v>Spring</v>
      </c>
      <c r="J301" s="38" t="str">
        <f>IF(dataset_A!I301=1,"Clear",IF(dataset_A!I301,"Mist/Cloudy",IF(dataset_A!I301=3,"Light Rain/Snow","Heavy Rain/Snow")))</f>
        <v>Clear</v>
      </c>
      <c r="K301" s="38">
        <f>dataset_A!N301</f>
        <v>4</v>
      </c>
      <c r="L301" s="38">
        <f>dataset_A!O301</f>
        <v>71</v>
      </c>
      <c r="M301" s="38">
        <f>dataset_A!P301</f>
        <v>75</v>
      </c>
      <c r="N301" s="38" t="str">
        <f t="shared" si="3"/>
        <v>Ok</v>
      </c>
      <c r="O301" s="38" t="str">
        <f>IF(M301&gt;Analysis!$B$3*1.5,"High",IF(M301&lt;Analysis!$B$3*0.5,"Low","Medium"))</f>
        <v>Medium</v>
      </c>
      <c r="P301" s="38" t="str">
        <f>VLOOKUP(dataset_A!C301,$Q$2:$R$5,2,0)</f>
        <v>Spring</v>
      </c>
      <c r="S301" s="38" t="str">
        <f t="array" ref="S301">INDEX($R$2:$R$5,MATCH(dataset_A!C301,$Q$2:$Q$5,0))</f>
        <v>Spring</v>
      </c>
      <c r="T301" s="38" t="str">
        <f t="shared" si="4"/>
        <v>Match</v>
      </c>
    </row>
    <row r="302" ht="12.75" customHeight="1">
      <c r="A302" s="38">
        <f>dataset_A!A302</f>
        <v>39</v>
      </c>
      <c r="B302" s="39">
        <f>dataset_A!B302</f>
        <v>40545</v>
      </c>
      <c r="C302" s="38">
        <f>dataset_A!F302</f>
        <v>15</v>
      </c>
      <c r="D302" s="38">
        <f>dataset_A!H302</f>
        <v>0</v>
      </c>
      <c r="E302" s="38" t="b">
        <f>dataset_A!G302</f>
        <v>0</v>
      </c>
      <c r="F302" s="38" t="b">
        <f>dataset_A!G302</f>
        <v>0</v>
      </c>
      <c r="G302" s="38" t="str">
        <f t="shared" si="1"/>
        <v>Weekend</v>
      </c>
      <c r="H302" s="38" t="str">
        <f t="shared" si="2"/>
        <v>Afternoon</v>
      </c>
      <c r="I302" s="38" t="str">
        <f>IF(dataset_A!C302=1,"Spring",IF(dataset_A!C302=2,"Summer",IF(dataset_A!C302=3,"Fail","Winter")))</f>
        <v>Spring</v>
      </c>
      <c r="J302" s="38" t="str">
        <f>IF(dataset_A!I302=1,"Clear",IF(dataset_A!I302,"Mist/Cloudy",IF(dataset_A!I302=3,"Light Rain/Snow","Heavy Rain/Snow")))</f>
        <v>Mist/Cloudy</v>
      </c>
      <c r="K302" s="38">
        <f>dataset_A!N302</f>
        <v>19</v>
      </c>
      <c r="L302" s="38">
        <f>dataset_A!O302</f>
        <v>55</v>
      </c>
      <c r="M302" s="38">
        <f>dataset_A!P302</f>
        <v>74</v>
      </c>
      <c r="N302" s="38" t="str">
        <f t="shared" si="3"/>
        <v>Ok</v>
      </c>
      <c r="O302" s="38" t="str">
        <f>IF(M302&gt;Analysis!$B$3*1.5,"High",IF(M302&lt;Analysis!$B$3*0.5,"Low","Medium"))</f>
        <v>Medium</v>
      </c>
      <c r="P302" s="38" t="str">
        <f>VLOOKUP(dataset_A!C302,$Q$2:$R$5,2,0)</f>
        <v>Spring</v>
      </c>
      <c r="S302" s="38" t="str">
        <f t="array" ref="S302">INDEX($R$2:$R$5,MATCH(dataset_A!C302,$Q$2:$Q$5,0))</f>
        <v>Spring</v>
      </c>
      <c r="T302" s="38" t="str">
        <f t="shared" si="4"/>
        <v>Match</v>
      </c>
    </row>
    <row r="303" ht="12.75" customHeight="1">
      <c r="A303" s="38">
        <f>dataset_A!A303</f>
        <v>177</v>
      </c>
      <c r="B303" s="39">
        <f>dataset_A!B303</f>
        <v>40551</v>
      </c>
      <c r="C303" s="38">
        <f>dataset_A!F303</f>
        <v>15</v>
      </c>
      <c r="D303" s="38">
        <f>dataset_A!H303</f>
        <v>6</v>
      </c>
      <c r="E303" s="38" t="b">
        <f>dataset_A!G303</f>
        <v>0</v>
      </c>
      <c r="F303" s="38" t="b">
        <f>dataset_A!G303</f>
        <v>0</v>
      </c>
      <c r="G303" s="38" t="str">
        <f t="shared" si="1"/>
        <v>Weekend</v>
      </c>
      <c r="H303" s="38" t="str">
        <f t="shared" si="2"/>
        <v>Afternoon</v>
      </c>
      <c r="I303" s="38" t="str">
        <f>IF(dataset_A!C303=1,"Spring",IF(dataset_A!C303=2,"Summer",IF(dataset_A!C303=3,"Fail","Winter")))</f>
        <v>Spring</v>
      </c>
      <c r="J303" s="38" t="str">
        <f>IF(dataset_A!I303=1,"Clear",IF(dataset_A!I303,"Mist/Cloudy",IF(dataset_A!I303=3,"Light Rain/Snow","Heavy Rain/Snow")))</f>
        <v>Clear</v>
      </c>
      <c r="K303" s="38">
        <f>dataset_A!N303</f>
        <v>5</v>
      </c>
      <c r="L303" s="38">
        <f>dataset_A!O303</f>
        <v>69</v>
      </c>
      <c r="M303" s="38">
        <f>dataset_A!P303</f>
        <v>74</v>
      </c>
      <c r="N303" s="38" t="str">
        <f t="shared" si="3"/>
        <v>Ok</v>
      </c>
      <c r="O303" s="38" t="str">
        <f>IF(M303&gt;Analysis!$B$3*1.5,"High",IF(M303&lt;Analysis!$B$3*0.5,"Low","Medium"))</f>
        <v>Medium</v>
      </c>
      <c r="P303" s="38" t="str">
        <f>VLOOKUP(dataset_A!C303,$Q$2:$R$5,2,0)</f>
        <v>Spring</v>
      </c>
      <c r="S303" s="38" t="str">
        <f t="array" ref="S303">INDEX($R$2:$R$5,MATCH(dataset_A!C303,$Q$2:$Q$5,0))</f>
        <v>Spring</v>
      </c>
      <c r="T303" s="38" t="str">
        <f t="shared" si="4"/>
        <v>Match</v>
      </c>
    </row>
    <row r="304" ht="12.75" customHeight="1">
      <c r="A304" s="38">
        <f>dataset_A!A304</f>
        <v>226</v>
      </c>
      <c r="B304" s="39">
        <f>dataset_A!B304</f>
        <v>40553</v>
      </c>
      <c r="C304" s="38">
        <f>dataset_A!F304</f>
        <v>16</v>
      </c>
      <c r="D304" s="38">
        <f>dataset_A!H304</f>
        <v>1</v>
      </c>
      <c r="E304" s="38" t="b">
        <f>dataset_A!G304</f>
        <v>0</v>
      </c>
      <c r="F304" s="38" t="b">
        <f>dataset_A!G304</f>
        <v>0</v>
      </c>
      <c r="G304" s="38" t="str">
        <f t="shared" si="1"/>
        <v>Weekday</v>
      </c>
      <c r="H304" s="38" t="str">
        <f t="shared" si="2"/>
        <v>Afternoon</v>
      </c>
      <c r="I304" s="38" t="str">
        <f>IF(dataset_A!C304=1,"Spring",IF(dataset_A!C304=2,"Summer",IF(dataset_A!C304=3,"Fail","Winter")))</f>
        <v>Spring</v>
      </c>
      <c r="J304" s="38" t="str">
        <f>IF(dataset_A!I304=1,"Clear",IF(dataset_A!I304,"Mist/Cloudy",IF(dataset_A!I304=3,"Light Rain/Snow","Heavy Rain/Snow")))</f>
        <v>Clear</v>
      </c>
      <c r="K304" s="38">
        <f>dataset_A!N304</f>
        <v>4</v>
      </c>
      <c r="L304" s="38">
        <f>dataset_A!O304</f>
        <v>70</v>
      </c>
      <c r="M304" s="38">
        <f>dataset_A!P304</f>
        <v>74</v>
      </c>
      <c r="N304" s="38" t="str">
        <f t="shared" si="3"/>
        <v>Ok</v>
      </c>
      <c r="O304" s="38" t="str">
        <f>IF(M304&gt;Analysis!$B$3*1.5,"High",IF(M304&lt;Analysis!$B$3*0.5,"Low","Medium"))</f>
        <v>Medium</v>
      </c>
      <c r="P304" s="38" t="str">
        <f>VLOOKUP(dataset_A!C304,$Q$2:$R$5,2,0)</f>
        <v>Spring</v>
      </c>
      <c r="S304" s="38" t="str">
        <f t="array" ref="S304">INDEX($R$2:$R$5,MATCH(dataset_A!C304,$Q$2:$Q$5,0))</f>
        <v>Spring</v>
      </c>
      <c r="T304" s="38" t="str">
        <f t="shared" si="4"/>
        <v>Match</v>
      </c>
    </row>
    <row r="305" ht="12.75" customHeight="1">
      <c r="A305" s="38">
        <f>dataset_A!A305</f>
        <v>230</v>
      </c>
      <c r="B305" s="39">
        <f>dataset_A!B305</f>
        <v>40553</v>
      </c>
      <c r="C305" s="38">
        <f>dataset_A!F305</f>
        <v>20</v>
      </c>
      <c r="D305" s="38">
        <f>dataset_A!H305</f>
        <v>1</v>
      </c>
      <c r="E305" s="38" t="b">
        <f>dataset_A!G305</f>
        <v>0</v>
      </c>
      <c r="F305" s="38" t="b">
        <f>dataset_A!G305</f>
        <v>0</v>
      </c>
      <c r="G305" s="38" t="str">
        <f t="shared" si="1"/>
        <v>Weekday</v>
      </c>
      <c r="H305" s="38" t="str">
        <f t="shared" si="2"/>
        <v>Evening</v>
      </c>
      <c r="I305" s="38" t="str">
        <f>IF(dataset_A!C305=1,"Spring",IF(dataset_A!C305=2,"Summer",IF(dataset_A!C305=3,"Fail","Winter")))</f>
        <v>Spring</v>
      </c>
      <c r="J305" s="38" t="str">
        <f>IF(dataset_A!I305=1,"Clear",IF(dataset_A!I305,"Mist/Cloudy",IF(dataset_A!I305=3,"Light Rain/Snow","Heavy Rain/Snow")))</f>
        <v>Clear</v>
      </c>
      <c r="K305" s="38">
        <f>dataset_A!N305</f>
        <v>1</v>
      </c>
      <c r="L305" s="38">
        <f>dataset_A!O305</f>
        <v>73</v>
      </c>
      <c r="M305" s="38">
        <f>dataset_A!P305</f>
        <v>74</v>
      </c>
      <c r="N305" s="38" t="str">
        <f t="shared" si="3"/>
        <v>Ok</v>
      </c>
      <c r="O305" s="38" t="str">
        <f>IF(M305&gt;Analysis!$B$3*1.5,"High",IF(M305&lt;Analysis!$B$3*0.5,"Low","Medium"))</f>
        <v>Medium</v>
      </c>
      <c r="P305" s="38" t="str">
        <f>VLOOKUP(dataset_A!C305,$Q$2:$R$5,2,0)</f>
        <v>Spring</v>
      </c>
      <c r="S305" s="38" t="str">
        <f t="array" ref="S305">INDEX($R$2:$R$5,MATCH(dataset_A!C305,$Q$2:$Q$5,0))</f>
        <v>Spring</v>
      </c>
      <c r="T305" s="38" t="str">
        <f t="shared" si="4"/>
        <v>Match</v>
      </c>
    </row>
    <row r="306" ht="12.75" customHeight="1">
      <c r="A306" s="38">
        <f>dataset_A!A306</f>
        <v>344</v>
      </c>
      <c r="B306" s="39">
        <f>dataset_A!B306</f>
        <v>40558</v>
      </c>
      <c r="C306" s="38">
        <f>dataset_A!F306</f>
        <v>19</v>
      </c>
      <c r="D306" s="38">
        <f>dataset_A!H306</f>
        <v>6</v>
      </c>
      <c r="E306" s="38" t="b">
        <f>dataset_A!G306</f>
        <v>0</v>
      </c>
      <c r="F306" s="38" t="b">
        <f>dataset_A!G306</f>
        <v>0</v>
      </c>
      <c r="G306" s="38" t="str">
        <f t="shared" si="1"/>
        <v>Weekend</v>
      </c>
      <c r="H306" s="38" t="str">
        <f t="shared" si="2"/>
        <v>Evening</v>
      </c>
      <c r="I306" s="38" t="str">
        <f>IF(dataset_A!C306=1,"Spring",IF(dataset_A!C306=2,"Summer",IF(dataset_A!C306=3,"Fail","Winter")))</f>
        <v>Spring</v>
      </c>
      <c r="J306" s="38" t="str">
        <f>IF(dataset_A!I306=1,"Clear",IF(dataset_A!I306,"Mist/Cloudy",IF(dataset_A!I306=3,"Light Rain/Snow","Heavy Rain/Snow")))</f>
        <v>Mist/Cloudy</v>
      </c>
      <c r="K306" s="38">
        <f>dataset_A!N306</f>
        <v>14</v>
      </c>
      <c r="L306" s="38">
        <f>dataset_A!O306</f>
        <v>60</v>
      </c>
      <c r="M306" s="38">
        <f>dataset_A!P306</f>
        <v>74</v>
      </c>
      <c r="N306" s="38" t="str">
        <f t="shared" si="3"/>
        <v>Ok</v>
      </c>
      <c r="O306" s="38" t="str">
        <f>IF(M306&gt;Analysis!$B$3*1.5,"High",IF(M306&lt;Analysis!$B$3*0.5,"Low","Medium"))</f>
        <v>Medium</v>
      </c>
      <c r="P306" s="38" t="str">
        <f>VLOOKUP(dataset_A!C306,$Q$2:$R$5,2,0)</f>
        <v>Spring</v>
      </c>
      <c r="S306" s="38" t="str">
        <f t="array" ref="S306">INDEX($R$2:$R$5,MATCH(dataset_A!C306,$Q$2:$Q$5,0))</f>
        <v>Spring</v>
      </c>
      <c r="T306" s="38" t="str">
        <f t="shared" si="4"/>
        <v>Match</v>
      </c>
    </row>
    <row r="307" ht="12.75" customHeight="1">
      <c r="A307" s="38">
        <f>dataset_A!A307</f>
        <v>708</v>
      </c>
      <c r="B307" s="39">
        <f>dataset_A!B307</f>
        <v>40575</v>
      </c>
      <c r="C307" s="38">
        <f>dataset_A!F307</f>
        <v>20</v>
      </c>
      <c r="D307" s="38">
        <f>dataset_A!H307</f>
        <v>2</v>
      </c>
      <c r="E307" s="38" t="b">
        <f>dataset_A!G307</f>
        <v>0</v>
      </c>
      <c r="F307" s="38" t="b">
        <f>dataset_A!G307</f>
        <v>0</v>
      </c>
      <c r="G307" s="38" t="str">
        <f t="shared" si="1"/>
        <v>Weekday</v>
      </c>
      <c r="H307" s="38" t="str">
        <f t="shared" si="2"/>
        <v>Evening</v>
      </c>
      <c r="I307" s="38" t="str">
        <f>IF(dataset_A!C307=1,"Spring",IF(dataset_A!C307=2,"Summer",IF(dataset_A!C307=3,"Fail","Winter")))</f>
        <v>Spring</v>
      </c>
      <c r="J307" s="38" t="str">
        <f>IF(dataset_A!I307=1,"Clear",IF(dataset_A!I307,"Mist/Cloudy",IF(dataset_A!I307=3,"Light Rain/Snow","Heavy Rain/Snow")))</f>
        <v>Mist/Cloudy</v>
      </c>
      <c r="K307" s="38">
        <f>dataset_A!N307</f>
        <v>5</v>
      </c>
      <c r="L307" s="38">
        <f>dataset_A!O307</f>
        <v>69</v>
      </c>
      <c r="M307" s="38">
        <f>dataset_A!P307</f>
        <v>74</v>
      </c>
      <c r="N307" s="38" t="str">
        <f t="shared" si="3"/>
        <v>Ok</v>
      </c>
      <c r="O307" s="38" t="str">
        <f>IF(M307&gt;Analysis!$B$3*1.5,"High",IF(M307&lt;Analysis!$B$3*0.5,"Low","Medium"))</f>
        <v>Medium</v>
      </c>
      <c r="P307" s="38" t="str">
        <f>VLOOKUP(dataset_A!C307,$Q$2:$R$5,2,0)</f>
        <v>Spring</v>
      </c>
      <c r="S307" s="38" t="str">
        <f t="array" ref="S307">INDEX($R$2:$R$5,MATCH(dataset_A!C307,$Q$2:$Q$5,0))</f>
        <v>Spring</v>
      </c>
      <c r="T307" s="38" t="str">
        <f t="shared" si="4"/>
        <v>Match</v>
      </c>
    </row>
    <row r="308" ht="12.75" customHeight="1">
      <c r="A308" s="38">
        <f>dataset_A!A308</f>
        <v>929</v>
      </c>
      <c r="B308" s="39">
        <f>dataset_A!B308</f>
        <v>40585</v>
      </c>
      <c r="C308" s="38">
        <f>dataset_A!F308</f>
        <v>7</v>
      </c>
      <c r="D308" s="38">
        <f>dataset_A!H308</f>
        <v>5</v>
      </c>
      <c r="E308" s="38" t="b">
        <f>dataset_A!G308</f>
        <v>0</v>
      </c>
      <c r="F308" s="38" t="b">
        <f>dataset_A!G308</f>
        <v>0</v>
      </c>
      <c r="G308" s="38" t="str">
        <f t="shared" si="1"/>
        <v>Weekday</v>
      </c>
      <c r="H308" s="38" t="str">
        <f t="shared" si="2"/>
        <v>Morning</v>
      </c>
      <c r="I308" s="38" t="str">
        <f>IF(dataset_A!C308=1,"Spring",IF(dataset_A!C308=2,"Summer",IF(dataset_A!C308=3,"Fail","Winter")))</f>
        <v>Spring</v>
      </c>
      <c r="J308" s="38" t="str">
        <f>IF(dataset_A!I308=1,"Clear",IF(dataset_A!I308,"Mist/Cloudy",IF(dataset_A!I308=3,"Light Rain/Snow","Heavy Rain/Snow")))</f>
        <v>Clear</v>
      </c>
      <c r="K308" s="38">
        <f>dataset_A!N308</f>
        <v>1</v>
      </c>
      <c r="L308" s="38">
        <f>dataset_A!O308</f>
        <v>73</v>
      </c>
      <c r="M308" s="38">
        <f>dataset_A!P308</f>
        <v>74</v>
      </c>
      <c r="N308" s="38" t="str">
        <f t="shared" si="3"/>
        <v>Ok</v>
      </c>
      <c r="O308" s="38" t="str">
        <f>IF(M308&gt;Analysis!$B$3*1.5,"High",IF(M308&lt;Analysis!$B$3*0.5,"Low","Medium"))</f>
        <v>Medium</v>
      </c>
      <c r="P308" s="38" t="str">
        <f>VLOOKUP(dataset_A!C308,$Q$2:$R$5,2,0)</f>
        <v>Spring</v>
      </c>
      <c r="S308" s="38" t="str">
        <f t="array" ref="S308">INDEX($R$2:$R$5,MATCH(dataset_A!C308,$Q$2:$Q$5,0))</f>
        <v>Spring</v>
      </c>
      <c r="T308" s="38" t="str">
        <f t="shared" si="4"/>
        <v>Match</v>
      </c>
    </row>
    <row r="309" ht="12.75" customHeight="1">
      <c r="A309" s="38">
        <f>dataset_A!A309</f>
        <v>937</v>
      </c>
      <c r="B309" s="39">
        <f>dataset_A!B309</f>
        <v>40585</v>
      </c>
      <c r="C309" s="38">
        <f>dataset_A!F309</f>
        <v>15</v>
      </c>
      <c r="D309" s="38">
        <f>dataset_A!H309</f>
        <v>5</v>
      </c>
      <c r="E309" s="38" t="b">
        <f>dataset_A!G309</f>
        <v>0</v>
      </c>
      <c r="F309" s="38" t="b">
        <f>dataset_A!G309</f>
        <v>0</v>
      </c>
      <c r="G309" s="38" t="str">
        <f t="shared" si="1"/>
        <v>Weekday</v>
      </c>
      <c r="H309" s="38" t="str">
        <f t="shared" si="2"/>
        <v>Afternoon</v>
      </c>
      <c r="I309" s="38" t="str">
        <f>IF(dataset_A!C309=1,"Spring",IF(dataset_A!C309=2,"Summer",IF(dataset_A!C309=3,"Fail","Winter")))</f>
        <v>Spring</v>
      </c>
      <c r="J309" s="38" t="str">
        <f>IF(dataset_A!I309=1,"Clear",IF(dataset_A!I309,"Mist/Cloudy",IF(dataset_A!I309=3,"Light Rain/Snow","Heavy Rain/Snow")))</f>
        <v>Clear</v>
      </c>
      <c r="K309" s="38">
        <f>dataset_A!N309</f>
        <v>12</v>
      </c>
      <c r="L309" s="38">
        <f>dataset_A!O309</f>
        <v>62</v>
      </c>
      <c r="M309" s="38">
        <f>dataset_A!P309</f>
        <v>74</v>
      </c>
      <c r="N309" s="38" t="str">
        <f t="shared" si="3"/>
        <v>Ok</v>
      </c>
      <c r="O309" s="38" t="str">
        <f>IF(M309&gt;Analysis!$B$3*1.5,"High",IF(M309&lt;Analysis!$B$3*0.5,"Low","Medium"))</f>
        <v>Medium</v>
      </c>
      <c r="P309" s="38" t="str">
        <f>VLOOKUP(dataset_A!C309,$Q$2:$R$5,2,0)</f>
        <v>Spring</v>
      </c>
      <c r="S309" s="38" t="str">
        <f t="array" ref="S309">INDEX($R$2:$R$5,MATCH(dataset_A!C309,$Q$2:$Q$5,0))</f>
        <v>Spring</v>
      </c>
      <c r="T309" s="38" t="str">
        <f t="shared" si="4"/>
        <v>Match</v>
      </c>
    </row>
    <row r="310" ht="12.75" customHeight="1">
      <c r="A310" s="38">
        <f>dataset_A!A310</f>
        <v>151</v>
      </c>
      <c r="B310" s="39">
        <f>dataset_A!B310</f>
        <v>40550</v>
      </c>
      <c r="C310" s="38">
        <f>dataset_A!F310</f>
        <v>13</v>
      </c>
      <c r="D310" s="38">
        <f>dataset_A!H310</f>
        <v>5</v>
      </c>
      <c r="E310" s="38" t="b">
        <f>dataset_A!G310</f>
        <v>0</v>
      </c>
      <c r="F310" s="38" t="b">
        <f>dataset_A!G310</f>
        <v>0</v>
      </c>
      <c r="G310" s="38" t="str">
        <f t="shared" si="1"/>
        <v>Weekday</v>
      </c>
      <c r="H310" s="38" t="str">
        <f t="shared" si="2"/>
        <v>Afternoon</v>
      </c>
      <c r="I310" s="38" t="str">
        <f>IF(dataset_A!C310=1,"Spring",IF(dataset_A!C310=2,"Summer",IF(dataset_A!C310=3,"Fail","Winter")))</f>
        <v>Spring</v>
      </c>
      <c r="J310" s="38" t="str">
        <f>IF(dataset_A!I310=1,"Clear",IF(dataset_A!I310,"Mist/Cloudy",IF(dataset_A!I310=3,"Light Rain/Snow","Heavy Rain/Snow")))</f>
        <v>Mist/Cloudy</v>
      </c>
      <c r="K310" s="38">
        <f>dataset_A!N310</f>
        <v>9</v>
      </c>
      <c r="L310" s="38">
        <f>dataset_A!O310</f>
        <v>64</v>
      </c>
      <c r="M310" s="38">
        <f>dataset_A!P310</f>
        <v>73</v>
      </c>
      <c r="N310" s="38" t="str">
        <f t="shared" si="3"/>
        <v>Ok</v>
      </c>
      <c r="O310" s="38" t="str">
        <f>IF(M310&gt;Analysis!$B$3*1.5,"High",IF(M310&lt;Analysis!$B$3*0.5,"Low","Medium"))</f>
        <v>Medium</v>
      </c>
      <c r="P310" s="38" t="str">
        <f>VLOOKUP(dataset_A!C310,$Q$2:$R$5,2,0)</f>
        <v>Spring</v>
      </c>
      <c r="S310" s="38" t="str">
        <f t="array" ref="S310">INDEX($R$2:$R$5,MATCH(dataset_A!C310,$Q$2:$Q$5,0))</f>
        <v>Spring</v>
      </c>
      <c r="T310" s="38" t="str">
        <f t="shared" si="4"/>
        <v>Match</v>
      </c>
    </row>
    <row r="311" ht="12.75" customHeight="1">
      <c r="A311" s="38">
        <f>dataset_A!A311</f>
        <v>469</v>
      </c>
      <c r="B311" s="39">
        <f>dataset_A!B311</f>
        <v>40564</v>
      </c>
      <c r="C311" s="38">
        <f>dataset_A!F311</f>
        <v>13</v>
      </c>
      <c r="D311" s="38">
        <f>dataset_A!H311</f>
        <v>5</v>
      </c>
      <c r="E311" s="38" t="b">
        <f>dataset_A!G311</f>
        <v>0</v>
      </c>
      <c r="F311" s="38" t="b">
        <f>dataset_A!G311</f>
        <v>0</v>
      </c>
      <c r="G311" s="38" t="str">
        <f t="shared" si="1"/>
        <v>Weekday</v>
      </c>
      <c r="H311" s="38" t="str">
        <f t="shared" si="2"/>
        <v>Afternoon</v>
      </c>
      <c r="I311" s="38" t="str">
        <f>IF(dataset_A!C311=1,"Spring",IF(dataset_A!C311=2,"Summer",IF(dataset_A!C311=3,"Fail","Winter")))</f>
        <v>Spring</v>
      </c>
      <c r="J311" s="38" t="str">
        <f>IF(dataset_A!I311=1,"Clear",IF(dataset_A!I311,"Mist/Cloudy",IF(dataset_A!I311=3,"Light Rain/Snow","Heavy Rain/Snow")))</f>
        <v>Clear</v>
      </c>
      <c r="K311" s="38">
        <f>dataset_A!N311</f>
        <v>8</v>
      </c>
      <c r="L311" s="38">
        <f>dataset_A!O311</f>
        <v>65</v>
      </c>
      <c r="M311" s="38">
        <f>dataset_A!P311</f>
        <v>73</v>
      </c>
      <c r="N311" s="38" t="str">
        <f t="shared" si="3"/>
        <v>Ok</v>
      </c>
      <c r="O311" s="38" t="str">
        <f>IF(M311&gt;Analysis!$B$3*1.5,"High",IF(M311&lt;Analysis!$B$3*0.5,"Low","Medium"))</f>
        <v>Medium</v>
      </c>
      <c r="P311" s="38" t="str">
        <f>VLOOKUP(dataset_A!C311,$Q$2:$R$5,2,0)</f>
        <v>Spring</v>
      </c>
      <c r="S311" s="38" t="str">
        <f t="array" ref="S311">INDEX($R$2:$R$5,MATCH(dataset_A!C311,$Q$2:$Q$5,0))</f>
        <v>Spring</v>
      </c>
      <c r="T311" s="38" t="str">
        <f t="shared" si="4"/>
        <v>Match</v>
      </c>
    </row>
    <row r="312" ht="12.75" customHeight="1">
      <c r="A312" s="38">
        <f>dataset_A!A312</f>
        <v>61</v>
      </c>
      <c r="B312" s="39">
        <f>dataset_A!B312</f>
        <v>40546</v>
      </c>
      <c r="C312" s="38">
        <f>dataset_A!F312</f>
        <v>15</v>
      </c>
      <c r="D312" s="38">
        <f>dataset_A!H312</f>
        <v>1</v>
      </c>
      <c r="E312" s="38" t="b">
        <f>dataset_A!G312</f>
        <v>0</v>
      </c>
      <c r="F312" s="38" t="b">
        <f>dataset_A!G312</f>
        <v>0</v>
      </c>
      <c r="G312" s="38" t="str">
        <f t="shared" si="1"/>
        <v>Weekday</v>
      </c>
      <c r="H312" s="38" t="str">
        <f t="shared" si="2"/>
        <v>Afternoon</v>
      </c>
      <c r="I312" s="38" t="str">
        <f>IF(dataset_A!C312=1,"Spring",IF(dataset_A!C312=2,"Summer",IF(dataset_A!C312=3,"Fail","Winter")))</f>
        <v>Spring</v>
      </c>
      <c r="J312" s="38" t="str">
        <f>IF(dataset_A!I312=1,"Clear",IF(dataset_A!I312,"Mist/Cloudy",IF(dataset_A!I312=3,"Light Rain/Snow","Heavy Rain/Snow")))</f>
        <v>Clear</v>
      </c>
      <c r="K312" s="38">
        <f>dataset_A!N312</f>
        <v>14</v>
      </c>
      <c r="L312" s="38">
        <f>dataset_A!O312</f>
        <v>58</v>
      </c>
      <c r="M312" s="38">
        <f>dataset_A!P312</f>
        <v>72</v>
      </c>
      <c r="N312" s="38" t="str">
        <f t="shared" si="3"/>
        <v>Ok</v>
      </c>
      <c r="O312" s="38" t="str">
        <f>IF(M312&gt;Analysis!$B$3*1.5,"High",IF(M312&lt;Analysis!$B$3*0.5,"Low","Medium"))</f>
        <v>Medium</v>
      </c>
      <c r="P312" s="38" t="str">
        <f>VLOOKUP(dataset_A!C312,$Q$2:$R$5,2,0)</f>
        <v>Spring</v>
      </c>
      <c r="S312" s="38" t="str">
        <f t="array" ref="S312">INDEX($R$2:$R$5,MATCH(dataset_A!C312,$Q$2:$Q$5,0))</f>
        <v>Spring</v>
      </c>
      <c r="T312" s="38" t="str">
        <f t="shared" si="4"/>
        <v>Match</v>
      </c>
    </row>
    <row r="313" ht="12.75" customHeight="1">
      <c r="A313" s="38">
        <f>dataset_A!A313</f>
        <v>153</v>
      </c>
      <c r="B313" s="39">
        <f>dataset_A!B313</f>
        <v>40550</v>
      </c>
      <c r="C313" s="38">
        <f>dataset_A!F313</f>
        <v>15</v>
      </c>
      <c r="D313" s="38">
        <f>dataset_A!H313</f>
        <v>5</v>
      </c>
      <c r="E313" s="38" t="b">
        <f>dataset_A!G313</f>
        <v>0</v>
      </c>
      <c r="F313" s="38" t="b">
        <f>dataset_A!G313</f>
        <v>0</v>
      </c>
      <c r="G313" s="38" t="str">
        <f t="shared" si="1"/>
        <v>Weekday</v>
      </c>
      <c r="H313" s="38" t="str">
        <f t="shared" si="2"/>
        <v>Afternoon</v>
      </c>
      <c r="I313" s="38" t="str">
        <f>IF(dataset_A!C313=1,"Spring",IF(dataset_A!C313=2,"Summer",IF(dataset_A!C313=3,"Fail","Winter")))</f>
        <v>Spring</v>
      </c>
      <c r="J313" s="38" t="str">
        <f>IF(dataset_A!I313=1,"Clear",IF(dataset_A!I313,"Mist/Cloudy",IF(dataset_A!I313=3,"Light Rain/Snow","Heavy Rain/Snow")))</f>
        <v>Mist/Cloudy</v>
      </c>
      <c r="K313" s="38">
        <f>dataset_A!N313</f>
        <v>9</v>
      </c>
      <c r="L313" s="38">
        <f>dataset_A!O313</f>
        <v>63</v>
      </c>
      <c r="M313" s="38">
        <f>dataset_A!P313</f>
        <v>72</v>
      </c>
      <c r="N313" s="38" t="str">
        <f t="shared" si="3"/>
        <v>Ok</v>
      </c>
      <c r="O313" s="38" t="str">
        <f>IF(M313&gt;Analysis!$B$3*1.5,"High",IF(M313&lt;Analysis!$B$3*0.5,"Low","Medium"))</f>
        <v>Medium</v>
      </c>
      <c r="P313" s="38" t="str">
        <f>VLOOKUP(dataset_A!C313,$Q$2:$R$5,2,0)</f>
        <v>Spring</v>
      </c>
      <c r="S313" s="38" t="str">
        <f t="array" ref="S313">INDEX($R$2:$R$5,MATCH(dataset_A!C313,$Q$2:$Q$5,0))</f>
        <v>Spring</v>
      </c>
      <c r="T313" s="38" t="str">
        <f t="shared" si="4"/>
        <v>Match</v>
      </c>
    </row>
    <row r="314" ht="12.75" customHeight="1">
      <c r="A314" s="38">
        <f>dataset_A!A314</f>
        <v>200</v>
      </c>
      <c r="B314" s="39">
        <f>dataset_A!B314</f>
        <v>40552</v>
      </c>
      <c r="C314" s="38">
        <f>dataset_A!F314</f>
        <v>14</v>
      </c>
      <c r="D314" s="38">
        <f>dataset_A!H314</f>
        <v>0</v>
      </c>
      <c r="E314" s="38" t="b">
        <f>dataset_A!G314</f>
        <v>0</v>
      </c>
      <c r="F314" s="38" t="b">
        <f>dataset_A!G314</f>
        <v>0</v>
      </c>
      <c r="G314" s="38" t="str">
        <f t="shared" si="1"/>
        <v>Weekend</v>
      </c>
      <c r="H314" s="38" t="str">
        <f t="shared" si="2"/>
        <v>Afternoon</v>
      </c>
      <c r="I314" s="38" t="str">
        <f>IF(dataset_A!C314=1,"Spring",IF(dataset_A!C314=2,"Summer",IF(dataset_A!C314=3,"Fail","Winter")))</f>
        <v>Spring</v>
      </c>
      <c r="J314" s="38" t="str">
        <f>IF(dataset_A!I314=1,"Clear",IF(dataset_A!I314,"Mist/Cloudy",IF(dataset_A!I314=3,"Light Rain/Snow","Heavy Rain/Snow")))</f>
        <v>Clear</v>
      </c>
      <c r="K314" s="38">
        <f>dataset_A!N314</f>
        <v>8</v>
      </c>
      <c r="L314" s="38">
        <f>dataset_A!O314</f>
        <v>64</v>
      </c>
      <c r="M314" s="38">
        <f>dataset_A!P314</f>
        <v>72</v>
      </c>
      <c r="N314" s="38" t="str">
        <f t="shared" si="3"/>
        <v>Ok</v>
      </c>
      <c r="O314" s="38" t="str">
        <f>IF(M314&gt;Analysis!$B$3*1.5,"High",IF(M314&lt;Analysis!$B$3*0.5,"Low","Medium"))</f>
        <v>Medium</v>
      </c>
      <c r="P314" s="38" t="str">
        <f>VLOOKUP(dataset_A!C314,$Q$2:$R$5,2,0)</f>
        <v>Spring</v>
      </c>
      <c r="S314" s="38" t="str">
        <f t="array" ref="S314">INDEX($R$2:$R$5,MATCH(dataset_A!C314,$Q$2:$Q$5,0))</f>
        <v>Spring</v>
      </c>
      <c r="T314" s="38" t="str">
        <f t="shared" si="4"/>
        <v>Match</v>
      </c>
    </row>
    <row r="315" ht="12.75" customHeight="1">
      <c r="A315" s="38">
        <f>dataset_A!A315</f>
        <v>285</v>
      </c>
      <c r="B315" s="39">
        <f>dataset_A!B315</f>
        <v>40556</v>
      </c>
      <c r="C315" s="38">
        <f>dataset_A!F315</f>
        <v>7</v>
      </c>
      <c r="D315" s="38">
        <f>dataset_A!H315</f>
        <v>4</v>
      </c>
      <c r="E315" s="38" t="b">
        <f>dataset_A!G315</f>
        <v>0</v>
      </c>
      <c r="F315" s="38" t="b">
        <f>dataset_A!G315</f>
        <v>0</v>
      </c>
      <c r="G315" s="38" t="str">
        <f t="shared" si="1"/>
        <v>Weekday</v>
      </c>
      <c r="H315" s="38" t="str">
        <f t="shared" si="2"/>
        <v>Morning</v>
      </c>
      <c r="I315" s="38" t="str">
        <f>IF(dataset_A!C315=1,"Spring",IF(dataset_A!C315=2,"Summer",IF(dataset_A!C315=3,"Fail","Winter")))</f>
        <v>Spring</v>
      </c>
      <c r="J315" s="38" t="str">
        <f>IF(dataset_A!I315=1,"Clear",IF(dataset_A!I315,"Mist/Cloudy",IF(dataset_A!I315=3,"Light Rain/Snow","Heavy Rain/Snow")))</f>
        <v>Clear</v>
      </c>
      <c r="K315" s="38">
        <f>dataset_A!N315</f>
        <v>0</v>
      </c>
      <c r="L315" s="38">
        <f>dataset_A!O315</f>
        <v>72</v>
      </c>
      <c r="M315" s="38">
        <f>dataset_A!P315</f>
        <v>72</v>
      </c>
      <c r="N315" s="38" t="str">
        <f t="shared" si="3"/>
        <v>Ok</v>
      </c>
      <c r="O315" s="38" t="str">
        <f>IF(M315&gt;Analysis!$B$3*1.5,"High",IF(M315&lt;Analysis!$B$3*0.5,"Low","Medium"))</f>
        <v>Medium</v>
      </c>
      <c r="P315" s="38" t="str">
        <f>VLOOKUP(dataset_A!C315,$Q$2:$R$5,2,0)</f>
        <v>Spring</v>
      </c>
      <c r="S315" s="38" t="str">
        <f t="array" ref="S315">INDEX($R$2:$R$5,MATCH(dataset_A!C315,$Q$2:$Q$5,0))</f>
        <v>Spring</v>
      </c>
      <c r="T315" s="38" t="str">
        <f t="shared" si="4"/>
        <v>Match</v>
      </c>
    </row>
    <row r="316" ht="12.75" customHeight="1">
      <c r="A316" s="38">
        <f>dataset_A!A316</f>
        <v>336</v>
      </c>
      <c r="B316" s="39">
        <f>dataset_A!B316</f>
        <v>40558</v>
      </c>
      <c r="C316" s="38">
        <f>dataset_A!F316</f>
        <v>11</v>
      </c>
      <c r="D316" s="38">
        <f>dataset_A!H316</f>
        <v>6</v>
      </c>
      <c r="E316" s="38" t="b">
        <f>dataset_A!G316</f>
        <v>0</v>
      </c>
      <c r="F316" s="38" t="b">
        <f>dataset_A!G316</f>
        <v>0</v>
      </c>
      <c r="G316" s="38" t="str">
        <f t="shared" si="1"/>
        <v>Weekend</v>
      </c>
      <c r="H316" s="38" t="str">
        <f t="shared" si="2"/>
        <v>Morning</v>
      </c>
      <c r="I316" s="38" t="str">
        <f>IF(dataset_A!C316=1,"Spring",IF(dataset_A!C316=2,"Summer",IF(dataset_A!C316=3,"Fail","Winter")))</f>
        <v>Spring</v>
      </c>
      <c r="J316" s="38" t="str">
        <f>IF(dataset_A!I316=1,"Clear",IF(dataset_A!I316,"Mist/Cloudy",IF(dataset_A!I316=3,"Light Rain/Snow","Heavy Rain/Snow")))</f>
        <v>Clear</v>
      </c>
      <c r="K316" s="38">
        <f>dataset_A!N316</f>
        <v>18</v>
      </c>
      <c r="L316" s="38">
        <f>dataset_A!O316</f>
        <v>54</v>
      </c>
      <c r="M316" s="38">
        <f>dataset_A!P316</f>
        <v>72</v>
      </c>
      <c r="N316" s="38" t="str">
        <f t="shared" si="3"/>
        <v>Ok</v>
      </c>
      <c r="O316" s="38" t="str">
        <f>IF(M316&gt;Analysis!$B$3*1.5,"High",IF(M316&lt;Analysis!$B$3*0.5,"Low","Medium"))</f>
        <v>Medium</v>
      </c>
      <c r="P316" s="38" t="str">
        <f>VLOOKUP(dataset_A!C316,$Q$2:$R$5,2,0)</f>
        <v>Spring</v>
      </c>
      <c r="S316" s="38" t="str">
        <f t="array" ref="S316">INDEX($R$2:$R$5,MATCH(dataset_A!C316,$Q$2:$Q$5,0))</f>
        <v>Spring</v>
      </c>
      <c r="T316" s="38" t="str">
        <f t="shared" si="4"/>
        <v>Match</v>
      </c>
    </row>
    <row r="317" ht="12.75" customHeight="1">
      <c r="A317" s="38">
        <f>dataset_A!A317</f>
        <v>578</v>
      </c>
      <c r="B317" s="39">
        <f>dataset_A!B317</f>
        <v>40569</v>
      </c>
      <c r="C317" s="38">
        <f>dataset_A!F317</f>
        <v>8</v>
      </c>
      <c r="D317" s="38">
        <f>dataset_A!H317</f>
        <v>3</v>
      </c>
      <c r="E317" s="38" t="b">
        <f>dataset_A!G317</f>
        <v>0</v>
      </c>
      <c r="F317" s="38" t="b">
        <f>dataset_A!G317</f>
        <v>0</v>
      </c>
      <c r="G317" s="38" t="str">
        <f t="shared" si="1"/>
        <v>Weekday</v>
      </c>
      <c r="H317" s="38" t="str">
        <f t="shared" si="2"/>
        <v>Morning</v>
      </c>
      <c r="I317" s="38" t="str">
        <f>IF(dataset_A!C317=1,"Spring",IF(dataset_A!C317=2,"Summer",IF(dataset_A!C317=3,"Fail","Winter")))</f>
        <v>Spring</v>
      </c>
      <c r="J317" s="38" t="str">
        <f>IF(dataset_A!I317=1,"Clear",IF(dataset_A!I317,"Mist/Cloudy",IF(dataset_A!I317=3,"Light Rain/Snow","Heavy Rain/Snow")))</f>
        <v>Mist/Cloudy</v>
      </c>
      <c r="K317" s="38">
        <f>dataset_A!N317</f>
        <v>3</v>
      </c>
      <c r="L317" s="38">
        <f>dataset_A!O317</f>
        <v>69</v>
      </c>
      <c r="M317" s="38">
        <f>dataset_A!P317</f>
        <v>72</v>
      </c>
      <c r="N317" s="38" t="str">
        <f t="shared" si="3"/>
        <v>Ok</v>
      </c>
      <c r="O317" s="38" t="str">
        <f>IF(M317&gt;Analysis!$B$3*1.5,"High",IF(M317&lt;Analysis!$B$3*0.5,"Low","Medium"))</f>
        <v>Medium</v>
      </c>
      <c r="P317" s="38" t="str">
        <f>VLOOKUP(dataset_A!C317,$Q$2:$R$5,2,0)</f>
        <v>Spring</v>
      </c>
      <c r="S317" s="38" t="str">
        <f t="array" ref="S317">INDEX($R$2:$R$5,MATCH(dataset_A!C317,$Q$2:$Q$5,0))</f>
        <v>Spring</v>
      </c>
      <c r="T317" s="38" t="str">
        <f t="shared" si="4"/>
        <v>Match</v>
      </c>
    </row>
    <row r="318" ht="12.75" customHeight="1">
      <c r="A318" s="38">
        <f>dataset_A!A318</f>
        <v>672</v>
      </c>
      <c r="B318" s="39">
        <f>dataset_A!B318</f>
        <v>40574</v>
      </c>
      <c r="C318" s="38">
        <f>dataset_A!F318</f>
        <v>7</v>
      </c>
      <c r="D318" s="38">
        <f>dataset_A!H318</f>
        <v>1</v>
      </c>
      <c r="E318" s="38" t="b">
        <f>dataset_A!G318</f>
        <v>0</v>
      </c>
      <c r="F318" s="38" t="b">
        <f>dataset_A!G318</f>
        <v>0</v>
      </c>
      <c r="G318" s="38" t="str">
        <f t="shared" si="1"/>
        <v>Weekday</v>
      </c>
      <c r="H318" s="38" t="str">
        <f t="shared" si="2"/>
        <v>Morning</v>
      </c>
      <c r="I318" s="38" t="str">
        <f>IF(dataset_A!C318=1,"Spring",IF(dataset_A!C318=2,"Summer",IF(dataset_A!C318=3,"Fail","Winter")))</f>
        <v>Spring</v>
      </c>
      <c r="J318" s="38" t="str">
        <f>IF(dataset_A!I318=1,"Clear",IF(dataset_A!I318,"Mist/Cloudy",IF(dataset_A!I318=3,"Light Rain/Snow","Heavy Rain/Snow")))</f>
        <v>Mist/Cloudy</v>
      </c>
      <c r="K318" s="38">
        <f>dataset_A!N318</f>
        <v>1</v>
      </c>
      <c r="L318" s="38">
        <f>dataset_A!O318</f>
        <v>71</v>
      </c>
      <c r="M318" s="38">
        <f>dataset_A!P318</f>
        <v>72</v>
      </c>
      <c r="N318" s="38" t="str">
        <f t="shared" si="3"/>
        <v>Ok</v>
      </c>
      <c r="O318" s="38" t="str">
        <f>IF(M318&gt;Analysis!$B$3*1.5,"High",IF(M318&lt;Analysis!$B$3*0.5,"Low","Medium"))</f>
        <v>Medium</v>
      </c>
      <c r="P318" s="38" t="str">
        <f>VLOOKUP(dataset_A!C318,$Q$2:$R$5,2,0)</f>
        <v>Spring</v>
      </c>
      <c r="S318" s="38" t="str">
        <f t="array" ref="S318">INDEX($R$2:$R$5,MATCH(dataset_A!C318,$Q$2:$Q$5,0))</f>
        <v>Spring</v>
      </c>
      <c r="T318" s="38" t="str">
        <f t="shared" si="4"/>
        <v>Match</v>
      </c>
    </row>
    <row r="319" ht="12.75" customHeight="1">
      <c r="A319" s="38">
        <f>dataset_A!A319</f>
        <v>795</v>
      </c>
      <c r="B319" s="39">
        <f>dataset_A!B319</f>
        <v>40579</v>
      </c>
      <c r="C319" s="38">
        <f>dataset_A!F319</f>
        <v>13</v>
      </c>
      <c r="D319" s="38">
        <f>dataset_A!H319</f>
        <v>6</v>
      </c>
      <c r="E319" s="38" t="b">
        <f>dataset_A!G319</f>
        <v>0</v>
      </c>
      <c r="F319" s="38" t="b">
        <f>dataset_A!G319</f>
        <v>0</v>
      </c>
      <c r="G319" s="38" t="str">
        <f t="shared" si="1"/>
        <v>Weekend</v>
      </c>
      <c r="H319" s="38" t="str">
        <f t="shared" si="2"/>
        <v>Afternoon</v>
      </c>
      <c r="I319" s="38" t="str">
        <f>IF(dataset_A!C319=1,"Spring",IF(dataset_A!C319=2,"Summer",IF(dataset_A!C319=3,"Fail","Winter")))</f>
        <v>Spring</v>
      </c>
      <c r="J319" s="38" t="str">
        <f>IF(dataset_A!I319=1,"Clear",IF(dataset_A!I319,"Mist/Cloudy",IF(dataset_A!I319=3,"Light Rain/Snow","Heavy Rain/Snow")))</f>
        <v>Mist/Cloudy</v>
      </c>
      <c r="K319" s="38">
        <f>dataset_A!N319</f>
        <v>10</v>
      </c>
      <c r="L319" s="38">
        <f>dataset_A!O319</f>
        <v>62</v>
      </c>
      <c r="M319" s="38">
        <f>dataset_A!P319</f>
        <v>72</v>
      </c>
      <c r="N319" s="38" t="str">
        <f t="shared" si="3"/>
        <v>Ok</v>
      </c>
      <c r="O319" s="38" t="str">
        <f>IF(M319&gt;Analysis!$B$3*1.5,"High",IF(M319&lt;Analysis!$B$3*0.5,"Low","Medium"))</f>
        <v>Medium</v>
      </c>
      <c r="P319" s="38" t="str">
        <f>VLOOKUP(dataset_A!C319,$Q$2:$R$5,2,0)</f>
        <v>Spring</v>
      </c>
      <c r="S319" s="38" t="str">
        <f t="array" ref="S319">INDEX($R$2:$R$5,MATCH(dataset_A!C319,$Q$2:$Q$5,0))</f>
        <v>Spring</v>
      </c>
      <c r="T319" s="38" t="str">
        <f t="shared" si="4"/>
        <v>Match</v>
      </c>
    </row>
    <row r="320" ht="12.75" customHeight="1">
      <c r="A320" s="38">
        <f>dataset_A!A320</f>
        <v>921</v>
      </c>
      <c r="B320" s="39">
        <f>dataset_A!B320</f>
        <v>40584</v>
      </c>
      <c r="C320" s="38">
        <f>dataset_A!F320</f>
        <v>21</v>
      </c>
      <c r="D320" s="38">
        <f>dataset_A!H320</f>
        <v>4</v>
      </c>
      <c r="E320" s="38" t="b">
        <f>dataset_A!G320</f>
        <v>0</v>
      </c>
      <c r="F320" s="38" t="b">
        <f>dataset_A!G320</f>
        <v>0</v>
      </c>
      <c r="G320" s="38" t="str">
        <f t="shared" si="1"/>
        <v>Weekday</v>
      </c>
      <c r="H320" s="38" t="str">
        <f t="shared" si="2"/>
        <v>Evening</v>
      </c>
      <c r="I320" s="38" t="str">
        <f>IF(dataset_A!C320=1,"Spring",IF(dataset_A!C320=2,"Summer",IF(dataset_A!C320=3,"Fail","Winter")))</f>
        <v>Spring</v>
      </c>
      <c r="J320" s="38" t="str">
        <f>IF(dataset_A!I320=1,"Clear",IF(dataset_A!I320,"Mist/Cloudy",IF(dataset_A!I320=3,"Light Rain/Snow","Heavy Rain/Snow")))</f>
        <v>Clear</v>
      </c>
      <c r="K320" s="38">
        <f>dataset_A!N320</f>
        <v>2</v>
      </c>
      <c r="L320" s="38">
        <f>dataset_A!O320</f>
        <v>70</v>
      </c>
      <c r="M320" s="38">
        <f>dataset_A!P320</f>
        <v>72</v>
      </c>
      <c r="N320" s="38" t="str">
        <f t="shared" si="3"/>
        <v>Ok</v>
      </c>
      <c r="O320" s="38" t="str">
        <f>IF(M320&gt;Analysis!$B$3*1.5,"High",IF(M320&lt;Analysis!$B$3*0.5,"Low","Medium"))</f>
        <v>Medium</v>
      </c>
      <c r="P320" s="38" t="str">
        <f>VLOOKUP(dataset_A!C320,$Q$2:$R$5,2,0)</f>
        <v>Spring</v>
      </c>
      <c r="S320" s="38" t="str">
        <f t="array" ref="S320">INDEX($R$2:$R$5,MATCH(dataset_A!C320,$Q$2:$Q$5,0))</f>
        <v>Spring</v>
      </c>
      <c r="T320" s="38" t="str">
        <f t="shared" si="4"/>
        <v>Match</v>
      </c>
    </row>
    <row r="321" ht="12.75" customHeight="1">
      <c r="A321" s="38">
        <f>dataset_A!A321</f>
        <v>105</v>
      </c>
      <c r="B321" s="39">
        <f>dataset_A!B321</f>
        <v>40548</v>
      </c>
      <c r="C321" s="38">
        <f>dataset_A!F321</f>
        <v>13</v>
      </c>
      <c r="D321" s="38">
        <f>dataset_A!H321</f>
        <v>3</v>
      </c>
      <c r="E321" s="38" t="b">
        <f>dataset_A!G321</f>
        <v>0</v>
      </c>
      <c r="F321" s="38" t="b">
        <f>dataset_A!G321</f>
        <v>0</v>
      </c>
      <c r="G321" s="38" t="str">
        <f t="shared" si="1"/>
        <v>Weekday</v>
      </c>
      <c r="H321" s="38" t="str">
        <f t="shared" si="2"/>
        <v>Afternoon</v>
      </c>
      <c r="I321" s="38" t="str">
        <f>IF(dataset_A!C321=1,"Spring",IF(dataset_A!C321=2,"Summer",IF(dataset_A!C321=3,"Fail","Winter")))</f>
        <v>Spring</v>
      </c>
      <c r="J321" s="38" t="str">
        <f>IF(dataset_A!I321=1,"Clear",IF(dataset_A!I321,"Mist/Cloudy",IF(dataset_A!I321=3,"Light Rain/Snow","Heavy Rain/Snow")))</f>
        <v>Clear</v>
      </c>
      <c r="K321" s="38">
        <f>dataset_A!N321</f>
        <v>6</v>
      </c>
      <c r="L321" s="38">
        <f>dataset_A!O321</f>
        <v>65</v>
      </c>
      <c r="M321" s="38">
        <f>dataset_A!P321</f>
        <v>71</v>
      </c>
      <c r="N321" s="38" t="str">
        <f t="shared" si="3"/>
        <v>Ok</v>
      </c>
      <c r="O321" s="38" t="str">
        <f>IF(M321&gt;Analysis!$B$3*1.5,"High",IF(M321&lt;Analysis!$B$3*0.5,"Low","Medium"))</f>
        <v>Medium</v>
      </c>
      <c r="P321" s="38" t="str">
        <f>VLOOKUP(dataset_A!C321,$Q$2:$R$5,2,0)</f>
        <v>Spring</v>
      </c>
      <c r="S321" s="38" t="str">
        <f t="array" ref="S321">INDEX($R$2:$R$5,MATCH(dataset_A!C321,$Q$2:$Q$5,0))</f>
        <v>Spring</v>
      </c>
      <c r="T321" s="38" t="str">
        <f t="shared" si="4"/>
        <v>Match</v>
      </c>
    </row>
    <row r="322" ht="12.75" customHeight="1">
      <c r="A322" s="38">
        <f>dataset_A!A322</f>
        <v>390</v>
      </c>
      <c r="B322" s="39">
        <f>dataset_A!B322</f>
        <v>40560</v>
      </c>
      <c r="C322" s="38">
        <f>dataset_A!F322</f>
        <v>17</v>
      </c>
      <c r="D322" s="38">
        <f>dataset_A!H322</f>
        <v>1</v>
      </c>
      <c r="E322" s="38" t="b">
        <f>dataset_A!G322</f>
        <v>1</v>
      </c>
      <c r="F322" s="38" t="b">
        <f>dataset_A!G322</f>
        <v>1</v>
      </c>
      <c r="G322" s="38" t="str">
        <f t="shared" si="1"/>
        <v>Weekday</v>
      </c>
      <c r="H322" s="38" t="str">
        <f t="shared" si="2"/>
        <v>Afternoon</v>
      </c>
      <c r="I322" s="38" t="str">
        <f>IF(dataset_A!C322=1,"Spring",IF(dataset_A!C322=2,"Summer",IF(dataset_A!C322=3,"Fail","Winter")))</f>
        <v>Spring</v>
      </c>
      <c r="J322" s="38" t="str">
        <f>IF(dataset_A!I322=1,"Clear",IF(dataset_A!I322,"Mist/Cloudy",IF(dataset_A!I322=3,"Light Rain/Snow","Heavy Rain/Snow")))</f>
        <v>Clear</v>
      </c>
      <c r="K322" s="38">
        <f>dataset_A!N322</f>
        <v>4</v>
      </c>
      <c r="L322" s="38">
        <f>dataset_A!O322</f>
        <v>67</v>
      </c>
      <c r="M322" s="38">
        <f>dataset_A!P322</f>
        <v>71</v>
      </c>
      <c r="N322" s="38" t="str">
        <f t="shared" si="3"/>
        <v>Ok</v>
      </c>
      <c r="O322" s="38" t="str">
        <f>IF(M322&gt;Analysis!$B$3*1.5,"High",IF(M322&lt;Analysis!$B$3*0.5,"Low","Medium"))</f>
        <v>Medium</v>
      </c>
      <c r="P322" s="38" t="str">
        <f>VLOOKUP(dataset_A!C322,$Q$2:$R$5,2,0)</f>
        <v>Spring</v>
      </c>
      <c r="S322" s="38" t="str">
        <f t="array" ref="S322">INDEX($R$2:$R$5,MATCH(dataset_A!C322,$Q$2:$Q$5,0))</f>
        <v>Spring</v>
      </c>
      <c r="T322" s="38" t="str">
        <f t="shared" si="4"/>
        <v>Match</v>
      </c>
    </row>
    <row r="323" ht="12.75" customHeight="1">
      <c r="A323" s="38">
        <f>dataset_A!A323</f>
        <v>778</v>
      </c>
      <c r="B323" s="39">
        <f>dataset_A!B323</f>
        <v>40578</v>
      </c>
      <c r="C323" s="38">
        <f>dataset_A!F323</f>
        <v>20</v>
      </c>
      <c r="D323" s="38">
        <f>dataset_A!H323</f>
        <v>5</v>
      </c>
      <c r="E323" s="38" t="b">
        <f>dataset_A!G323</f>
        <v>0</v>
      </c>
      <c r="F323" s="38" t="b">
        <f>dataset_A!G323</f>
        <v>0</v>
      </c>
      <c r="G323" s="38" t="str">
        <f t="shared" si="1"/>
        <v>Weekday</v>
      </c>
      <c r="H323" s="38" t="str">
        <f t="shared" si="2"/>
        <v>Evening</v>
      </c>
      <c r="I323" s="38" t="str">
        <f>IF(dataset_A!C323=1,"Spring",IF(dataset_A!C323=2,"Summer",IF(dataset_A!C323=3,"Fail","Winter")))</f>
        <v>Spring</v>
      </c>
      <c r="J323" s="38" t="str">
        <f>IF(dataset_A!I323=1,"Clear",IF(dataset_A!I323,"Mist/Cloudy",IF(dataset_A!I323=3,"Light Rain/Snow","Heavy Rain/Snow")))</f>
        <v>Mist/Cloudy</v>
      </c>
      <c r="K323" s="38">
        <f>dataset_A!N323</f>
        <v>2</v>
      </c>
      <c r="L323" s="38">
        <f>dataset_A!O323</f>
        <v>69</v>
      </c>
      <c r="M323" s="38">
        <f>dataset_A!P323</f>
        <v>71</v>
      </c>
      <c r="N323" s="38" t="str">
        <f t="shared" si="3"/>
        <v>Ok</v>
      </c>
      <c r="O323" s="38" t="str">
        <f>IF(M323&gt;Analysis!$B$3*1.5,"High",IF(M323&lt;Analysis!$B$3*0.5,"Low","Medium"))</f>
        <v>Medium</v>
      </c>
      <c r="P323" s="38" t="str">
        <f>VLOOKUP(dataset_A!C323,$Q$2:$R$5,2,0)</f>
        <v>Spring</v>
      </c>
      <c r="S323" s="38" t="str">
        <f t="array" ref="S323">INDEX($R$2:$R$5,MATCH(dataset_A!C323,$Q$2:$Q$5,0))</f>
        <v>Spring</v>
      </c>
      <c r="T323" s="38" t="str">
        <f t="shared" si="4"/>
        <v>Match</v>
      </c>
    </row>
    <row r="324" ht="12.75" customHeight="1">
      <c r="A324" s="38">
        <f>dataset_A!A324</f>
        <v>798</v>
      </c>
      <c r="B324" s="39">
        <f>dataset_A!B324</f>
        <v>40579</v>
      </c>
      <c r="C324" s="38">
        <f>dataset_A!F324</f>
        <v>16</v>
      </c>
      <c r="D324" s="38">
        <f>dataset_A!H324</f>
        <v>6</v>
      </c>
      <c r="E324" s="38" t="b">
        <f>dataset_A!G324</f>
        <v>0</v>
      </c>
      <c r="F324" s="38" t="b">
        <f>dataset_A!G324</f>
        <v>0</v>
      </c>
      <c r="G324" s="38" t="str">
        <f t="shared" si="1"/>
        <v>Weekend</v>
      </c>
      <c r="H324" s="38" t="str">
        <f t="shared" si="2"/>
        <v>Afternoon</v>
      </c>
      <c r="I324" s="38" t="str">
        <f>IF(dataset_A!C324=1,"Spring",IF(dataset_A!C324=2,"Summer",IF(dataset_A!C324=3,"Fail","Winter")))</f>
        <v>Spring</v>
      </c>
      <c r="J324" s="38" t="str">
        <f>IF(dataset_A!I324=1,"Clear",IF(dataset_A!I324,"Mist/Cloudy",IF(dataset_A!I324=3,"Light Rain/Snow","Heavy Rain/Snow")))</f>
        <v>Mist/Cloudy</v>
      </c>
      <c r="K324" s="38">
        <f>dataset_A!N324</f>
        <v>8</v>
      </c>
      <c r="L324" s="38">
        <f>dataset_A!O324</f>
        <v>63</v>
      </c>
      <c r="M324" s="38">
        <f>dataset_A!P324</f>
        <v>71</v>
      </c>
      <c r="N324" s="38" t="str">
        <f t="shared" si="3"/>
        <v>Ok</v>
      </c>
      <c r="O324" s="38" t="str">
        <f>IF(M324&gt;Analysis!$B$3*1.5,"High",IF(M324&lt;Analysis!$B$3*0.5,"Low","Medium"))</f>
        <v>Medium</v>
      </c>
      <c r="P324" s="38" t="str">
        <f>VLOOKUP(dataset_A!C324,$Q$2:$R$5,2,0)</f>
        <v>Spring</v>
      </c>
      <c r="S324" s="38" t="str">
        <f t="array" ref="S324">INDEX($R$2:$R$5,MATCH(dataset_A!C324,$Q$2:$Q$5,0))</f>
        <v>Spring</v>
      </c>
      <c r="T324" s="38" t="str">
        <f t="shared" si="4"/>
        <v>Match</v>
      </c>
    </row>
    <row r="325" ht="12.75" customHeight="1">
      <c r="A325" s="38">
        <f>dataset_A!A325</f>
        <v>934</v>
      </c>
      <c r="B325" s="39">
        <f>dataset_A!B325</f>
        <v>40585</v>
      </c>
      <c r="C325" s="38">
        <f>dataset_A!F325</f>
        <v>12</v>
      </c>
      <c r="D325" s="38">
        <f>dataset_A!H325</f>
        <v>5</v>
      </c>
      <c r="E325" s="38" t="b">
        <f>dataset_A!G325</f>
        <v>0</v>
      </c>
      <c r="F325" s="38" t="b">
        <f>dataset_A!G325</f>
        <v>0</v>
      </c>
      <c r="G325" s="38" t="str">
        <f t="shared" si="1"/>
        <v>Weekday</v>
      </c>
      <c r="H325" s="38" t="str">
        <f t="shared" si="2"/>
        <v>Afternoon</v>
      </c>
      <c r="I325" s="38" t="str">
        <f>IF(dataset_A!C325=1,"Spring",IF(dataset_A!C325=2,"Summer",IF(dataset_A!C325=3,"Fail","Winter")))</f>
        <v>Spring</v>
      </c>
      <c r="J325" s="38" t="str">
        <f>IF(dataset_A!I325=1,"Clear",IF(dataset_A!I325,"Mist/Cloudy",IF(dataset_A!I325=3,"Light Rain/Snow","Heavy Rain/Snow")))</f>
        <v>Clear</v>
      </c>
      <c r="K325" s="38">
        <f>dataset_A!N325</f>
        <v>7</v>
      </c>
      <c r="L325" s="38">
        <f>dataset_A!O325</f>
        <v>64</v>
      </c>
      <c r="M325" s="38">
        <f>dataset_A!P325</f>
        <v>71</v>
      </c>
      <c r="N325" s="38" t="str">
        <f t="shared" si="3"/>
        <v>Ok</v>
      </c>
      <c r="O325" s="38" t="str">
        <f>IF(M325&gt;Analysis!$B$3*1.5,"High",IF(M325&lt;Analysis!$B$3*0.5,"Low","Medium"))</f>
        <v>Medium</v>
      </c>
      <c r="P325" s="38" t="str">
        <f>VLOOKUP(dataset_A!C325,$Q$2:$R$5,2,0)</f>
        <v>Spring</v>
      </c>
      <c r="S325" s="38" t="str">
        <f t="array" ref="S325">INDEX($R$2:$R$5,MATCH(dataset_A!C325,$Q$2:$Q$5,0))</f>
        <v>Spring</v>
      </c>
      <c r="T325" s="38" t="str">
        <f t="shared" si="4"/>
        <v>Match</v>
      </c>
    </row>
    <row r="326" ht="12.75" customHeight="1">
      <c r="A326" s="38">
        <f>dataset_A!A326</f>
        <v>35</v>
      </c>
      <c r="B326" s="39">
        <f>dataset_A!B326</f>
        <v>40545</v>
      </c>
      <c r="C326" s="38">
        <f>dataset_A!F326</f>
        <v>11</v>
      </c>
      <c r="D326" s="38">
        <f>dataset_A!H326</f>
        <v>0</v>
      </c>
      <c r="E326" s="38" t="b">
        <f>dataset_A!G326</f>
        <v>0</v>
      </c>
      <c r="F326" s="38" t="b">
        <f>dataset_A!G326</f>
        <v>0</v>
      </c>
      <c r="G326" s="38" t="str">
        <f t="shared" si="1"/>
        <v>Weekend</v>
      </c>
      <c r="H326" s="38" t="str">
        <f t="shared" si="2"/>
        <v>Morning</v>
      </c>
      <c r="I326" s="38" t="str">
        <f>IF(dataset_A!C326=1,"Spring",IF(dataset_A!C326=2,"Summer",IF(dataset_A!C326=3,"Fail","Winter")))</f>
        <v>Spring</v>
      </c>
      <c r="J326" s="38" t="str">
        <f>IF(dataset_A!I326=1,"Clear",IF(dataset_A!I326,"Mist/Cloudy",IF(dataset_A!I326=3,"Light Rain/Snow","Heavy Rain/Snow")))</f>
        <v>Mist/Cloudy</v>
      </c>
      <c r="K326" s="38">
        <f>dataset_A!N326</f>
        <v>16</v>
      </c>
      <c r="L326" s="38">
        <f>dataset_A!O326</f>
        <v>54</v>
      </c>
      <c r="M326" s="38">
        <f>dataset_A!P326</f>
        <v>70</v>
      </c>
      <c r="N326" s="38" t="str">
        <f t="shared" si="3"/>
        <v>Ok</v>
      </c>
      <c r="O326" s="38" t="str">
        <f>IF(M326&gt;Analysis!$B$3*1.5,"High",IF(M326&lt;Analysis!$B$3*0.5,"Low","Medium"))</f>
        <v>Medium</v>
      </c>
      <c r="P326" s="38" t="str">
        <f>VLOOKUP(dataset_A!C326,$Q$2:$R$5,2,0)</f>
        <v>Spring</v>
      </c>
      <c r="S326" s="38" t="str">
        <f t="array" ref="S326">INDEX($R$2:$R$5,MATCH(dataset_A!C326,$Q$2:$Q$5,0))</f>
        <v>Spring</v>
      </c>
      <c r="T326" s="38" t="str">
        <f t="shared" si="4"/>
        <v>Match</v>
      </c>
    </row>
    <row r="327" ht="12.75" customHeight="1">
      <c r="A327" s="38">
        <f>dataset_A!A327</f>
        <v>129</v>
      </c>
      <c r="B327" s="39">
        <f>dataset_A!B327</f>
        <v>40549</v>
      </c>
      <c r="C327" s="38">
        <f>dataset_A!F327</f>
        <v>14</v>
      </c>
      <c r="D327" s="38">
        <f>dataset_A!H327</f>
        <v>4</v>
      </c>
      <c r="E327" s="38" t="b">
        <f>dataset_A!G327</f>
        <v>0</v>
      </c>
      <c r="F327" s="38" t="b">
        <f>dataset_A!G327</f>
        <v>0</v>
      </c>
      <c r="G327" s="38" t="str">
        <f t="shared" si="1"/>
        <v>Weekday</v>
      </c>
      <c r="H327" s="38" t="str">
        <f t="shared" si="2"/>
        <v>Afternoon</v>
      </c>
      <c r="I327" s="38" t="str">
        <f>IF(dataset_A!C327=1,"Spring",IF(dataset_A!C327=2,"Summer",IF(dataset_A!C327=3,"Fail","Winter")))</f>
        <v>Spring</v>
      </c>
      <c r="J327" s="38" t="str">
        <f>IF(dataset_A!I327=1,"Clear",IF(dataset_A!I327,"Mist/Cloudy",IF(dataset_A!I327=3,"Light Rain/Snow","Heavy Rain/Snow")))</f>
        <v>Clear</v>
      </c>
      <c r="K327" s="38">
        <f>dataset_A!N327</f>
        <v>11</v>
      </c>
      <c r="L327" s="38">
        <f>dataset_A!O327</f>
        <v>59</v>
      </c>
      <c r="M327" s="38">
        <f>dataset_A!P327</f>
        <v>70</v>
      </c>
      <c r="N327" s="38" t="str">
        <f t="shared" si="3"/>
        <v>Ok</v>
      </c>
      <c r="O327" s="38" t="str">
        <f>IF(M327&gt;Analysis!$B$3*1.5,"High",IF(M327&lt;Analysis!$B$3*0.5,"Low","Medium"))</f>
        <v>Medium</v>
      </c>
      <c r="P327" s="38" t="str">
        <f>VLOOKUP(dataset_A!C327,$Q$2:$R$5,2,0)</f>
        <v>Spring</v>
      </c>
      <c r="S327" s="38" t="str">
        <f t="array" ref="S327">INDEX($R$2:$R$5,MATCH(dataset_A!C327,$Q$2:$Q$5,0))</f>
        <v>Spring</v>
      </c>
      <c r="T327" s="38" t="str">
        <f t="shared" si="4"/>
        <v>Match</v>
      </c>
    </row>
    <row r="328" ht="12.75" customHeight="1">
      <c r="A328" s="38">
        <f>dataset_A!A328</f>
        <v>308</v>
      </c>
      <c r="B328" s="39">
        <f>dataset_A!B328</f>
        <v>40557</v>
      </c>
      <c r="C328" s="38">
        <f>dataset_A!F328</f>
        <v>7</v>
      </c>
      <c r="D328" s="38">
        <f>dataset_A!H328</f>
        <v>5</v>
      </c>
      <c r="E328" s="38" t="b">
        <f>dataset_A!G328</f>
        <v>0</v>
      </c>
      <c r="F328" s="38" t="b">
        <f>dataset_A!G328</f>
        <v>0</v>
      </c>
      <c r="G328" s="38" t="str">
        <f t="shared" si="1"/>
        <v>Weekday</v>
      </c>
      <c r="H328" s="38" t="str">
        <f t="shared" si="2"/>
        <v>Morning</v>
      </c>
      <c r="I328" s="38" t="str">
        <f>IF(dataset_A!C328=1,"Spring",IF(dataset_A!C328=2,"Summer",IF(dataset_A!C328=3,"Fail","Winter")))</f>
        <v>Spring</v>
      </c>
      <c r="J328" s="38" t="str">
        <f>IF(dataset_A!I328=1,"Clear",IF(dataset_A!I328,"Mist/Cloudy",IF(dataset_A!I328=3,"Light Rain/Snow","Heavy Rain/Snow")))</f>
        <v>Clear</v>
      </c>
      <c r="K328" s="38">
        <f>dataset_A!N328</f>
        <v>0</v>
      </c>
      <c r="L328" s="38">
        <f>dataset_A!O328</f>
        <v>70</v>
      </c>
      <c r="M328" s="38">
        <f>dataset_A!P328</f>
        <v>70</v>
      </c>
      <c r="N328" s="38" t="str">
        <f t="shared" si="3"/>
        <v>Ok</v>
      </c>
      <c r="O328" s="38" t="str">
        <f>IF(M328&gt;Analysis!$B$3*1.5,"High",IF(M328&lt;Analysis!$B$3*0.5,"Low","Medium"))</f>
        <v>Medium</v>
      </c>
      <c r="P328" s="38" t="str">
        <f>VLOOKUP(dataset_A!C328,$Q$2:$R$5,2,0)</f>
        <v>Spring</v>
      </c>
      <c r="S328" s="38" t="str">
        <f t="array" ref="S328">INDEX($R$2:$R$5,MATCH(dataset_A!C328,$Q$2:$Q$5,0))</f>
        <v>Spring</v>
      </c>
      <c r="T328" s="38" t="str">
        <f t="shared" si="4"/>
        <v>Match</v>
      </c>
    </row>
    <row r="329" ht="12.75" customHeight="1">
      <c r="A329" s="38">
        <f>dataset_A!A329</f>
        <v>420</v>
      </c>
      <c r="B329" s="39">
        <f>dataset_A!B329</f>
        <v>40562</v>
      </c>
      <c r="C329" s="38">
        <f>dataset_A!F329</f>
        <v>12</v>
      </c>
      <c r="D329" s="38">
        <f>dataset_A!H329</f>
        <v>3</v>
      </c>
      <c r="E329" s="38" t="b">
        <f>dataset_A!G329</f>
        <v>0</v>
      </c>
      <c r="F329" s="38" t="b">
        <f>dataset_A!G329</f>
        <v>0</v>
      </c>
      <c r="G329" s="38" t="str">
        <f t="shared" si="1"/>
        <v>Weekday</v>
      </c>
      <c r="H329" s="38" t="str">
        <f t="shared" si="2"/>
        <v>Afternoon</v>
      </c>
      <c r="I329" s="38" t="str">
        <f>IF(dataset_A!C329=1,"Spring",IF(dataset_A!C329=2,"Summer",IF(dataset_A!C329=3,"Fail","Winter")))</f>
        <v>Spring</v>
      </c>
      <c r="J329" s="38" t="str">
        <f>IF(dataset_A!I329=1,"Clear",IF(dataset_A!I329,"Mist/Cloudy",IF(dataset_A!I329=3,"Light Rain/Snow","Heavy Rain/Snow")))</f>
        <v>Mist/Cloudy</v>
      </c>
      <c r="K329" s="38">
        <f>dataset_A!N329</f>
        <v>5</v>
      </c>
      <c r="L329" s="38">
        <f>dataset_A!O329</f>
        <v>65</v>
      </c>
      <c r="M329" s="38">
        <f>dataset_A!P329</f>
        <v>70</v>
      </c>
      <c r="N329" s="38" t="str">
        <f t="shared" si="3"/>
        <v>Ok</v>
      </c>
      <c r="O329" s="38" t="str">
        <f>IF(M329&gt;Analysis!$B$3*1.5,"High",IF(M329&lt;Analysis!$B$3*0.5,"Low","Medium"))</f>
        <v>Medium</v>
      </c>
      <c r="P329" s="38" t="str">
        <f>VLOOKUP(dataset_A!C329,$Q$2:$R$5,2,0)</f>
        <v>Spring</v>
      </c>
      <c r="S329" s="38" t="str">
        <f t="array" ref="S329">INDEX($R$2:$R$5,MATCH(dataset_A!C329,$Q$2:$Q$5,0))</f>
        <v>Spring</v>
      </c>
      <c r="T329" s="38" t="str">
        <f t="shared" si="4"/>
        <v>Match</v>
      </c>
    </row>
    <row r="330" ht="12.75" customHeight="1">
      <c r="A330" s="38">
        <f>dataset_A!A330</f>
        <v>447</v>
      </c>
      <c r="B330" s="39">
        <f>dataset_A!B330</f>
        <v>40563</v>
      </c>
      <c r="C330" s="38">
        <f>dataset_A!F330</f>
        <v>15</v>
      </c>
      <c r="D330" s="38">
        <f>dataset_A!H330</f>
        <v>4</v>
      </c>
      <c r="E330" s="38" t="b">
        <f>dataset_A!G330</f>
        <v>0</v>
      </c>
      <c r="F330" s="38" t="b">
        <f>dataset_A!G330</f>
        <v>0</v>
      </c>
      <c r="G330" s="38" t="str">
        <f t="shared" si="1"/>
        <v>Weekday</v>
      </c>
      <c r="H330" s="38" t="str">
        <f t="shared" si="2"/>
        <v>Afternoon</v>
      </c>
      <c r="I330" s="38" t="str">
        <f>IF(dataset_A!C330=1,"Spring",IF(dataset_A!C330=2,"Summer",IF(dataset_A!C330=3,"Fail","Winter")))</f>
        <v>Spring</v>
      </c>
      <c r="J330" s="38" t="str">
        <f>IF(dataset_A!I330=1,"Clear",IF(dataset_A!I330,"Mist/Cloudy",IF(dataset_A!I330=3,"Light Rain/Snow","Heavy Rain/Snow")))</f>
        <v>Mist/Cloudy</v>
      </c>
      <c r="K330" s="38">
        <f>dataset_A!N330</f>
        <v>8</v>
      </c>
      <c r="L330" s="38">
        <f>dataset_A!O330</f>
        <v>62</v>
      </c>
      <c r="M330" s="38">
        <f>dataset_A!P330</f>
        <v>70</v>
      </c>
      <c r="N330" s="38" t="str">
        <f t="shared" si="3"/>
        <v>Ok</v>
      </c>
      <c r="O330" s="38" t="str">
        <f>IF(M330&gt;Analysis!$B$3*1.5,"High",IF(M330&lt;Analysis!$B$3*0.5,"Low","Medium"))</f>
        <v>Medium</v>
      </c>
      <c r="P330" s="38" t="str">
        <f>VLOOKUP(dataset_A!C330,$Q$2:$R$5,2,0)</f>
        <v>Spring</v>
      </c>
      <c r="S330" s="38" t="str">
        <f t="array" ref="S330">INDEX($R$2:$R$5,MATCH(dataset_A!C330,$Q$2:$Q$5,0))</f>
        <v>Spring</v>
      </c>
      <c r="T330" s="38" t="str">
        <f t="shared" si="4"/>
        <v>Match</v>
      </c>
    </row>
    <row r="331" ht="12.75" customHeight="1">
      <c r="A331" s="38">
        <f>dataset_A!A331</f>
        <v>491</v>
      </c>
      <c r="B331" s="39">
        <f>dataset_A!B331</f>
        <v>40565</v>
      </c>
      <c r="C331" s="38">
        <f>dataset_A!F331</f>
        <v>12</v>
      </c>
      <c r="D331" s="38">
        <f>dataset_A!H331</f>
        <v>6</v>
      </c>
      <c r="E331" s="38" t="b">
        <f>dataset_A!G331</f>
        <v>0</v>
      </c>
      <c r="F331" s="38" t="b">
        <f>dataset_A!G331</f>
        <v>0</v>
      </c>
      <c r="G331" s="38" t="str">
        <f t="shared" si="1"/>
        <v>Weekend</v>
      </c>
      <c r="H331" s="38" t="str">
        <f t="shared" si="2"/>
        <v>Afternoon</v>
      </c>
      <c r="I331" s="38" t="str">
        <f>IF(dataset_A!C331=1,"Spring",IF(dataset_A!C331=2,"Summer",IF(dataset_A!C331=3,"Fail","Winter")))</f>
        <v>Spring</v>
      </c>
      <c r="J331" s="38" t="str">
        <f>IF(dataset_A!I331=1,"Clear",IF(dataset_A!I331,"Mist/Cloudy",IF(dataset_A!I331=3,"Light Rain/Snow","Heavy Rain/Snow")))</f>
        <v>Mist/Cloudy</v>
      </c>
      <c r="K331" s="38">
        <f>dataset_A!N331</f>
        <v>10</v>
      </c>
      <c r="L331" s="38">
        <f>dataset_A!O331</f>
        <v>60</v>
      </c>
      <c r="M331" s="38">
        <f>dataset_A!P331</f>
        <v>70</v>
      </c>
      <c r="N331" s="38" t="str">
        <f t="shared" si="3"/>
        <v>Ok</v>
      </c>
      <c r="O331" s="38" t="str">
        <f>IF(M331&gt;Analysis!$B$3*1.5,"High",IF(M331&lt;Analysis!$B$3*0.5,"Low","Medium"))</f>
        <v>Medium</v>
      </c>
      <c r="P331" s="38" t="str">
        <f>VLOOKUP(dataset_A!C331,$Q$2:$R$5,2,0)</f>
        <v>Spring</v>
      </c>
      <c r="S331" s="38" t="str">
        <f t="array" ref="S331">INDEX($R$2:$R$5,MATCH(dataset_A!C331,$Q$2:$Q$5,0))</f>
        <v>Spring</v>
      </c>
      <c r="T331" s="38" t="str">
        <f t="shared" si="4"/>
        <v>Match</v>
      </c>
    </row>
    <row r="332" ht="12.75" customHeight="1">
      <c r="A332" s="38">
        <f>dataset_A!A332</f>
        <v>541</v>
      </c>
      <c r="B332" s="39">
        <f>dataset_A!B332</f>
        <v>40567</v>
      </c>
      <c r="C332" s="38">
        <f>dataset_A!F332</f>
        <v>16</v>
      </c>
      <c r="D332" s="38">
        <f>dataset_A!H332</f>
        <v>1</v>
      </c>
      <c r="E332" s="38" t="b">
        <f>dataset_A!G332</f>
        <v>0</v>
      </c>
      <c r="F332" s="38" t="b">
        <f>dataset_A!G332</f>
        <v>0</v>
      </c>
      <c r="G332" s="38" t="str">
        <f t="shared" si="1"/>
        <v>Weekday</v>
      </c>
      <c r="H332" s="38" t="str">
        <f t="shared" si="2"/>
        <v>Afternoon</v>
      </c>
      <c r="I332" s="38" t="str">
        <f>IF(dataset_A!C332=1,"Spring",IF(dataset_A!C332=2,"Summer",IF(dataset_A!C332=3,"Fail","Winter")))</f>
        <v>Spring</v>
      </c>
      <c r="J332" s="38" t="str">
        <f>IF(dataset_A!I332=1,"Clear",IF(dataset_A!I332,"Mist/Cloudy",IF(dataset_A!I332=3,"Light Rain/Snow","Heavy Rain/Snow")))</f>
        <v>Clear</v>
      </c>
      <c r="K332" s="38">
        <f>dataset_A!N332</f>
        <v>4</v>
      </c>
      <c r="L332" s="38">
        <f>dataset_A!O332</f>
        <v>66</v>
      </c>
      <c r="M332" s="38">
        <f>dataset_A!P332</f>
        <v>70</v>
      </c>
      <c r="N332" s="38" t="str">
        <f t="shared" si="3"/>
        <v>Ok</v>
      </c>
      <c r="O332" s="38" t="str">
        <f>IF(M332&gt;Analysis!$B$3*1.5,"High",IF(M332&lt;Analysis!$B$3*0.5,"Low","Medium"))</f>
        <v>Medium</v>
      </c>
      <c r="P332" s="38" t="str">
        <f>VLOOKUP(dataset_A!C332,$Q$2:$R$5,2,0)</f>
        <v>Spring</v>
      </c>
      <c r="S332" s="38" t="str">
        <f t="array" ref="S332">INDEX($R$2:$R$5,MATCH(dataset_A!C332,$Q$2:$Q$5,0))</f>
        <v>Spring</v>
      </c>
      <c r="T332" s="38" t="str">
        <f t="shared" si="4"/>
        <v>Match</v>
      </c>
    </row>
    <row r="333" ht="12.75" customHeight="1">
      <c r="A333" s="38">
        <f>dataset_A!A333</f>
        <v>135</v>
      </c>
      <c r="B333" s="39">
        <f>dataset_A!B333</f>
        <v>40549</v>
      </c>
      <c r="C333" s="38">
        <f>dataset_A!F333</f>
        <v>20</v>
      </c>
      <c r="D333" s="38">
        <f>dataset_A!H333</f>
        <v>4</v>
      </c>
      <c r="E333" s="38" t="b">
        <f>dataset_A!G333</f>
        <v>0</v>
      </c>
      <c r="F333" s="38" t="b">
        <f>dataset_A!G333</f>
        <v>0</v>
      </c>
      <c r="G333" s="38" t="str">
        <f t="shared" si="1"/>
        <v>Weekday</v>
      </c>
      <c r="H333" s="38" t="str">
        <f t="shared" si="2"/>
        <v>Evening</v>
      </c>
      <c r="I333" s="38" t="str">
        <f>IF(dataset_A!C333=1,"Spring",IF(dataset_A!C333=2,"Summer",IF(dataset_A!C333=3,"Fail","Winter")))</f>
        <v>Spring</v>
      </c>
      <c r="J333" s="38" t="str">
        <f>IF(dataset_A!I333=1,"Clear",IF(dataset_A!I333,"Mist/Cloudy",IF(dataset_A!I333=3,"Light Rain/Snow","Heavy Rain/Snow")))</f>
        <v>Clear</v>
      </c>
      <c r="K333" s="38">
        <f>dataset_A!N333</f>
        <v>3</v>
      </c>
      <c r="L333" s="38">
        <f>dataset_A!O333</f>
        <v>66</v>
      </c>
      <c r="M333" s="38">
        <f>dataset_A!P333</f>
        <v>69</v>
      </c>
      <c r="N333" s="38" t="str">
        <f t="shared" si="3"/>
        <v>Ok</v>
      </c>
      <c r="O333" s="38" t="str">
        <f>IF(M333&gt;Analysis!$B$3*1.5,"High",IF(M333&lt;Analysis!$B$3*0.5,"Low","Medium"))</f>
        <v>Medium</v>
      </c>
      <c r="P333" s="38" t="str">
        <f>VLOOKUP(dataset_A!C333,$Q$2:$R$5,2,0)</f>
        <v>Spring</v>
      </c>
      <c r="S333" s="38" t="str">
        <f t="array" ref="S333">INDEX($R$2:$R$5,MATCH(dataset_A!C333,$Q$2:$Q$5,0))</f>
        <v>Spring</v>
      </c>
      <c r="T333" s="38" t="str">
        <f t="shared" si="4"/>
        <v>Match</v>
      </c>
    </row>
    <row r="334" ht="12.75" customHeight="1">
      <c r="A334" s="38">
        <f>dataset_A!A334</f>
        <v>179</v>
      </c>
      <c r="B334" s="39">
        <f>dataset_A!B334</f>
        <v>40551</v>
      </c>
      <c r="C334" s="38">
        <f>dataset_A!F334</f>
        <v>17</v>
      </c>
      <c r="D334" s="38">
        <f>dataset_A!H334</f>
        <v>6</v>
      </c>
      <c r="E334" s="38" t="b">
        <f>dataset_A!G334</f>
        <v>0</v>
      </c>
      <c r="F334" s="38" t="b">
        <f>dataset_A!G334</f>
        <v>0</v>
      </c>
      <c r="G334" s="38" t="str">
        <f t="shared" si="1"/>
        <v>Weekend</v>
      </c>
      <c r="H334" s="38" t="str">
        <f t="shared" si="2"/>
        <v>Afternoon</v>
      </c>
      <c r="I334" s="38" t="str">
        <f>IF(dataset_A!C334=1,"Spring",IF(dataset_A!C334=2,"Summer",IF(dataset_A!C334=3,"Fail","Winter")))</f>
        <v>Spring</v>
      </c>
      <c r="J334" s="38" t="str">
        <f>IF(dataset_A!I334=1,"Clear",IF(dataset_A!I334,"Mist/Cloudy",IF(dataset_A!I334=3,"Light Rain/Snow","Heavy Rain/Snow")))</f>
        <v>Clear</v>
      </c>
      <c r="K334" s="38">
        <f>dataset_A!N334</f>
        <v>5</v>
      </c>
      <c r="L334" s="38">
        <f>dataset_A!O334</f>
        <v>64</v>
      </c>
      <c r="M334" s="38">
        <f>dataset_A!P334</f>
        <v>69</v>
      </c>
      <c r="N334" s="38" t="str">
        <f t="shared" si="3"/>
        <v>Ok</v>
      </c>
      <c r="O334" s="38" t="str">
        <f>IF(M334&gt;Analysis!$B$3*1.5,"High",IF(M334&lt;Analysis!$B$3*0.5,"Low","Medium"))</f>
        <v>Medium</v>
      </c>
      <c r="P334" s="38" t="str">
        <f>VLOOKUP(dataset_A!C334,$Q$2:$R$5,2,0)</f>
        <v>Spring</v>
      </c>
      <c r="S334" s="38" t="str">
        <f t="array" ref="S334">INDEX($R$2:$R$5,MATCH(dataset_A!C334,$Q$2:$Q$5,0))</f>
        <v>Spring</v>
      </c>
      <c r="T334" s="38" t="str">
        <f t="shared" si="4"/>
        <v>Match</v>
      </c>
    </row>
    <row r="335" ht="12.75" customHeight="1">
      <c r="A335" s="38">
        <f>dataset_A!A335</f>
        <v>675</v>
      </c>
      <c r="B335" s="39">
        <f>dataset_A!B335</f>
        <v>40574</v>
      </c>
      <c r="C335" s="38">
        <f>dataset_A!F335</f>
        <v>10</v>
      </c>
      <c r="D335" s="38">
        <f>dataset_A!H335</f>
        <v>1</v>
      </c>
      <c r="E335" s="38" t="b">
        <f>dataset_A!G335</f>
        <v>0</v>
      </c>
      <c r="F335" s="38" t="b">
        <f>dataset_A!G335</f>
        <v>0</v>
      </c>
      <c r="G335" s="38" t="str">
        <f t="shared" si="1"/>
        <v>Weekday</v>
      </c>
      <c r="H335" s="38" t="str">
        <f t="shared" si="2"/>
        <v>Morning</v>
      </c>
      <c r="I335" s="38" t="str">
        <f>IF(dataset_A!C335=1,"Spring",IF(dataset_A!C335=2,"Summer",IF(dataset_A!C335=3,"Fail","Winter")))</f>
        <v>Spring</v>
      </c>
      <c r="J335" s="38" t="str">
        <f>IF(dataset_A!I335=1,"Clear",IF(dataset_A!I335,"Mist/Cloudy",IF(dataset_A!I335=3,"Light Rain/Snow","Heavy Rain/Snow")))</f>
        <v>Mist/Cloudy</v>
      </c>
      <c r="K335" s="38">
        <f>dataset_A!N335</f>
        <v>1</v>
      </c>
      <c r="L335" s="38">
        <f>dataset_A!O335</f>
        <v>68</v>
      </c>
      <c r="M335" s="38">
        <f>dataset_A!P335</f>
        <v>69</v>
      </c>
      <c r="N335" s="38" t="str">
        <f t="shared" si="3"/>
        <v>Ok</v>
      </c>
      <c r="O335" s="38" t="str">
        <f>IF(M335&gt;Analysis!$B$3*1.5,"High",IF(M335&lt;Analysis!$B$3*0.5,"Low","Medium"))</f>
        <v>Medium</v>
      </c>
      <c r="P335" s="38" t="str">
        <f>VLOOKUP(dataset_A!C335,$Q$2:$R$5,2,0)</f>
        <v>Spring</v>
      </c>
      <c r="S335" s="38" t="str">
        <f t="array" ref="S335">INDEX($R$2:$R$5,MATCH(dataset_A!C335,$Q$2:$Q$5,0))</f>
        <v>Spring</v>
      </c>
      <c r="T335" s="38" t="str">
        <f t="shared" si="4"/>
        <v>Match</v>
      </c>
    </row>
    <row r="336" ht="12.75" customHeight="1">
      <c r="A336" s="38">
        <f>dataset_A!A336</f>
        <v>747</v>
      </c>
      <c r="B336" s="39">
        <f>dataset_A!B336</f>
        <v>40577</v>
      </c>
      <c r="C336" s="38">
        <f>dataset_A!F336</f>
        <v>12</v>
      </c>
      <c r="D336" s="38">
        <f>dataset_A!H336</f>
        <v>4</v>
      </c>
      <c r="E336" s="38" t="b">
        <f>dataset_A!G336</f>
        <v>0</v>
      </c>
      <c r="F336" s="38" t="b">
        <f>dataset_A!G336</f>
        <v>0</v>
      </c>
      <c r="G336" s="38" t="str">
        <f t="shared" si="1"/>
        <v>Weekday</v>
      </c>
      <c r="H336" s="38" t="str">
        <f t="shared" si="2"/>
        <v>Afternoon</v>
      </c>
      <c r="I336" s="38" t="str">
        <f>IF(dataset_A!C336=1,"Spring",IF(dataset_A!C336=2,"Summer",IF(dataset_A!C336=3,"Fail","Winter")))</f>
        <v>Spring</v>
      </c>
      <c r="J336" s="38" t="str">
        <f>IF(dataset_A!I336=1,"Clear",IF(dataset_A!I336,"Mist/Cloudy",IF(dataset_A!I336=3,"Light Rain/Snow","Heavy Rain/Snow")))</f>
        <v>Clear</v>
      </c>
      <c r="K336" s="38">
        <f>dataset_A!N336</f>
        <v>2</v>
      </c>
      <c r="L336" s="38">
        <f>dataset_A!O336</f>
        <v>67</v>
      </c>
      <c r="M336" s="38">
        <f>dataset_A!P336</f>
        <v>69</v>
      </c>
      <c r="N336" s="38" t="str">
        <f t="shared" si="3"/>
        <v>Ok</v>
      </c>
      <c r="O336" s="38" t="str">
        <f>IF(M336&gt;Analysis!$B$3*1.5,"High",IF(M336&lt;Analysis!$B$3*0.5,"Low","Medium"))</f>
        <v>Medium</v>
      </c>
      <c r="P336" s="38" t="str">
        <f>VLOOKUP(dataset_A!C336,$Q$2:$R$5,2,0)</f>
        <v>Spring</v>
      </c>
      <c r="S336" s="38" t="str">
        <f t="array" ref="S336">INDEX($R$2:$R$5,MATCH(dataset_A!C336,$Q$2:$Q$5,0))</f>
        <v>Spring</v>
      </c>
      <c r="T336" s="38" t="str">
        <f t="shared" si="4"/>
        <v>Match</v>
      </c>
    </row>
    <row r="337" ht="12.75" customHeight="1">
      <c r="A337" s="38">
        <f>dataset_A!A337</f>
        <v>802</v>
      </c>
      <c r="B337" s="39">
        <f>dataset_A!B337</f>
        <v>40579</v>
      </c>
      <c r="C337" s="38">
        <f>dataset_A!F337</f>
        <v>20</v>
      </c>
      <c r="D337" s="38">
        <f>dataset_A!H337</f>
        <v>6</v>
      </c>
      <c r="E337" s="38" t="b">
        <f>dataset_A!G337</f>
        <v>0</v>
      </c>
      <c r="F337" s="38" t="b">
        <f>dataset_A!G337</f>
        <v>0</v>
      </c>
      <c r="G337" s="38" t="str">
        <f t="shared" si="1"/>
        <v>Weekend</v>
      </c>
      <c r="H337" s="38" t="str">
        <f t="shared" si="2"/>
        <v>Evening</v>
      </c>
      <c r="I337" s="38" t="str">
        <f>IF(dataset_A!C337=1,"Spring",IF(dataset_A!C337=2,"Summer",IF(dataset_A!C337=3,"Fail","Winter")))</f>
        <v>Spring</v>
      </c>
      <c r="J337" s="38" t="str">
        <f>IF(dataset_A!I337=1,"Clear",IF(dataset_A!I337,"Mist/Cloudy",IF(dataset_A!I337=3,"Light Rain/Snow","Heavy Rain/Snow")))</f>
        <v>Clear</v>
      </c>
      <c r="K337" s="38">
        <f>dataset_A!N337</f>
        <v>5</v>
      </c>
      <c r="L337" s="38">
        <f>dataset_A!O337</f>
        <v>64</v>
      </c>
      <c r="M337" s="38">
        <f>dataset_A!P337</f>
        <v>69</v>
      </c>
      <c r="N337" s="38" t="str">
        <f t="shared" si="3"/>
        <v>Ok</v>
      </c>
      <c r="O337" s="38" t="str">
        <f>IF(M337&gt;Analysis!$B$3*1.5,"High",IF(M337&lt;Analysis!$B$3*0.5,"Low","Medium"))</f>
        <v>Medium</v>
      </c>
      <c r="P337" s="38" t="str">
        <f>VLOOKUP(dataset_A!C337,$Q$2:$R$5,2,0)</f>
        <v>Spring</v>
      </c>
      <c r="S337" s="38" t="str">
        <f t="array" ref="S337">INDEX($R$2:$R$5,MATCH(dataset_A!C337,$Q$2:$Q$5,0))</f>
        <v>Spring</v>
      </c>
      <c r="T337" s="38" t="str">
        <f t="shared" si="4"/>
        <v>Match</v>
      </c>
    </row>
    <row r="338" ht="12.75" customHeight="1">
      <c r="A338" s="38">
        <f>dataset_A!A338</f>
        <v>890</v>
      </c>
      <c r="B338" s="39">
        <f>dataset_A!B338</f>
        <v>40583</v>
      </c>
      <c r="C338" s="38">
        <f>dataset_A!F338</f>
        <v>13</v>
      </c>
      <c r="D338" s="38">
        <f>dataset_A!H338</f>
        <v>3</v>
      </c>
      <c r="E338" s="38" t="b">
        <f>dataset_A!G338</f>
        <v>0</v>
      </c>
      <c r="F338" s="38" t="b">
        <f>dataset_A!G338</f>
        <v>0</v>
      </c>
      <c r="G338" s="38" t="str">
        <f t="shared" si="1"/>
        <v>Weekday</v>
      </c>
      <c r="H338" s="38" t="str">
        <f t="shared" si="2"/>
        <v>Afternoon</v>
      </c>
      <c r="I338" s="38" t="str">
        <f>IF(dataset_A!C338=1,"Spring",IF(dataset_A!C338=2,"Summer",IF(dataset_A!C338=3,"Fail","Winter")))</f>
        <v>Spring</v>
      </c>
      <c r="J338" s="38" t="str">
        <f>IF(dataset_A!I338=1,"Clear",IF(dataset_A!I338,"Mist/Cloudy",IF(dataset_A!I338=3,"Light Rain/Snow","Heavy Rain/Snow")))</f>
        <v>Clear</v>
      </c>
      <c r="K338" s="38">
        <f>dataset_A!N338</f>
        <v>2</v>
      </c>
      <c r="L338" s="38">
        <f>dataset_A!O338</f>
        <v>67</v>
      </c>
      <c r="M338" s="38">
        <f>dataset_A!P338</f>
        <v>69</v>
      </c>
      <c r="N338" s="38" t="str">
        <f t="shared" si="3"/>
        <v>Ok</v>
      </c>
      <c r="O338" s="38" t="str">
        <f>IF(M338&gt;Analysis!$B$3*1.5,"High",IF(M338&lt;Analysis!$B$3*0.5,"Low","Medium"))</f>
        <v>Medium</v>
      </c>
      <c r="P338" s="38" t="str">
        <f>VLOOKUP(dataset_A!C338,$Q$2:$R$5,2,0)</f>
        <v>Spring</v>
      </c>
      <c r="S338" s="38" t="str">
        <f t="array" ref="S338">INDEX($R$2:$R$5,MATCH(dataset_A!C338,$Q$2:$Q$5,0))</f>
        <v>Spring</v>
      </c>
      <c r="T338" s="38" t="str">
        <f t="shared" si="4"/>
        <v>Match</v>
      </c>
    </row>
    <row r="339" ht="12.75" customHeight="1">
      <c r="A339" s="38">
        <f>dataset_A!A339</f>
        <v>912</v>
      </c>
      <c r="B339" s="39">
        <f>dataset_A!B339</f>
        <v>40584</v>
      </c>
      <c r="C339" s="38">
        <f>dataset_A!F339</f>
        <v>12</v>
      </c>
      <c r="D339" s="38">
        <f>dataset_A!H339</f>
        <v>4</v>
      </c>
      <c r="E339" s="38" t="b">
        <f>dataset_A!G339</f>
        <v>0</v>
      </c>
      <c r="F339" s="38" t="b">
        <f>dataset_A!G339</f>
        <v>0</v>
      </c>
      <c r="G339" s="38" t="str">
        <f t="shared" si="1"/>
        <v>Weekday</v>
      </c>
      <c r="H339" s="38" t="str">
        <f t="shared" si="2"/>
        <v>Afternoon</v>
      </c>
      <c r="I339" s="38" t="str">
        <f>IF(dataset_A!C339=1,"Spring",IF(dataset_A!C339=2,"Summer",IF(dataset_A!C339=3,"Fail","Winter")))</f>
        <v>Spring</v>
      </c>
      <c r="J339" s="38" t="str">
        <f>IF(dataset_A!I339=1,"Clear",IF(dataset_A!I339,"Mist/Cloudy",IF(dataset_A!I339=3,"Light Rain/Snow","Heavy Rain/Snow")))</f>
        <v>Clear</v>
      </c>
      <c r="K339" s="38">
        <f>dataset_A!N339</f>
        <v>4</v>
      </c>
      <c r="L339" s="38">
        <f>dataset_A!O339</f>
        <v>65</v>
      </c>
      <c r="M339" s="38">
        <f>dataset_A!P339</f>
        <v>69</v>
      </c>
      <c r="N339" s="38" t="str">
        <f t="shared" si="3"/>
        <v>Ok</v>
      </c>
      <c r="O339" s="38" t="str">
        <f>IF(M339&gt;Analysis!$B$3*1.5,"High",IF(M339&lt;Analysis!$B$3*0.5,"Low","Medium"))</f>
        <v>Medium</v>
      </c>
      <c r="P339" s="38" t="str">
        <f>VLOOKUP(dataset_A!C339,$Q$2:$R$5,2,0)</f>
        <v>Spring</v>
      </c>
      <c r="S339" s="38" t="str">
        <f t="array" ref="S339">INDEX($R$2:$R$5,MATCH(dataset_A!C339,$Q$2:$Q$5,0))</f>
        <v>Spring</v>
      </c>
      <c r="T339" s="38" t="str">
        <f t="shared" si="4"/>
        <v>Match</v>
      </c>
    </row>
    <row r="340" ht="12.75" customHeight="1">
      <c r="A340" s="38">
        <f>dataset_A!A340</f>
        <v>270</v>
      </c>
      <c r="B340" s="39">
        <f>dataset_A!B340</f>
        <v>40555</v>
      </c>
      <c r="C340" s="38">
        <f>dataset_A!F340</f>
        <v>16</v>
      </c>
      <c r="D340" s="38">
        <f>dataset_A!H340</f>
        <v>3</v>
      </c>
      <c r="E340" s="38" t="b">
        <f>dataset_A!G340</f>
        <v>0</v>
      </c>
      <c r="F340" s="38" t="b">
        <f>dataset_A!G340</f>
        <v>0</v>
      </c>
      <c r="G340" s="38" t="str">
        <f t="shared" si="1"/>
        <v>Weekday</v>
      </c>
      <c r="H340" s="38" t="str">
        <f t="shared" si="2"/>
        <v>Afternoon</v>
      </c>
      <c r="I340" s="38" t="str">
        <f>IF(dataset_A!C340=1,"Spring",IF(dataset_A!C340=2,"Summer",IF(dataset_A!C340=3,"Fail","Winter")))</f>
        <v>Spring</v>
      </c>
      <c r="J340" s="38" t="str">
        <f>IF(dataset_A!I340=1,"Clear",IF(dataset_A!I340,"Mist/Cloudy",IF(dataset_A!I340=3,"Light Rain/Snow","Heavy Rain/Snow")))</f>
        <v>Clear</v>
      </c>
      <c r="K340" s="38">
        <f>dataset_A!N340</f>
        <v>5</v>
      </c>
      <c r="L340" s="38">
        <f>dataset_A!O340</f>
        <v>63</v>
      </c>
      <c r="M340" s="38">
        <f>dataset_A!P340</f>
        <v>68</v>
      </c>
      <c r="N340" s="38" t="str">
        <f t="shared" si="3"/>
        <v>Ok</v>
      </c>
      <c r="O340" s="38" t="str">
        <f>IF(M340&gt;Analysis!$B$3*1.5,"High",IF(M340&lt;Analysis!$B$3*0.5,"Low","Medium"))</f>
        <v>Medium</v>
      </c>
      <c r="P340" s="38" t="str">
        <f>VLOOKUP(dataset_A!C340,$Q$2:$R$5,2,0)</f>
        <v>Spring</v>
      </c>
      <c r="S340" s="38" t="str">
        <f t="array" ref="S340">INDEX($R$2:$R$5,MATCH(dataset_A!C340,$Q$2:$Q$5,0))</f>
        <v>Spring</v>
      </c>
      <c r="T340" s="38" t="str">
        <f t="shared" si="4"/>
        <v>Match</v>
      </c>
    </row>
    <row r="341" ht="12.75" customHeight="1">
      <c r="A341" s="38">
        <f>dataset_A!A341</f>
        <v>316</v>
      </c>
      <c r="B341" s="39">
        <f>dataset_A!B341</f>
        <v>40557</v>
      </c>
      <c r="C341" s="38">
        <f>dataset_A!F341</f>
        <v>15</v>
      </c>
      <c r="D341" s="38">
        <f>dataset_A!H341</f>
        <v>5</v>
      </c>
      <c r="E341" s="38" t="b">
        <f>dataset_A!G341</f>
        <v>0</v>
      </c>
      <c r="F341" s="38" t="b">
        <f>dataset_A!G341</f>
        <v>0</v>
      </c>
      <c r="G341" s="38" t="str">
        <f t="shared" si="1"/>
        <v>Weekday</v>
      </c>
      <c r="H341" s="38" t="str">
        <f t="shared" si="2"/>
        <v>Afternoon</v>
      </c>
      <c r="I341" s="38" t="str">
        <f>IF(dataset_A!C341=1,"Spring",IF(dataset_A!C341=2,"Summer",IF(dataset_A!C341=3,"Fail","Winter")))</f>
        <v>Spring</v>
      </c>
      <c r="J341" s="38" t="str">
        <f>IF(dataset_A!I341=1,"Clear",IF(dataset_A!I341,"Mist/Cloudy",IF(dataset_A!I341=3,"Light Rain/Snow","Heavy Rain/Snow")))</f>
        <v>Clear</v>
      </c>
      <c r="K341" s="38">
        <f>dataset_A!N341</f>
        <v>9</v>
      </c>
      <c r="L341" s="38">
        <f>dataset_A!O341</f>
        <v>59</v>
      </c>
      <c r="M341" s="38">
        <f>dataset_A!P341</f>
        <v>68</v>
      </c>
      <c r="N341" s="38" t="str">
        <f t="shared" si="3"/>
        <v>Ok</v>
      </c>
      <c r="O341" s="38" t="str">
        <f>IF(M341&gt;Analysis!$B$3*1.5,"High",IF(M341&lt;Analysis!$B$3*0.5,"Low","Medium"))</f>
        <v>Medium</v>
      </c>
      <c r="P341" s="38" t="str">
        <f>VLOOKUP(dataset_A!C341,$Q$2:$R$5,2,0)</f>
        <v>Spring</v>
      </c>
      <c r="S341" s="38" t="str">
        <f t="array" ref="S341">INDEX($R$2:$R$5,MATCH(dataset_A!C341,$Q$2:$Q$5,0))</f>
        <v>Spring</v>
      </c>
      <c r="T341" s="38" t="str">
        <f t="shared" si="4"/>
        <v>Match</v>
      </c>
    </row>
    <row r="342" ht="12.75" customHeight="1">
      <c r="A342" s="38">
        <f>dataset_A!A342</f>
        <v>321</v>
      </c>
      <c r="B342" s="39">
        <f>dataset_A!B342</f>
        <v>40557</v>
      </c>
      <c r="C342" s="38">
        <f>dataset_A!F342</f>
        <v>20</v>
      </c>
      <c r="D342" s="38">
        <f>dataset_A!H342</f>
        <v>5</v>
      </c>
      <c r="E342" s="38" t="b">
        <f>dataset_A!G342</f>
        <v>0</v>
      </c>
      <c r="F342" s="38" t="b">
        <f>dataset_A!G342</f>
        <v>0</v>
      </c>
      <c r="G342" s="38" t="str">
        <f t="shared" si="1"/>
        <v>Weekday</v>
      </c>
      <c r="H342" s="38" t="str">
        <f t="shared" si="2"/>
        <v>Evening</v>
      </c>
      <c r="I342" s="38" t="str">
        <f>IF(dataset_A!C342=1,"Spring",IF(dataset_A!C342=2,"Summer",IF(dataset_A!C342=3,"Fail","Winter")))</f>
        <v>Spring</v>
      </c>
      <c r="J342" s="38" t="str">
        <f>IF(dataset_A!I342=1,"Clear",IF(dataset_A!I342,"Mist/Cloudy",IF(dataset_A!I342=3,"Light Rain/Snow","Heavy Rain/Snow")))</f>
        <v>Clear</v>
      </c>
      <c r="K342" s="38">
        <f>dataset_A!N342</f>
        <v>0</v>
      </c>
      <c r="L342" s="38">
        <f>dataset_A!O342</f>
        <v>68</v>
      </c>
      <c r="M342" s="38">
        <f>dataset_A!P342</f>
        <v>68</v>
      </c>
      <c r="N342" s="38" t="str">
        <f t="shared" si="3"/>
        <v>Ok</v>
      </c>
      <c r="O342" s="38" t="str">
        <f>IF(M342&gt;Analysis!$B$3*1.5,"High",IF(M342&lt;Analysis!$B$3*0.5,"Low","Medium"))</f>
        <v>Medium</v>
      </c>
      <c r="P342" s="38" t="str">
        <f>VLOOKUP(dataset_A!C342,$Q$2:$R$5,2,0)</f>
        <v>Spring</v>
      </c>
      <c r="S342" s="38" t="str">
        <f t="array" ref="S342">INDEX($R$2:$R$5,MATCH(dataset_A!C342,$Q$2:$Q$5,0))</f>
        <v>Spring</v>
      </c>
      <c r="T342" s="38" t="str">
        <f t="shared" si="4"/>
        <v>Match</v>
      </c>
    </row>
    <row r="343" ht="12.75" customHeight="1">
      <c r="A343" s="38">
        <f>dataset_A!A343</f>
        <v>443</v>
      </c>
      <c r="B343" s="39">
        <f>dataset_A!B343</f>
        <v>40563</v>
      </c>
      <c r="C343" s="38">
        <f>dataset_A!F343</f>
        <v>11</v>
      </c>
      <c r="D343" s="38">
        <f>dataset_A!H343</f>
        <v>4</v>
      </c>
      <c r="E343" s="38" t="b">
        <f>dataset_A!G343</f>
        <v>0</v>
      </c>
      <c r="F343" s="38" t="b">
        <f>dataset_A!G343</f>
        <v>0</v>
      </c>
      <c r="G343" s="38" t="str">
        <f t="shared" si="1"/>
        <v>Weekday</v>
      </c>
      <c r="H343" s="38" t="str">
        <f t="shared" si="2"/>
        <v>Morning</v>
      </c>
      <c r="I343" s="38" t="str">
        <f>IF(dataset_A!C343=1,"Spring",IF(dataset_A!C343=2,"Summer",IF(dataset_A!C343=3,"Fail","Winter")))</f>
        <v>Spring</v>
      </c>
      <c r="J343" s="38" t="str">
        <f>IF(dataset_A!I343=1,"Clear",IF(dataset_A!I343,"Mist/Cloudy",IF(dataset_A!I343=3,"Light Rain/Snow","Heavy Rain/Snow")))</f>
        <v>Mist/Cloudy</v>
      </c>
      <c r="K343" s="38">
        <f>dataset_A!N343</f>
        <v>5</v>
      </c>
      <c r="L343" s="38">
        <f>dataset_A!O343</f>
        <v>63</v>
      </c>
      <c r="M343" s="38">
        <f>dataset_A!P343</f>
        <v>68</v>
      </c>
      <c r="N343" s="38" t="str">
        <f t="shared" si="3"/>
        <v>Ok</v>
      </c>
      <c r="O343" s="38" t="str">
        <f>IF(M343&gt;Analysis!$B$3*1.5,"High",IF(M343&lt;Analysis!$B$3*0.5,"Low","Medium"))</f>
        <v>Medium</v>
      </c>
      <c r="P343" s="38" t="str">
        <f>VLOOKUP(dataset_A!C343,$Q$2:$R$5,2,0)</f>
        <v>Spring</v>
      </c>
      <c r="S343" s="38" t="str">
        <f t="array" ref="S343">INDEX($R$2:$R$5,MATCH(dataset_A!C343,$Q$2:$Q$5,0))</f>
        <v>Spring</v>
      </c>
      <c r="T343" s="38" t="str">
        <f t="shared" si="4"/>
        <v>Match</v>
      </c>
    </row>
    <row r="344" ht="12.75" customHeight="1">
      <c r="A344" s="38">
        <f>dataset_A!A344</f>
        <v>463</v>
      </c>
      <c r="B344" s="39">
        <f>dataset_A!B344</f>
        <v>40564</v>
      </c>
      <c r="C344" s="38">
        <f>dataset_A!F344</f>
        <v>7</v>
      </c>
      <c r="D344" s="38">
        <f>dataset_A!H344</f>
        <v>5</v>
      </c>
      <c r="E344" s="38" t="b">
        <f>dataset_A!G344</f>
        <v>0</v>
      </c>
      <c r="F344" s="38" t="b">
        <f>dataset_A!G344</f>
        <v>0</v>
      </c>
      <c r="G344" s="38" t="str">
        <f t="shared" si="1"/>
        <v>Weekday</v>
      </c>
      <c r="H344" s="38" t="str">
        <f t="shared" si="2"/>
        <v>Morning</v>
      </c>
      <c r="I344" s="38" t="str">
        <f>IF(dataset_A!C344=1,"Spring",IF(dataset_A!C344=2,"Summer",IF(dataset_A!C344=3,"Fail","Winter")))</f>
        <v>Spring</v>
      </c>
      <c r="J344" s="38" t="str">
        <f>IF(dataset_A!I344=1,"Clear",IF(dataset_A!I344,"Mist/Cloudy",IF(dataset_A!I344=3,"Light Rain/Snow","Heavy Rain/Snow")))</f>
        <v>Clear</v>
      </c>
      <c r="K344" s="38">
        <f>dataset_A!N344</f>
        <v>2</v>
      </c>
      <c r="L344" s="38">
        <f>dataset_A!O344</f>
        <v>66</v>
      </c>
      <c r="M344" s="38">
        <f>dataset_A!P344</f>
        <v>68</v>
      </c>
      <c r="N344" s="38" t="str">
        <f t="shared" si="3"/>
        <v>Ok</v>
      </c>
      <c r="O344" s="38" t="str">
        <f>IF(M344&gt;Analysis!$B$3*1.5,"High",IF(M344&lt;Analysis!$B$3*0.5,"Low","Medium"))</f>
        <v>Medium</v>
      </c>
      <c r="P344" s="38" t="str">
        <f>VLOOKUP(dataset_A!C344,$Q$2:$R$5,2,0)</f>
        <v>Spring</v>
      </c>
      <c r="S344" s="38" t="str">
        <f t="array" ref="S344">INDEX($R$2:$R$5,MATCH(dataset_A!C344,$Q$2:$Q$5,0))</f>
        <v>Spring</v>
      </c>
      <c r="T344" s="38" t="str">
        <f t="shared" si="4"/>
        <v>Match</v>
      </c>
    </row>
    <row r="345" ht="12.75" customHeight="1">
      <c r="A345" s="38">
        <f>dataset_A!A345</f>
        <v>562</v>
      </c>
      <c r="B345" s="39">
        <f>dataset_A!B345</f>
        <v>40568</v>
      </c>
      <c r="C345" s="38">
        <f>dataset_A!F345</f>
        <v>14</v>
      </c>
      <c r="D345" s="38">
        <f>dataset_A!H345</f>
        <v>2</v>
      </c>
      <c r="E345" s="38" t="b">
        <f>dataset_A!G345</f>
        <v>0</v>
      </c>
      <c r="F345" s="38" t="b">
        <f>dataset_A!G345</f>
        <v>0</v>
      </c>
      <c r="G345" s="38" t="str">
        <f t="shared" si="1"/>
        <v>Weekday</v>
      </c>
      <c r="H345" s="38" t="str">
        <f t="shared" si="2"/>
        <v>Afternoon</v>
      </c>
      <c r="I345" s="38" t="str">
        <f>IF(dataset_A!C345=1,"Spring",IF(dataset_A!C345=2,"Summer",IF(dataset_A!C345=3,"Fail","Winter")))</f>
        <v>Spring</v>
      </c>
      <c r="J345" s="38" t="str">
        <f>IF(dataset_A!I345=1,"Clear",IF(dataset_A!I345,"Mist/Cloudy",IF(dataset_A!I345=3,"Light Rain/Snow","Heavy Rain/Snow")))</f>
        <v>Mist/Cloudy</v>
      </c>
      <c r="K345" s="38">
        <f>dataset_A!N345</f>
        <v>11</v>
      </c>
      <c r="L345" s="38">
        <f>dataset_A!O345</f>
        <v>57</v>
      </c>
      <c r="M345" s="38">
        <f>dataset_A!P345</f>
        <v>68</v>
      </c>
      <c r="N345" s="38" t="str">
        <f t="shared" si="3"/>
        <v>Ok</v>
      </c>
      <c r="O345" s="38" t="str">
        <f>IF(M345&gt;Analysis!$B$3*1.5,"High",IF(M345&lt;Analysis!$B$3*0.5,"Low","Medium"))</f>
        <v>Medium</v>
      </c>
      <c r="P345" s="38" t="str">
        <f>VLOOKUP(dataset_A!C345,$Q$2:$R$5,2,0)</f>
        <v>Spring</v>
      </c>
      <c r="S345" s="38" t="str">
        <f t="array" ref="S345">INDEX($R$2:$R$5,MATCH(dataset_A!C345,$Q$2:$Q$5,0))</f>
        <v>Spring</v>
      </c>
      <c r="T345" s="38" t="str">
        <f t="shared" si="4"/>
        <v>Match</v>
      </c>
    </row>
    <row r="346" ht="12.75" customHeight="1">
      <c r="A346" s="38">
        <f>dataset_A!A346</f>
        <v>636</v>
      </c>
      <c r="B346" s="39">
        <f>dataset_A!B346</f>
        <v>40572</v>
      </c>
      <c r="C346" s="38">
        <f>dataset_A!F346</f>
        <v>18</v>
      </c>
      <c r="D346" s="38">
        <f>dataset_A!H346</f>
        <v>6</v>
      </c>
      <c r="E346" s="38" t="b">
        <f>dataset_A!G346</f>
        <v>0</v>
      </c>
      <c r="F346" s="38" t="b">
        <f>dataset_A!G346</f>
        <v>0</v>
      </c>
      <c r="G346" s="38" t="str">
        <f t="shared" si="1"/>
        <v>Weekend</v>
      </c>
      <c r="H346" s="38" t="str">
        <f t="shared" si="2"/>
        <v>Evening</v>
      </c>
      <c r="I346" s="38" t="str">
        <f>IF(dataset_A!C346=1,"Spring",IF(dataset_A!C346=2,"Summer",IF(dataset_A!C346=3,"Fail","Winter")))</f>
        <v>Spring</v>
      </c>
      <c r="J346" s="38" t="str">
        <f>IF(dataset_A!I346=1,"Clear",IF(dataset_A!I346,"Mist/Cloudy",IF(dataset_A!I346=3,"Light Rain/Snow","Heavy Rain/Snow")))</f>
        <v>Clear</v>
      </c>
      <c r="K346" s="38">
        <f>dataset_A!N346</f>
        <v>9</v>
      </c>
      <c r="L346" s="38">
        <f>dataset_A!O346</f>
        <v>59</v>
      </c>
      <c r="M346" s="38">
        <f>dataset_A!P346</f>
        <v>68</v>
      </c>
      <c r="N346" s="38" t="str">
        <f t="shared" si="3"/>
        <v>Ok</v>
      </c>
      <c r="O346" s="38" t="str">
        <f>IF(M346&gt;Analysis!$B$3*1.5,"High",IF(M346&lt;Analysis!$B$3*0.5,"Low","Medium"))</f>
        <v>Medium</v>
      </c>
      <c r="P346" s="38" t="str">
        <f>VLOOKUP(dataset_A!C346,$Q$2:$R$5,2,0)</f>
        <v>Spring</v>
      </c>
      <c r="S346" s="38" t="str">
        <f t="array" ref="S346">INDEX($R$2:$R$5,MATCH(dataset_A!C346,$Q$2:$Q$5,0))</f>
        <v>Spring</v>
      </c>
      <c r="T346" s="38" t="str">
        <f t="shared" si="4"/>
        <v>Match</v>
      </c>
    </row>
    <row r="347" ht="12.75" customHeight="1">
      <c r="A347" s="38">
        <f>dataset_A!A347</f>
        <v>677</v>
      </c>
      <c r="B347" s="39">
        <f>dataset_A!B347</f>
        <v>40574</v>
      </c>
      <c r="C347" s="38">
        <f>dataset_A!F347</f>
        <v>12</v>
      </c>
      <c r="D347" s="38">
        <f>dataset_A!H347</f>
        <v>1</v>
      </c>
      <c r="E347" s="38" t="b">
        <f>dataset_A!G347</f>
        <v>0</v>
      </c>
      <c r="F347" s="38" t="b">
        <f>dataset_A!G347</f>
        <v>0</v>
      </c>
      <c r="G347" s="38" t="str">
        <f t="shared" si="1"/>
        <v>Weekday</v>
      </c>
      <c r="H347" s="38" t="str">
        <f t="shared" si="2"/>
        <v>Afternoon</v>
      </c>
      <c r="I347" s="38" t="str">
        <f>IF(dataset_A!C347=1,"Spring",IF(dataset_A!C347=2,"Summer",IF(dataset_A!C347=3,"Fail","Winter")))</f>
        <v>Spring</v>
      </c>
      <c r="J347" s="38" t="str">
        <f>IF(dataset_A!I347=1,"Clear",IF(dataset_A!I347,"Mist/Cloudy",IF(dataset_A!I347=3,"Light Rain/Snow","Heavy Rain/Snow")))</f>
        <v>Mist/Cloudy</v>
      </c>
      <c r="K347" s="38">
        <f>dataset_A!N347</f>
        <v>6</v>
      </c>
      <c r="L347" s="38">
        <f>dataset_A!O347</f>
        <v>62</v>
      </c>
      <c r="M347" s="38">
        <f>dataset_A!P347</f>
        <v>68</v>
      </c>
      <c r="N347" s="38" t="str">
        <f t="shared" si="3"/>
        <v>Ok</v>
      </c>
      <c r="O347" s="38" t="str">
        <f>IF(M347&gt;Analysis!$B$3*1.5,"High",IF(M347&lt;Analysis!$B$3*0.5,"Low","Medium"))</f>
        <v>Medium</v>
      </c>
      <c r="P347" s="38" t="str">
        <f>VLOOKUP(dataset_A!C347,$Q$2:$R$5,2,0)</f>
        <v>Spring</v>
      </c>
      <c r="S347" s="38" t="str">
        <f t="array" ref="S347">INDEX($R$2:$R$5,MATCH(dataset_A!C347,$Q$2:$Q$5,0))</f>
        <v>Spring</v>
      </c>
      <c r="T347" s="38" t="str">
        <f t="shared" si="4"/>
        <v>Match</v>
      </c>
    </row>
    <row r="348" ht="12.75" customHeight="1">
      <c r="A348" s="38">
        <f>dataset_A!A348</f>
        <v>18</v>
      </c>
      <c r="B348" s="39">
        <f>dataset_A!B348</f>
        <v>40544</v>
      </c>
      <c r="C348" s="38">
        <f>dataset_A!F348</f>
        <v>17</v>
      </c>
      <c r="D348" s="38">
        <f>dataset_A!H348</f>
        <v>6</v>
      </c>
      <c r="E348" s="38" t="b">
        <f>dataset_A!G348</f>
        <v>0</v>
      </c>
      <c r="F348" s="38" t="b">
        <f>dataset_A!G348</f>
        <v>0</v>
      </c>
      <c r="G348" s="38" t="str">
        <f t="shared" si="1"/>
        <v>Weekend</v>
      </c>
      <c r="H348" s="38" t="str">
        <f t="shared" si="2"/>
        <v>Afternoon</v>
      </c>
      <c r="I348" s="38" t="str">
        <f>IF(dataset_A!C348=1,"Spring",IF(dataset_A!C348=2,"Summer",IF(dataset_A!C348=3,"Fail","Winter")))</f>
        <v>Spring</v>
      </c>
      <c r="J348" s="38" t="str">
        <f>IF(dataset_A!I348=1,"Clear",IF(dataset_A!I348,"Mist/Cloudy",IF(dataset_A!I348=3,"Light Rain/Snow","Heavy Rain/Snow")))</f>
        <v>Mist/Cloudy</v>
      </c>
      <c r="K348" s="38">
        <f>dataset_A!N348</f>
        <v>15</v>
      </c>
      <c r="L348" s="38">
        <f>dataset_A!O348</f>
        <v>52</v>
      </c>
      <c r="M348" s="38">
        <f>dataset_A!P348</f>
        <v>67</v>
      </c>
      <c r="N348" s="38" t="str">
        <f t="shared" si="3"/>
        <v>Ok</v>
      </c>
      <c r="O348" s="38" t="str">
        <f>IF(M348&gt;Analysis!$B$3*1.5,"High",IF(M348&lt;Analysis!$B$3*0.5,"Low","Medium"))</f>
        <v>Medium</v>
      </c>
      <c r="P348" s="38" t="str">
        <f>VLOOKUP(dataset_A!C348,$Q$2:$R$5,2,0)</f>
        <v>Spring</v>
      </c>
      <c r="S348" s="38" t="str">
        <f t="array" ref="S348">INDEX($R$2:$R$5,MATCH(dataset_A!C348,$Q$2:$Q$5,0))</f>
        <v>Spring</v>
      </c>
      <c r="T348" s="38" t="str">
        <f t="shared" si="4"/>
        <v>Match</v>
      </c>
    </row>
    <row r="349" ht="12.75" customHeight="1">
      <c r="A349" s="38">
        <f>dataset_A!A349</f>
        <v>128</v>
      </c>
      <c r="B349" s="39">
        <f>dataset_A!B349</f>
        <v>40549</v>
      </c>
      <c r="C349" s="38">
        <f>dataset_A!F349</f>
        <v>13</v>
      </c>
      <c r="D349" s="38">
        <f>dataset_A!H349</f>
        <v>4</v>
      </c>
      <c r="E349" s="38" t="b">
        <f>dataset_A!G349</f>
        <v>0</v>
      </c>
      <c r="F349" s="38" t="b">
        <f>dataset_A!G349</f>
        <v>0</v>
      </c>
      <c r="G349" s="38" t="str">
        <f t="shared" si="1"/>
        <v>Weekday</v>
      </c>
      <c r="H349" s="38" t="str">
        <f t="shared" si="2"/>
        <v>Afternoon</v>
      </c>
      <c r="I349" s="38" t="str">
        <f>IF(dataset_A!C349=1,"Spring",IF(dataset_A!C349=2,"Summer",IF(dataset_A!C349=3,"Fail","Winter")))</f>
        <v>Spring</v>
      </c>
      <c r="J349" s="38" t="str">
        <f>IF(dataset_A!I349=1,"Clear",IF(dataset_A!I349,"Mist/Cloudy",IF(dataset_A!I349=3,"Light Rain/Snow","Heavy Rain/Snow")))</f>
        <v>Clear</v>
      </c>
      <c r="K349" s="38">
        <f>dataset_A!N349</f>
        <v>12</v>
      </c>
      <c r="L349" s="38">
        <f>dataset_A!O349</f>
        <v>55</v>
      </c>
      <c r="M349" s="38">
        <f>dataset_A!P349</f>
        <v>67</v>
      </c>
      <c r="N349" s="38" t="str">
        <f t="shared" si="3"/>
        <v>Ok</v>
      </c>
      <c r="O349" s="38" t="str">
        <f>IF(M349&gt;Analysis!$B$3*1.5,"High",IF(M349&lt;Analysis!$B$3*0.5,"Low","Medium"))</f>
        <v>Medium</v>
      </c>
      <c r="P349" s="38" t="str">
        <f>VLOOKUP(dataset_A!C349,$Q$2:$R$5,2,0)</f>
        <v>Spring</v>
      </c>
      <c r="S349" s="38" t="str">
        <f t="array" ref="S349">INDEX($R$2:$R$5,MATCH(dataset_A!C349,$Q$2:$Q$5,0))</f>
        <v>Spring</v>
      </c>
      <c r="T349" s="38" t="str">
        <f t="shared" si="4"/>
        <v>Match</v>
      </c>
    </row>
    <row r="350" ht="12.75" customHeight="1">
      <c r="A350" s="38">
        <f>dataset_A!A350</f>
        <v>149</v>
      </c>
      <c r="B350" s="39">
        <f>dataset_A!B350</f>
        <v>40550</v>
      </c>
      <c r="C350" s="38">
        <f>dataset_A!F350</f>
        <v>11</v>
      </c>
      <c r="D350" s="38">
        <f>dataset_A!H350</f>
        <v>5</v>
      </c>
      <c r="E350" s="38" t="b">
        <f>dataset_A!G350</f>
        <v>0</v>
      </c>
      <c r="F350" s="38" t="b">
        <f>dataset_A!G350</f>
        <v>0</v>
      </c>
      <c r="G350" s="38" t="str">
        <f t="shared" si="1"/>
        <v>Weekday</v>
      </c>
      <c r="H350" s="38" t="str">
        <f t="shared" si="2"/>
        <v>Morning</v>
      </c>
      <c r="I350" s="38" t="str">
        <f>IF(dataset_A!C350=1,"Spring",IF(dataset_A!C350=2,"Summer",IF(dataset_A!C350=3,"Fail","Winter")))</f>
        <v>Spring</v>
      </c>
      <c r="J350" s="38" t="str">
        <f>IF(dataset_A!I350=1,"Clear",IF(dataset_A!I350,"Mist/Cloudy",IF(dataset_A!I350=3,"Light Rain/Snow","Heavy Rain/Snow")))</f>
        <v>Mist/Cloudy</v>
      </c>
      <c r="K350" s="38">
        <f>dataset_A!N350</f>
        <v>19</v>
      </c>
      <c r="L350" s="38">
        <f>dataset_A!O350</f>
        <v>48</v>
      </c>
      <c r="M350" s="38">
        <f>dataset_A!P350</f>
        <v>67</v>
      </c>
      <c r="N350" s="38" t="str">
        <f t="shared" si="3"/>
        <v>Ok</v>
      </c>
      <c r="O350" s="38" t="str">
        <f>IF(M350&gt;Analysis!$B$3*1.5,"High",IF(M350&lt;Analysis!$B$3*0.5,"Low","Medium"))</f>
        <v>Medium</v>
      </c>
      <c r="P350" s="38" t="str">
        <f>VLOOKUP(dataset_A!C350,$Q$2:$R$5,2,0)</f>
        <v>Spring</v>
      </c>
      <c r="S350" s="38" t="str">
        <f t="array" ref="S350">INDEX($R$2:$R$5,MATCH(dataset_A!C350,$Q$2:$Q$5,0))</f>
        <v>Spring</v>
      </c>
      <c r="T350" s="38" t="str">
        <f t="shared" si="4"/>
        <v>Match</v>
      </c>
    </row>
    <row r="351" ht="12.75" customHeight="1">
      <c r="A351" s="38">
        <f>dataset_A!A351</f>
        <v>367</v>
      </c>
      <c r="B351" s="39">
        <f>dataset_A!B351</f>
        <v>40559</v>
      </c>
      <c r="C351" s="38">
        <f>dataset_A!F351</f>
        <v>18</v>
      </c>
      <c r="D351" s="38">
        <f>dataset_A!H351</f>
        <v>0</v>
      </c>
      <c r="E351" s="38" t="b">
        <f>dataset_A!G351</f>
        <v>0</v>
      </c>
      <c r="F351" s="38" t="b">
        <f>dataset_A!G351</f>
        <v>0</v>
      </c>
      <c r="G351" s="38" t="str">
        <f t="shared" si="1"/>
        <v>Weekend</v>
      </c>
      <c r="H351" s="38" t="str">
        <f t="shared" si="2"/>
        <v>Evening</v>
      </c>
      <c r="I351" s="38" t="str">
        <f>IF(dataset_A!C351=1,"Spring",IF(dataset_A!C351=2,"Summer",IF(dataset_A!C351=3,"Fail","Winter")))</f>
        <v>Spring</v>
      </c>
      <c r="J351" s="38" t="str">
        <f>IF(dataset_A!I351=1,"Clear",IF(dataset_A!I351,"Mist/Cloudy",IF(dataset_A!I351=3,"Light Rain/Snow","Heavy Rain/Snow")))</f>
        <v>Clear</v>
      </c>
      <c r="K351" s="38">
        <f>dataset_A!N351</f>
        <v>11</v>
      </c>
      <c r="L351" s="38">
        <f>dataset_A!O351</f>
        <v>56</v>
      </c>
      <c r="M351" s="38">
        <f>dataset_A!P351</f>
        <v>67</v>
      </c>
      <c r="N351" s="38" t="str">
        <f t="shared" si="3"/>
        <v>Ok</v>
      </c>
      <c r="O351" s="38" t="str">
        <f>IF(M351&gt;Analysis!$B$3*1.5,"High",IF(M351&lt;Analysis!$B$3*0.5,"Low","Medium"))</f>
        <v>Medium</v>
      </c>
      <c r="P351" s="38" t="str">
        <f>VLOOKUP(dataset_A!C351,$Q$2:$R$5,2,0)</f>
        <v>Spring</v>
      </c>
      <c r="S351" s="38" t="str">
        <f t="array" ref="S351">INDEX($R$2:$R$5,MATCH(dataset_A!C351,$Q$2:$Q$5,0))</f>
        <v>Spring</v>
      </c>
      <c r="T351" s="38" t="str">
        <f t="shared" si="4"/>
        <v>Match</v>
      </c>
    </row>
    <row r="352" ht="12.75" customHeight="1">
      <c r="A352" s="38">
        <f>dataset_A!A352</f>
        <v>496</v>
      </c>
      <c r="B352" s="39">
        <f>dataset_A!B352</f>
        <v>40565</v>
      </c>
      <c r="C352" s="38">
        <f>dataset_A!F352</f>
        <v>17</v>
      </c>
      <c r="D352" s="38">
        <f>dataset_A!H352</f>
        <v>6</v>
      </c>
      <c r="E352" s="38" t="b">
        <f>dataset_A!G352</f>
        <v>0</v>
      </c>
      <c r="F352" s="38" t="b">
        <f>dataset_A!G352</f>
        <v>0</v>
      </c>
      <c r="G352" s="38" t="str">
        <f t="shared" si="1"/>
        <v>Weekend</v>
      </c>
      <c r="H352" s="38" t="str">
        <f t="shared" si="2"/>
        <v>Afternoon</v>
      </c>
      <c r="I352" s="38" t="str">
        <f>IF(dataset_A!C352=1,"Spring",IF(dataset_A!C352=2,"Summer",IF(dataset_A!C352=3,"Fail","Winter")))</f>
        <v>Spring</v>
      </c>
      <c r="J352" s="38" t="str">
        <f>IF(dataset_A!I352=1,"Clear",IF(dataset_A!I352,"Mist/Cloudy",IF(dataset_A!I352=3,"Light Rain/Snow","Heavy Rain/Snow")))</f>
        <v>Clear</v>
      </c>
      <c r="K352" s="38">
        <f>dataset_A!N352</f>
        <v>8</v>
      </c>
      <c r="L352" s="38">
        <f>dataset_A!O352</f>
        <v>59</v>
      </c>
      <c r="M352" s="38">
        <f>dataset_A!P352</f>
        <v>67</v>
      </c>
      <c r="N352" s="38" t="str">
        <f t="shared" si="3"/>
        <v>Ok</v>
      </c>
      <c r="O352" s="38" t="str">
        <f>IF(M352&gt;Analysis!$B$3*1.5,"High",IF(M352&lt;Analysis!$B$3*0.5,"Low","Medium"))</f>
        <v>Medium</v>
      </c>
      <c r="P352" s="38" t="str">
        <f>VLOOKUP(dataset_A!C352,$Q$2:$R$5,2,0)</f>
        <v>Spring</v>
      </c>
      <c r="S352" s="38" t="str">
        <f t="array" ref="S352">INDEX($R$2:$R$5,MATCH(dataset_A!C352,$Q$2:$Q$5,0))</f>
        <v>Spring</v>
      </c>
      <c r="T352" s="38" t="str">
        <f t="shared" si="4"/>
        <v>Match</v>
      </c>
    </row>
    <row r="353" ht="12.75" customHeight="1">
      <c r="A353" s="38">
        <f>dataset_A!A353</f>
        <v>842</v>
      </c>
      <c r="B353" s="39">
        <f>dataset_A!B353</f>
        <v>40581</v>
      </c>
      <c r="C353" s="38">
        <f>dataset_A!F353</f>
        <v>12</v>
      </c>
      <c r="D353" s="38">
        <f>dataset_A!H353</f>
        <v>1</v>
      </c>
      <c r="E353" s="38" t="b">
        <f>dataset_A!G353</f>
        <v>0</v>
      </c>
      <c r="F353" s="38" t="b">
        <f>dataset_A!G353</f>
        <v>0</v>
      </c>
      <c r="G353" s="38" t="str">
        <f t="shared" si="1"/>
        <v>Weekday</v>
      </c>
      <c r="H353" s="38" t="str">
        <f t="shared" si="2"/>
        <v>Afternoon</v>
      </c>
      <c r="I353" s="38" t="str">
        <f>IF(dataset_A!C353=1,"Spring",IF(dataset_A!C353=2,"Summer",IF(dataset_A!C353=3,"Fail","Winter")))</f>
        <v>Spring</v>
      </c>
      <c r="J353" s="38" t="str">
        <f>IF(dataset_A!I353=1,"Clear",IF(dataset_A!I353,"Mist/Cloudy",IF(dataset_A!I353=3,"Light Rain/Snow","Heavy Rain/Snow")))</f>
        <v>Mist/Cloudy</v>
      </c>
      <c r="K353" s="38">
        <f>dataset_A!N353</f>
        <v>7</v>
      </c>
      <c r="L353" s="38">
        <f>dataset_A!O353</f>
        <v>59</v>
      </c>
      <c r="M353" s="38">
        <f>dataset_A!P353</f>
        <v>66</v>
      </c>
      <c r="N353" s="38" t="str">
        <f t="shared" si="3"/>
        <v>Ok</v>
      </c>
      <c r="O353" s="38" t="str">
        <f>IF(M353&gt;Analysis!$B$3*1.5,"High",IF(M353&lt;Analysis!$B$3*0.5,"Low","Medium"))</f>
        <v>Medium</v>
      </c>
      <c r="P353" s="38" t="str">
        <f>VLOOKUP(dataset_A!C353,$Q$2:$R$5,2,0)</f>
        <v>Spring</v>
      </c>
      <c r="S353" s="38" t="str">
        <f t="array" ref="S353">INDEX($R$2:$R$5,MATCH(dataset_A!C353,$Q$2:$Q$5,0))</f>
        <v>Spring</v>
      </c>
      <c r="T353" s="38" t="str">
        <f t="shared" si="4"/>
        <v>Match</v>
      </c>
    </row>
    <row r="354" ht="12.75" customHeight="1">
      <c r="A354" s="38">
        <f>dataset_A!A354</f>
        <v>41</v>
      </c>
      <c r="B354" s="39">
        <f>dataset_A!B354</f>
        <v>40545</v>
      </c>
      <c r="C354" s="38">
        <f>dataset_A!F354</f>
        <v>17</v>
      </c>
      <c r="D354" s="38">
        <f>dataset_A!H354</f>
        <v>0</v>
      </c>
      <c r="E354" s="38" t="b">
        <f>dataset_A!G354</f>
        <v>0</v>
      </c>
      <c r="F354" s="38" t="b">
        <f>dataset_A!G354</f>
        <v>0</v>
      </c>
      <c r="G354" s="38" t="str">
        <f t="shared" si="1"/>
        <v>Weekend</v>
      </c>
      <c r="H354" s="38" t="str">
        <f t="shared" si="2"/>
        <v>Afternoon</v>
      </c>
      <c r="I354" s="38" t="str">
        <f>IF(dataset_A!C354=1,"Spring",IF(dataset_A!C354=2,"Summer",IF(dataset_A!C354=3,"Fail","Winter")))</f>
        <v>Spring</v>
      </c>
      <c r="J354" s="38" t="str">
        <f>IF(dataset_A!I354=1,"Clear",IF(dataset_A!I354,"Mist/Cloudy",IF(dataset_A!I354=3,"Light Rain/Snow","Heavy Rain/Snow")))</f>
        <v>Clear</v>
      </c>
      <c r="K354" s="38">
        <f>dataset_A!N354</f>
        <v>7</v>
      </c>
      <c r="L354" s="38">
        <f>dataset_A!O354</f>
        <v>58</v>
      </c>
      <c r="M354" s="38">
        <f>dataset_A!P354</f>
        <v>65</v>
      </c>
      <c r="N354" s="38" t="str">
        <f t="shared" si="3"/>
        <v>Ok</v>
      </c>
      <c r="O354" s="38" t="str">
        <f>IF(M354&gt;Analysis!$B$3*1.5,"High",IF(M354&lt;Analysis!$B$3*0.5,"Low","Medium"))</f>
        <v>Medium</v>
      </c>
      <c r="P354" s="38" t="str">
        <f>VLOOKUP(dataset_A!C354,$Q$2:$R$5,2,0)</f>
        <v>Spring</v>
      </c>
      <c r="S354" s="38" t="str">
        <f t="array" ref="S354">INDEX($R$2:$R$5,MATCH(dataset_A!C354,$Q$2:$Q$5,0))</f>
        <v>Spring</v>
      </c>
      <c r="T354" s="38" t="str">
        <f t="shared" si="4"/>
        <v>Match</v>
      </c>
    </row>
    <row r="355" ht="12.75" customHeight="1">
      <c r="A355" s="38">
        <f>dataset_A!A355</f>
        <v>84</v>
      </c>
      <c r="B355" s="39">
        <f>dataset_A!B355</f>
        <v>40547</v>
      </c>
      <c r="C355" s="38">
        <f>dataset_A!F355</f>
        <v>15</v>
      </c>
      <c r="D355" s="38">
        <f>dataset_A!H355</f>
        <v>2</v>
      </c>
      <c r="E355" s="38" t="b">
        <f>dataset_A!G355</f>
        <v>0</v>
      </c>
      <c r="F355" s="38" t="b">
        <f>dataset_A!G355</f>
        <v>0</v>
      </c>
      <c r="G355" s="38" t="str">
        <f t="shared" si="1"/>
        <v>Weekday</v>
      </c>
      <c r="H355" s="38" t="str">
        <f t="shared" si="2"/>
        <v>Afternoon</v>
      </c>
      <c r="I355" s="38" t="str">
        <f>IF(dataset_A!C355=1,"Spring",IF(dataset_A!C355=2,"Summer",IF(dataset_A!C355=3,"Fail","Winter")))</f>
        <v>Spring</v>
      </c>
      <c r="J355" s="38" t="str">
        <f>IF(dataset_A!I355=1,"Clear",IF(dataset_A!I355,"Mist/Cloudy",IF(dataset_A!I355=3,"Light Rain/Snow","Heavy Rain/Snow")))</f>
        <v>Clear</v>
      </c>
      <c r="K355" s="38">
        <f>dataset_A!N355</f>
        <v>17</v>
      </c>
      <c r="L355" s="38">
        <f>dataset_A!O355</f>
        <v>48</v>
      </c>
      <c r="M355" s="38">
        <f>dataset_A!P355</f>
        <v>65</v>
      </c>
      <c r="N355" s="38" t="str">
        <f t="shared" si="3"/>
        <v>Ok</v>
      </c>
      <c r="O355" s="38" t="str">
        <f>IF(M355&gt;Analysis!$B$3*1.5,"High",IF(M355&lt;Analysis!$B$3*0.5,"Low","Medium"))</f>
        <v>Medium</v>
      </c>
      <c r="P355" s="38" t="str">
        <f>VLOOKUP(dataset_A!C355,$Q$2:$R$5,2,0)</f>
        <v>Spring</v>
      </c>
      <c r="S355" s="38" t="str">
        <f t="array" ref="S355">INDEX($R$2:$R$5,MATCH(dataset_A!C355,$Q$2:$Q$5,0))</f>
        <v>Spring</v>
      </c>
      <c r="T355" s="38" t="str">
        <f t="shared" si="4"/>
        <v>Match</v>
      </c>
    </row>
    <row r="356" ht="12.75" customHeight="1">
      <c r="A356" s="38">
        <f>dataset_A!A356</f>
        <v>471</v>
      </c>
      <c r="B356" s="39">
        <f>dataset_A!B356</f>
        <v>40564</v>
      </c>
      <c r="C356" s="38">
        <f>dataset_A!F356</f>
        <v>15</v>
      </c>
      <c r="D356" s="38">
        <f>dataset_A!H356</f>
        <v>5</v>
      </c>
      <c r="E356" s="38" t="b">
        <f>dataset_A!G356</f>
        <v>0</v>
      </c>
      <c r="F356" s="38" t="b">
        <f>dataset_A!G356</f>
        <v>0</v>
      </c>
      <c r="G356" s="38" t="str">
        <f t="shared" si="1"/>
        <v>Weekday</v>
      </c>
      <c r="H356" s="38" t="str">
        <f t="shared" si="2"/>
        <v>Afternoon</v>
      </c>
      <c r="I356" s="38" t="str">
        <f>IF(dataset_A!C356=1,"Spring",IF(dataset_A!C356=2,"Summer",IF(dataset_A!C356=3,"Fail","Winter")))</f>
        <v>Spring</v>
      </c>
      <c r="J356" s="38" t="str">
        <f>IF(dataset_A!I356=1,"Clear",IF(dataset_A!I356,"Mist/Cloudy",IF(dataset_A!I356=3,"Light Rain/Snow","Heavy Rain/Snow")))</f>
        <v>Clear</v>
      </c>
      <c r="K356" s="38">
        <f>dataset_A!N356</f>
        <v>4</v>
      </c>
      <c r="L356" s="38">
        <f>dataset_A!O356</f>
        <v>61</v>
      </c>
      <c r="M356" s="38">
        <f>dataset_A!P356</f>
        <v>65</v>
      </c>
      <c r="N356" s="38" t="str">
        <f t="shared" si="3"/>
        <v>Ok</v>
      </c>
      <c r="O356" s="38" t="str">
        <f>IF(M356&gt;Analysis!$B$3*1.5,"High",IF(M356&lt;Analysis!$B$3*0.5,"Low","Medium"))</f>
        <v>Medium</v>
      </c>
      <c r="P356" s="38" t="str">
        <f>VLOOKUP(dataset_A!C356,$Q$2:$R$5,2,0)</f>
        <v>Spring</v>
      </c>
      <c r="S356" s="38" t="str">
        <f t="array" ref="S356">INDEX($R$2:$R$5,MATCH(dataset_A!C356,$Q$2:$Q$5,0))</f>
        <v>Spring</v>
      </c>
      <c r="T356" s="38" t="str">
        <f t="shared" si="4"/>
        <v>Match</v>
      </c>
    </row>
    <row r="357" ht="12.75" customHeight="1">
      <c r="A357" s="38">
        <f>dataset_A!A357</f>
        <v>518</v>
      </c>
      <c r="B357" s="39">
        <f>dataset_A!B357</f>
        <v>40566</v>
      </c>
      <c r="C357" s="38">
        <f>dataset_A!F357</f>
        <v>16</v>
      </c>
      <c r="D357" s="38">
        <f>dataset_A!H357</f>
        <v>0</v>
      </c>
      <c r="E357" s="38" t="b">
        <f>dataset_A!G357</f>
        <v>0</v>
      </c>
      <c r="F357" s="38" t="b">
        <f>dataset_A!G357</f>
        <v>0</v>
      </c>
      <c r="G357" s="38" t="str">
        <f t="shared" si="1"/>
        <v>Weekend</v>
      </c>
      <c r="H357" s="38" t="str">
        <f t="shared" si="2"/>
        <v>Afternoon</v>
      </c>
      <c r="I357" s="38" t="str">
        <f>IF(dataset_A!C357=1,"Spring",IF(dataset_A!C357=2,"Summer",IF(dataset_A!C357=3,"Fail","Winter")))</f>
        <v>Spring</v>
      </c>
      <c r="J357" s="38" t="str">
        <f>IF(dataset_A!I357=1,"Clear",IF(dataset_A!I357,"Mist/Cloudy",IF(dataset_A!I357=3,"Light Rain/Snow","Heavy Rain/Snow")))</f>
        <v>Clear</v>
      </c>
      <c r="K357" s="38">
        <f>dataset_A!N357</f>
        <v>9</v>
      </c>
      <c r="L357" s="38">
        <f>dataset_A!O357</f>
        <v>56</v>
      </c>
      <c r="M357" s="38">
        <f>dataset_A!P357</f>
        <v>65</v>
      </c>
      <c r="N357" s="38" t="str">
        <f t="shared" si="3"/>
        <v>Ok</v>
      </c>
      <c r="O357" s="38" t="str">
        <f>IF(M357&gt;Analysis!$B$3*1.5,"High",IF(M357&lt;Analysis!$B$3*0.5,"Low","Medium"))</f>
        <v>Medium</v>
      </c>
      <c r="P357" s="38" t="str">
        <f>VLOOKUP(dataset_A!C357,$Q$2:$R$5,2,0)</f>
        <v>Spring</v>
      </c>
      <c r="S357" s="38" t="str">
        <f t="array" ref="S357">INDEX($R$2:$R$5,MATCH(dataset_A!C357,$Q$2:$Q$5,0))</f>
        <v>Spring</v>
      </c>
      <c r="T357" s="38" t="str">
        <f t="shared" si="4"/>
        <v>Match</v>
      </c>
    </row>
    <row r="358" ht="12.75" customHeight="1">
      <c r="A358" s="38">
        <f>dataset_A!A358</f>
        <v>631</v>
      </c>
      <c r="B358" s="39">
        <f>dataset_A!B358</f>
        <v>40572</v>
      </c>
      <c r="C358" s="38">
        <f>dataset_A!F358</f>
        <v>13</v>
      </c>
      <c r="D358" s="38">
        <f>dataset_A!H358</f>
        <v>6</v>
      </c>
      <c r="E358" s="38" t="b">
        <f>dataset_A!G358</f>
        <v>0</v>
      </c>
      <c r="F358" s="38" t="b">
        <f>dataset_A!G358</f>
        <v>0</v>
      </c>
      <c r="G358" s="38" t="str">
        <f t="shared" si="1"/>
        <v>Weekend</v>
      </c>
      <c r="H358" s="38" t="str">
        <f t="shared" si="2"/>
        <v>Afternoon</v>
      </c>
      <c r="I358" s="38" t="str">
        <f>IF(dataset_A!C358=1,"Spring",IF(dataset_A!C358=2,"Summer",IF(dataset_A!C358=3,"Fail","Winter")))</f>
        <v>Spring</v>
      </c>
      <c r="J358" s="38" t="str">
        <f>IF(dataset_A!I358=1,"Clear",IF(dataset_A!I358,"Mist/Cloudy",IF(dataset_A!I358=3,"Light Rain/Snow","Heavy Rain/Snow")))</f>
        <v>Mist/Cloudy</v>
      </c>
      <c r="K358" s="38">
        <f>dataset_A!N358</f>
        <v>9</v>
      </c>
      <c r="L358" s="38">
        <f>dataset_A!O358</f>
        <v>56</v>
      </c>
      <c r="M358" s="38">
        <f>dataset_A!P358</f>
        <v>65</v>
      </c>
      <c r="N358" s="38" t="str">
        <f t="shared" si="3"/>
        <v>Ok</v>
      </c>
      <c r="O358" s="38" t="str">
        <f>IF(M358&gt;Analysis!$B$3*1.5,"High",IF(M358&lt;Analysis!$B$3*0.5,"Low","Medium"))</f>
        <v>Medium</v>
      </c>
      <c r="P358" s="38" t="str">
        <f>VLOOKUP(dataset_A!C358,$Q$2:$R$5,2,0)</f>
        <v>Spring</v>
      </c>
      <c r="S358" s="38" t="str">
        <f t="array" ref="S358">INDEX($R$2:$R$5,MATCH(dataset_A!C358,$Q$2:$Q$5,0))</f>
        <v>Spring</v>
      </c>
      <c r="T358" s="38" t="str">
        <f t="shared" si="4"/>
        <v>Match</v>
      </c>
    </row>
    <row r="359" ht="12.75" customHeight="1">
      <c r="A359" s="38">
        <f>dataset_A!A359</f>
        <v>659</v>
      </c>
      <c r="B359" s="39">
        <f>dataset_A!B359</f>
        <v>40573</v>
      </c>
      <c r="C359" s="38">
        <f>dataset_A!F359</f>
        <v>18</v>
      </c>
      <c r="D359" s="38">
        <f>dataset_A!H359</f>
        <v>0</v>
      </c>
      <c r="E359" s="38" t="b">
        <f>dataset_A!G359</f>
        <v>0</v>
      </c>
      <c r="F359" s="38" t="b">
        <f>dataset_A!G359</f>
        <v>0</v>
      </c>
      <c r="G359" s="38" t="str">
        <f t="shared" si="1"/>
        <v>Weekend</v>
      </c>
      <c r="H359" s="38" t="str">
        <f t="shared" si="2"/>
        <v>Evening</v>
      </c>
      <c r="I359" s="38" t="str">
        <f>IF(dataset_A!C359=1,"Spring",IF(dataset_A!C359=2,"Summer",IF(dataset_A!C359=3,"Fail","Winter")))</f>
        <v>Spring</v>
      </c>
      <c r="J359" s="38" t="str">
        <f>IF(dataset_A!I359=1,"Clear",IF(dataset_A!I359,"Mist/Cloudy",IF(dataset_A!I359=3,"Light Rain/Snow","Heavy Rain/Snow")))</f>
        <v>Clear</v>
      </c>
      <c r="K359" s="38">
        <f>dataset_A!N359</f>
        <v>8</v>
      </c>
      <c r="L359" s="38">
        <f>dataset_A!O359</f>
        <v>57</v>
      </c>
      <c r="M359" s="38">
        <f>dataset_A!P359</f>
        <v>65</v>
      </c>
      <c r="N359" s="38" t="str">
        <f t="shared" si="3"/>
        <v>Ok</v>
      </c>
      <c r="O359" s="38" t="str">
        <f>IF(M359&gt;Analysis!$B$3*1.5,"High",IF(M359&lt;Analysis!$B$3*0.5,"Low","Medium"))</f>
        <v>Medium</v>
      </c>
      <c r="P359" s="38" t="str">
        <f>VLOOKUP(dataset_A!C359,$Q$2:$R$5,2,0)</f>
        <v>Spring</v>
      </c>
      <c r="S359" s="38" t="str">
        <f t="array" ref="S359">INDEX($R$2:$R$5,MATCH(dataset_A!C359,$Q$2:$Q$5,0))</f>
        <v>Spring</v>
      </c>
      <c r="T359" s="38" t="str">
        <f t="shared" si="4"/>
        <v>Match</v>
      </c>
    </row>
    <row r="360" ht="12.75" customHeight="1">
      <c r="A360" s="38">
        <f>dataset_A!A360</f>
        <v>866</v>
      </c>
      <c r="B360" s="39">
        <f>dataset_A!B360</f>
        <v>40582</v>
      </c>
      <c r="C360" s="38">
        <f>dataset_A!F360</f>
        <v>12</v>
      </c>
      <c r="D360" s="38">
        <f>dataset_A!H360</f>
        <v>2</v>
      </c>
      <c r="E360" s="38" t="b">
        <f>dataset_A!G360</f>
        <v>0</v>
      </c>
      <c r="F360" s="38" t="b">
        <f>dataset_A!G360</f>
        <v>0</v>
      </c>
      <c r="G360" s="38" t="str">
        <f t="shared" si="1"/>
        <v>Weekday</v>
      </c>
      <c r="H360" s="38" t="str">
        <f t="shared" si="2"/>
        <v>Afternoon</v>
      </c>
      <c r="I360" s="38" t="str">
        <f>IF(dataset_A!C360=1,"Spring",IF(dataset_A!C360=2,"Summer",IF(dataset_A!C360=3,"Fail","Winter")))</f>
        <v>Spring</v>
      </c>
      <c r="J360" s="38" t="str">
        <f>IF(dataset_A!I360=1,"Clear",IF(dataset_A!I360,"Mist/Cloudy",IF(dataset_A!I360=3,"Light Rain/Snow","Heavy Rain/Snow")))</f>
        <v>Clear</v>
      </c>
      <c r="K360" s="38">
        <f>dataset_A!N360</f>
        <v>2</v>
      </c>
      <c r="L360" s="38">
        <f>dataset_A!O360</f>
        <v>63</v>
      </c>
      <c r="M360" s="38">
        <f>dataset_A!P360</f>
        <v>65</v>
      </c>
      <c r="N360" s="38" t="str">
        <f t="shared" si="3"/>
        <v>Ok</v>
      </c>
      <c r="O360" s="38" t="str">
        <f>IF(M360&gt;Analysis!$B$3*1.5,"High",IF(M360&lt;Analysis!$B$3*0.5,"Low","Medium"))</f>
        <v>Medium</v>
      </c>
      <c r="P360" s="38" t="str">
        <f>VLOOKUP(dataset_A!C360,$Q$2:$R$5,2,0)</f>
        <v>Spring</v>
      </c>
      <c r="S360" s="38" t="str">
        <f t="array" ref="S360">INDEX($R$2:$R$5,MATCH(dataset_A!C360,$Q$2:$Q$5,0))</f>
        <v>Spring</v>
      </c>
      <c r="T360" s="38" t="str">
        <f t="shared" si="4"/>
        <v>Match</v>
      </c>
    </row>
    <row r="361" ht="12.75" customHeight="1">
      <c r="A361" s="38">
        <f>dataset_A!A361</f>
        <v>53</v>
      </c>
      <c r="B361" s="39">
        <f>dataset_A!B361</f>
        <v>40546</v>
      </c>
      <c r="C361" s="38">
        <f>dataset_A!F361</f>
        <v>7</v>
      </c>
      <c r="D361" s="38">
        <f>dataset_A!H361</f>
        <v>1</v>
      </c>
      <c r="E361" s="38" t="b">
        <f>dataset_A!G361</f>
        <v>0</v>
      </c>
      <c r="F361" s="38" t="b">
        <f>dataset_A!G361</f>
        <v>0</v>
      </c>
      <c r="G361" s="38" t="str">
        <f t="shared" si="1"/>
        <v>Weekday</v>
      </c>
      <c r="H361" s="38" t="str">
        <f t="shared" si="2"/>
        <v>Morning</v>
      </c>
      <c r="I361" s="38" t="str">
        <f>IF(dataset_A!C361=1,"Spring",IF(dataset_A!C361=2,"Summer",IF(dataset_A!C361=3,"Fail","Winter")))</f>
        <v>Spring</v>
      </c>
      <c r="J361" s="38" t="str">
        <f>IF(dataset_A!I361=1,"Clear",IF(dataset_A!I361,"Mist/Cloudy",IF(dataset_A!I361=3,"Light Rain/Snow","Heavy Rain/Snow")))</f>
        <v>Clear</v>
      </c>
      <c r="K361" s="38">
        <f>dataset_A!N361</f>
        <v>1</v>
      </c>
      <c r="L361" s="38">
        <f>dataset_A!O361</f>
        <v>63</v>
      </c>
      <c r="M361" s="38">
        <f>dataset_A!P361</f>
        <v>64</v>
      </c>
      <c r="N361" s="38" t="str">
        <f t="shared" si="3"/>
        <v>Ok</v>
      </c>
      <c r="O361" s="38" t="str">
        <f>IF(M361&gt;Analysis!$B$3*1.5,"High",IF(M361&lt;Analysis!$B$3*0.5,"Low","Medium"))</f>
        <v>Medium</v>
      </c>
      <c r="P361" s="38" t="str">
        <f>VLOOKUP(dataset_A!C361,$Q$2:$R$5,2,0)</f>
        <v>Spring</v>
      </c>
      <c r="S361" s="38" t="str">
        <f t="array" ref="S361">INDEX($R$2:$R$5,MATCH(dataset_A!C361,$Q$2:$Q$5,0))</f>
        <v>Spring</v>
      </c>
      <c r="T361" s="38" t="str">
        <f t="shared" si="4"/>
        <v>Match</v>
      </c>
    </row>
    <row r="362" ht="12.75" customHeight="1">
      <c r="A362" s="38">
        <f>dataset_A!A362</f>
        <v>298</v>
      </c>
      <c r="B362" s="39">
        <f>dataset_A!B362</f>
        <v>40556</v>
      </c>
      <c r="C362" s="38">
        <f>dataset_A!F362</f>
        <v>20</v>
      </c>
      <c r="D362" s="38">
        <f>dataset_A!H362</f>
        <v>4</v>
      </c>
      <c r="E362" s="38" t="b">
        <f>dataset_A!G362</f>
        <v>0</v>
      </c>
      <c r="F362" s="38" t="b">
        <f>dataset_A!G362</f>
        <v>0</v>
      </c>
      <c r="G362" s="38" t="str">
        <f t="shared" si="1"/>
        <v>Weekday</v>
      </c>
      <c r="H362" s="38" t="str">
        <f t="shared" si="2"/>
        <v>Evening</v>
      </c>
      <c r="I362" s="38" t="str">
        <f>IF(dataset_A!C362=1,"Spring",IF(dataset_A!C362=2,"Summer",IF(dataset_A!C362=3,"Fail","Winter")))</f>
        <v>Spring</v>
      </c>
      <c r="J362" s="38" t="str">
        <f>IF(dataset_A!I362=1,"Clear",IF(dataset_A!I362,"Mist/Cloudy",IF(dataset_A!I362=3,"Light Rain/Snow","Heavy Rain/Snow")))</f>
        <v>Clear</v>
      </c>
      <c r="K362" s="38">
        <f>dataset_A!N362</f>
        <v>0</v>
      </c>
      <c r="L362" s="38">
        <f>dataset_A!O362</f>
        <v>64</v>
      </c>
      <c r="M362" s="38">
        <f>dataset_A!P362</f>
        <v>64</v>
      </c>
      <c r="N362" s="38" t="str">
        <f t="shared" si="3"/>
        <v>Ok</v>
      </c>
      <c r="O362" s="38" t="str">
        <f>IF(M362&gt;Analysis!$B$3*1.5,"High",IF(M362&lt;Analysis!$B$3*0.5,"Low","Medium"))</f>
        <v>Medium</v>
      </c>
      <c r="P362" s="38" t="str">
        <f>VLOOKUP(dataset_A!C362,$Q$2:$R$5,2,0)</f>
        <v>Spring</v>
      </c>
      <c r="S362" s="38" t="str">
        <f t="array" ref="S362">INDEX($R$2:$R$5,MATCH(dataset_A!C362,$Q$2:$Q$5,0))</f>
        <v>Spring</v>
      </c>
      <c r="T362" s="38" t="str">
        <f t="shared" si="4"/>
        <v>Match</v>
      </c>
    </row>
    <row r="363" ht="12.75" customHeight="1">
      <c r="A363" s="38">
        <f>dataset_A!A363</f>
        <v>315</v>
      </c>
      <c r="B363" s="39">
        <f>dataset_A!B363</f>
        <v>40557</v>
      </c>
      <c r="C363" s="38">
        <f>dataset_A!F363</f>
        <v>14</v>
      </c>
      <c r="D363" s="38">
        <f>dataset_A!H363</f>
        <v>5</v>
      </c>
      <c r="E363" s="38" t="b">
        <f>dataset_A!G363</f>
        <v>0</v>
      </c>
      <c r="F363" s="38" t="b">
        <f>dataset_A!G363</f>
        <v>0</v>
      </c>
      <c r="G363" s="38" t="str">
        <f t="shared" si="1"/>
        <v>Weekday</v>
      </c>
      <c r="H363" s="38" t="str">
        <f t="shared" si="2"/>
        <v>Afternoon</v>
      </c>
      <c r="I363" s="38" t="str">
        <f>IF(dataset_A!C363=1,"Spring",IF(dataset_A!C363=2,"Summer",IF(dataset_A!C363=3,"Fail","Winter")))</f>
        <v>Spring</v>
      </c>
      <c r="J363" s="38" t="str">
        <f>IF(dataset_A!I363=1,"Clear",IF(dataset_A!I363,"Mist/Cloudy",IF(dataset_A!I363=3,"Light Rain/Snow","Heavy Rain/Snow")))</f>
        <v>Clear</v>
      </c>
      <c r="K363" s="38">
        <f>dataset_A!N363</f>
        <v>5</v>
      </c>
      <c r="L363" s="38">
        <f>dataset_A!O363</f>
        <v>59</v>
      </c>
      <c r="M363" s="38">
        <f>dataset_A!P363</f>
        <v>64</v>
      </c>
      <c r="N363" s="38" t="str">
        <f t="shared" si="3"/>
        <v>Ok</v>
      </c>
      <c r="O363" s="38" t="str">
        <f>IF(M363&gt;Analysis!$B$3*1.5,"High",IF(M363&lt;Analysis!$B$3*0.5,"Low","Medium"))</f>
        <v>Medium</v>
      </c>
      <c r="P363" s="38" t="str">
        <f>VLOOKUP(dataset_A!C363,$Q$2:$R$5,2,0)</f>
        <v>Spring</v>
      </c>
      <c r="S363" s="38" t="str">
        <f t="array" ref="S363">INDEX($R$2:$R$5,MATCH(dataset_A!C363,$Q$2:$Q$5,0))</f>
        <v>Spring</v>
      </c>
      <c r="T363" s="38" t="str">
        <f t="shared" si="4"/>
        <v>Match</v>
      </c>
    </row>
    <row r="364" ht="12.75" customHeight="1">
      <c r="A364" s="38">
        <f>dataset_A!A364</f>
        <v>384</v>
      </c>
      <c r="B364" s="39">
        <f>dataset_A!B364</f>
        <v>40560</v>
      </c>
      <c r="C364" s="38">
        <f>dataset_A!F364</f>
        <v>11</v>
      </c>
      <c r="D364" s="38">
        <f>dataset_A!H364</f>
        <v>1</v>
      </c>
      <c r="E364" s="38" t="b">
        <f>dataset_A!G364</f>
        <v>1</v>
      </c>
      <c r="F364" s="38" t="b">
        <f>dataset_A!G364</f>
        <v>1</v>
      </c>
      <c r="G364" s="38" t="str">
        <f t="shared" si="1"/>
        <v>Weekday</v>
      </c>
      <c r="H364" s="38" t="str">
        <f t="shared" si="2"/>
        <v>Morning</v>
      </c>
      <c r="I364" s="38" t="str">
        <f>IF(dataset_A!C364=1,"Spring",IF(dataset_A!C364=2,"Summer",IF(dataset_A!C364=3,"Fail","Winter")))</f>
        <v>Spring</v>
      </c>
      <c r="J364" s="38" t="str">
        <f>IF(dataset_A!I364=1,"Clear",IF(dataset_A!I364,"Mist/Cloudy",IF(dataset_A!I364=3,"Light Rain/Snow","Heavy Rain/Snow")))</f>
        <v>Mist/Cloudy</v>
      </c>
      <c r="K364" s="38">
        <f>dataset_A!N364</f>
        <v>9</v>
      </c>
      <c r="L364" s="38">
        <f>dataset_A!O364</f>
        <v>55</v>
      </c>
      <c r="M364" s="38">
        <f>dataset_A!P364</f>
        <v>64</v>
      </c>
      <c r="N364" s="38" t="str">
        <f t="shared" si="3"/>
        <v>Ok</v>
      </c>
      <c r="O364" s="38" t="str">
        <f>IF(M364&gt;Analysis!$B$3*1.5,"High",IF(M364&lt;Analysis!$B$3*0.5,"Low","Medium"))</f>
        <v>Medium</v>
      </c>
      <c r="P364" s="38" t="str">
        <f>VLOOKUP(dataset_A!C364,$Q$2:$R$5,2,0)</f>
        <v>Spring</v>
      </c>
      <c r="S364" s="38" t="str">
        <f t="array" ref="S364">INDEX($R$2:$R$5,MATCH(dataset_A!C364,$Q$2:$Q$5,0))</f>
        <v>Spring</v>
      </c>
      <c r="T364" s="38" t="str">
        <f t="shared" si="4"/>
        <v>Match</v>
      </c>
    </row>
    <row r="365" ht="12.75" customHeight="1">
      <c r="A365" s="38">
        <f>dataset_A!A365</f>
        <v>629</v>
      </c>
      <c r="B365" s="39">
        <f>dataset_A!B365</f>
        <v>40572</v>
      </c>
      <c r="C365" s="38">
        <f>dataset_A!F365</f>
        <v>11</v>
      </c>
      <c r="D365" s="38">
        <f>dataset_A!H365</f>
        <v>6</v>
      </c>
      <c r="E365" s="38" t="b">
        <f>dataset_A!G365</f>
        <v>0</v>
      </c>
      <c r="F365" s="38" t="b">
        <f>dataset_A!G365</f>
        <v>0</v>
      </c>
      <c r="G365" s="38" t="str">
        <f t="shared" si="1"/>
        <v>Weekend</v>
      </c>
      <c r="H365" s="38" t="str">
        <f t="shared" si="2"/>
        <v>Morning</v>
      </c>
      <c r="I365" s="38" t="str">
        <f>IF(dataset_A!C365=1,"Spring",IF(dataset_A!C365=2,"Summer",IF(dataset_A!C365=3,"Fail","Winter")))</f>
        <v>Spring</v>
      </c>
      <c r="J365" s="38" t="str">
        <f>IF(dataset_A!I365=1,"Clear",IF(dataset_A!I365,"Mist/Cloudy",IF(dataset_A!I365=3,"Light Rain/Snow","Heavy Rain/Snow")))</f>
        <v>Mist/Cloudy</v>
      </c>
      <c r="K365" s="38">
        <f>dataset_A!N365</f>
        <v>4</v>
      </c>
      <c r="L365" s="38">
        <f>dataset_A!O365</f>
        <v>60</v>
      </c>
      <c r="M365" s="38">
        <f>dataset_A!P365</f>
        <v>64</v>
      </c>
      <c r="N365" s="38" t="str">
        <f t="shared" si="3"/>
        <v>Ok</v>
      </c>
      <c r="O365" s="38" t="str">
        <f>IF(M365&gt;Analysis!$B$3*1.5,"High",IF(M365&lt;Analysis!$B$3*0.5,"Low","Medium"))</f>
        <v>Medium</v>
      </c>
      <c r="P365" s="38" t="str">
        <f>VLOOKUP(dataset_A!C365,$Q$2:$R$5,2,0)</f>
        <v>Spring</v>
      </c>
      <c r="S365" s="38" t="str">
        <f t="array" ref="S365">INDEX($R$2:$R$5,MATCH(dataset_A!C365,$Q$2:$Q$5,0))</f>
        <v>Spring</v>
      </c>
      <c r="T365" s="38" t="str">
        <f t="shared" si="4"/>
        <v>Match</v>
      </c>
    </row>
    <row r="366" ht="12.75" customHeight="1">
      <c r="A366" s="38">
        <f>dataset_A!A366</f>
        <v>651</v>
      </c>
      <c r="B366" s="39">
        <f>dataset_A!B366</f>
        <v>40573</v>
      </c>
      <c r="C366" s="38">
        <f>dataset_A!F366</f>
        <v>10</v>
      </c>
      <c r="D366" s="38">
        <f>dataset_A!H366</f>
        <v>0</v>
      </c>
      <c r="E366" s="38" t="b">
        <f>dataset_A!G366</f>
        <v>0</v>
      </c>
      <c r="F366" s="38" t="b">
        <f>dataset_A!G366</f>
        <v>0</v>
      </c>
      <c r="G366" s="38" t="str">
        <f t="shared" si="1"/>
        <v>Weekend</v>
      </c>
      <c r="H366" s="38" t="str">
        <f t="shared" si="2"/>
        <v>Morning</v>
      </c>
      <c r="I366" s="38" t="str">
        <f>IF(dataset_A!C366=1,"Spring",IF(dataset_A!C366=2,"Summer",IF(dataset_A!C366=3,"Fail","Winter")))</f>
        <v>Spring</v>
      </c>
      <c r="J366" s="38" t="str">
        <f>IF(dataset_A!I366=1,"Clear",IF(dataset_A!I366,"Mist/Cloudy",IF(dataset_A!I366=3,"Light Rain/Snow","Heavy Rain/Snow")))</f>
        <v>Mist/Cloudy</v>
      </c>
      <c r="K366" s="38">
        <f>dataset_A!N366</f>
        <v>7</v>
      </c>
      <c r="L366" s="38">
        <f>dataset_A!O366</f>
        <v>57</v>
      </c>
      <c r="M366" s="38">
        <f>dataset_A!P366</f>
        <v>64</v>
      </c>
      <c r="N366" s="38" t="str">
        <f t="shared" si="3"/>
        <v>Ok</v>
      </c>
      <c r="O366" s="38" t="str">
        <f>IF(M366&gt;Analysis!$B$3*1.5,"High",IF(M366&lt;Analysis!$B$3*0.5,"Low","Medium"))</f>
        <v>Medium</v>
      </c>
      <c r="P366" s="38" t="str">
        <f>VLOOKUP(dataset_A!C366,$Q$2:$R$5,2,0)</f>
        <v>Spring</v>
      </c>
      <c r="S366" s="38" t="str">
        <f t="array" ref="S366">INDEX($R$2:$R$5,MATCH(dataset_A!C366,$Q$2:$Q$5,0))</f>
        <v>Spring</v>
      </c>
      <c r="T366" s="38" t="str">
        <f t="shared" si="4"/>
        <v>Match</v>
      </c>
    </row>
    <row r="367" ht="12.75" customHeight="1">
      <c r="A367" s="38">
        <f>dataset_A!A367</f>
        <v>704</v>
      </c>
      <c r="B367" s="39">
        <f>dataset_A!B367</f>
        <v>40575</v>
      </c>
      <c r="C367" s="38">
        <f>dataset_A!F367</f>
        <v>16</v>
      </c>
      <c r="D367" s="38">
        <f>dataset_A!H367</f>
        <v>2</v>
      </c>
      <c r="E367" s="38" t="b">
        <f>dataset_A!G367</f>
        <v>0</v>
      </c>
      <c r="F367" s="38" t="b">
        <f>dataset_A!G367</f>
        <v>0</v>
      </c>
      <c r="G367" s="38" t="str">
        <f t="shared" si="1"/>
        <v>Weekday</v>
      </c>
      <c r="H367" s="38" t="str">
        <f t="shared" si="2"/>
        <v>Afternoon</v>
      </c>
      <c r="I367" s="38" t="str">
        <f>IF(dataset_A!C367=1,"Spring",IF(dataset_A!C367=2,"Summer",IF(dataset_A!C367=3,"Fail","Winter")))</f>
        <v>Spring</v>
      </c>
      <c r="J367" s="38" t="str">
        <f>IF(dataset_A!I367=1,"Clear",IF(dataset_A!I367,"Mist/Cloudy",IF(dataset_A!I367=3,"Light Rain/Snow","Heavy Rain/Snow")))</f>
        <v>Mist/Cloudy</v>
      </c>
      <c r="K367" s="38">
        <f>dataset_A!N367</f>
        <v>3</v>
      </c>
      <c r="L367" s="38">
        <f>dataset_A!O367</f>
        <v>61</v>
      </c>
      <c r="M367" s="38">
        <f>dataset_A!P367</f>
        <v>64</v>
      </c>
      <c r="N367" s="38" t="str">
        <f t="shared" si="3"/>
        <v>Ok</v>
      </c>
      <c r="O367" s="38" t="str">
        <f>IF(M367&gt;Analysis!$B$3*1.5,"High",IF(M367&lt;Analysis!$B$3*0.5,"Low","Medium"))</f>
        <v>Medium</v>
      </c>
      <c r="P367" s="38" t="str">
        <f>VLOOKUP(dataset_A!C367,$Q$2:$R$5,2,0)</f>
        <v>Spring</v>
      </c>
      <c r="S367" s="38" t="str">
        <f t="array" ref="S367">INDEX($R$2:$R$5,MATCH(dataset_A!C367,$Q$2:$Q$5,0))</f>
        <v>Spring</v>
      </c>
      <c r="T367" s="38" t="str">
        <f t="shared" si="4"/>
        <v>Match</v>
      </c>
    </row>
    <row r="368" ht="12.75" customHeight="1">
      <c r="A368" s="38">
        <f>dataset_A!A368</f>
        <v>709</v>
      </c>
      <c r="B368" s="39">
        <f>dataset_A!B368</f>
        <v>40575</v>
      </c>
      <c r="C368" s="38">
        <f>dataset_A!F368</f>
        <v>21</v>
      </c>
      <c r="D368" s="38">
        <f>dataset_A!H368</f>
        <v>2</v>
      </c>
      <c r="E368" s="38" t="b">
        <f>dataset_A!G368</f>
        <v>0</v>
      </c>
      <c r="F368" s="38" t="b">
        <f>dataset_A!G368</f>
        <v>0</v>
      </c>
      <c r="G368" s="38" t="str">
        <f t="shared" si="1"/>
        <v>Weekday</v>
      </c>
      <c r="H368" s="38" t="str">
        <f t="shared" si="2"/>
        <v>Evening</v>
      </c>
      <c r="I368" s="38" t="str">
        <f>IF(dataset_A!C368=1,"Spring",IF(dataset_A!C368=2,"Summer",IF(dataset_A!C368=3,"Fail","Winter")))</f>
        <v>Spring</v>
      </c>
      <c r="J368" s="38" t="str">
        <f>IF(dataset_A!I368=1,"Clear",IF(dataset_A!I368,"Mist/Cloudy",IF(dataset_A!I368=3,"Light Rain/Snow","Heavy Rain/Snow")))</f>
        <v>Mist/Cloudy</v>
      </c>
      <c r="K368" s="38">
        <f>dataset_A!N368</f>
        <v>0</v>
      </c>
      <c r="L368" s="38">
        <f>dataset_A!O368</f>
        <v>64</v>
      </c>
      <c r="M368" s="38">
        <f>dataset_A!P368</f>
        <v>64</v>
      </c>
      <c r="N368" s="38" t="str">
        <f t="shared" si="3"/>
        <v>Ok</v>
      </c>
      <c r="O368" s="38" t="str">
        <f>IF(M368&gt;Analysis!$B$3*1.5,"High",IF(M368&lt;Analysis!$B$3*0.5,"Low","Medium"))</f>
        <v>Medium</v>
      </c>
      <c r="P368" s="38" t="str">
        <f>VLOOKUP(dataset_A!C368,$Q$2:$R$5,2,0)</f>
        <v>Spring</v>
      </c>
      <c r="S368" s="38" t="str">
        <f t="array" ref="S368">INDEX($R$2:$R$5,MATCH(dataset_A!C368,$Q$2:$Q$5,0))</f>
        <v>Spring</v>
      </c>
      <c r="T368" s="38" t="str">
        <f t="shared" si="4"/>
        <v>Match</v>
      </c>
    </row>
    <row r="369" ht="12.75" customHeight="1">
      <c r="A369" s="38">
        <f>dataset_A!A369</f>
        <v>724</v>
      </c>
      <c r="B369" s="39">
        <f>dataset_A!B369</f>
        <v>40576</v>
      </c>
      <c r="C369" s="38">
        <f>dataset_A!F369</f>
        <v>12</v>
      </c>
      <c r="D369" s="38">
        <f>dataset_A!H369</f>
        <v>3</v>
      </c>
      <c r="E369" s="38" t="b">
        <f>dataset_A!G369</f>
        <v>0</v>
      </c>
      <c r="F369" s="38" t="b">
        <f>dataset_A!G369</f>
        <v>0</v>
      </c>
      <c r="G369" s="38" t="str">
        <f t="shared" si="1"/>
        <v>Weekday</v>
      </c>
      <c r="H369" s="38" t="str">
        <f t="shared" si="2"/>
        <v>Afternoon</v>
      </c>
      <c r="I369" s="38" t="str">
        <f>IF(dataset_A!C369=1,"Spring",IF(dataset_A!C369=2,"Summer",IF(dataset_A!C369=3,"Fail","Winter")))</f>
        <v>Spring</v>
      </c>
      <c r="J369" s="38" t="str">
        <f>IF(dataset_A!I369=1,"Clear",IF(dataset_A!I369,"Mist/Cloudy",IF(dataset_A!I369=3,"Light Rain/Snow","Heavy Rain/Snow")))</f>
        <v>Mist/Cloudy</v>
      </c>
      <c r="K369" s="38">
        <f>dataset_A!N369</f>
        <v>3</v>
      </c>
      <c r="L369" s="38">
        <f>dataset_A!O369</f>
        <v>61</v>
      </c>
      <c r="M369" s="38">
        <f>dataset_A!P369</f>
        <v>64</v>
      </c>
      <c r="N369" s="38" t="str">
        <f t="shared" si="3"/>
        <v>Ok</v>
      </c>
      <c r="O369" s="38" t="str">
        <f>IF(M369&gt;Analysis!$B$3*1.5,"High",IF(M369&lt;Analysis!$B$3*0.5,"Low","Medium"))</f>
        <v>Medium</v>
      </c>
      <c r="P369" s="38" t="str">
        <f>VLOOKUP(dataset_A!C369,$Q$2:$R$5,2,0)</f>
        <v>Spring</v>
      </c>
      <c r="S369" s="38" t="str">
        <f t="array" ref="S369">INDEX($R$2:$R$5,MATCH(dataset_A!C369,$Q$2:$Q$5,0))</f>
        <v>Spring</v>
      </c>
      <c r="T369" s="38" t="str">
        <f t="shared" si="4"/>
        <v>Match</v>
      </c>
    </row>
    <row r="370" ht="12.75" customHeight="1">
      <c r="A370" s="38">
        <f>dataset_A!A370</f>
        <v>746</v>
      </c>
      <c r="B370" s="39">
        <f>dataset_A!B370</f>
        <v>40577</v>
      </c>
      <c r="C370" s="38">
        <f>dataset_A!F370</f>
        <v>11</v>
      </c>
      <c r="D370" s="38">
        <f>dataset_A!H370</f>
        <v>4</v>
      </c>
      <c r="E370" s="38" t="b">
        <f>dataset_A!G370</f>
        <v>0</v>
      </c>
      <c r="F370" s="38" t="b">
        <f>dataset_A!G370</f>
        <v>0</v>
      </c>
      <c r="G370" s="38" t="str">
        <f t="shared" si="1"/>
        <v>Weekday</v>
      </c>
      <c r="H370" s="38" t="str">
        <f t="shared" si="2"/>
        <v>Morning</v>
      </c>
      <c r="I370" s="38" t="str">
        <f>IF(dataset_A!C370=1,"Spring",IF(dataset_A!C370=2,"Summer",IF(dataset_A!C370=3,"Fail","Winter")))</f>
        <v>Spring</v>
      </c>
      <c r="J370" s="38" t="str">
        <f>IF(dataset_A!I370=1,"Clear",IF(dataset_A!I370,"Mist/Cloudy",IF(dataset_A!I370=3,"Light Rain/Snow","Heavy Rain/Snow")))</f>
        <v>Clear</v>
      </c>
      <c r="K370" s="38">
        <f>dataset_A!N370</f>
        <v>9</v>
      </c>
      <c r="L370" s="38">
        <f>dataset_A!O370</f>
        <v>55</v>
      </c>
      <c r="M370" s="38">
        <f>dataset_A!P370</f>
        <v>64</v>
      </c>
      <c r="N370" s="38" t="str">
        <f t="shared" si="3"/>
        <v>Ok</v>
      </c>
      <c r="O370" s="38" t="str">
        <f>IF(M370&gt;Analysis!$B$3*1.5,"High",IF(M370&lt;Analysis!$B$3*0.5,"Low","Medium"))</f>
        <v>Medium</v>
      </c>
      <c r="P370" s="38" t="str">
        <f>VLOOKUP(dataset_A!C370,$Q$2:$R$5,2,0)</f>
        <v>Spring</v>
      </c>
      <c r="S370" s="38" t="str">
        <f t="array" ref="S370">INDEX($R$2:$R$5,MATCH(dataset_A!C370,$Q$2:$Q$5,0))</f>
        <v>Spring</v>
      </c>
      <c r="T370" s="38" t="str">
        <f t="shared" si="4"/>
        <v>Match</v>
      </c>
    </row>
    <row r="371" ht="12.75" customHeight="1">
      <c r="A371" s="38">
        <f>dataset_A!A371</f>
        <v>769</v>
      </c>
      <c r="B371" s="39">
        <f>dataset_A!B371</f>
        <v>40578</v>
      </c>
      <c r="C371" s="38">
        <f>dataset_A!F371</f>
        <v>11</v>
      </c>
      <c r="D371" s="38">
        <f>dataset_A!H371</f>
        <v>5</v>
      </c>
      <c r="E371" s="38" t="b">
        <f>dataset_A!G371</f>
        <v>0</v>
      </c>
      <c r="F371" s="38" t="b">
        <f>dataset_A!G371</f>
        <v>0</v>
      </c>
      <c r="G371" s="38" t="str">
        <f t="shared" si="1"/>
        <v>Weekday</v>
      </c>
      <c r="H371" s="38" t="str">
        <f t="shared" si="2"/>
        <v>Morning</v>
      </c>
      <c r="I371" s="38" t="str">
        <f>IF(dataset_A!C371=1,"Spring",IF(dataset_A!C371=2,"Summer",IF(dataset_A!C371=3,"Fail","Winter")))</f>
        <v>Spring</v>
      </c>
      <c r="J371" s="38" t="str">
        <f>IF(dataset_A!I371=1,"Clear",IF(dataset_A!I371,"Mist/Cloudy",IF(dataset_A!I371=3,"Light Rain/Snow","Heavy Rain/Snow")))</f>
        <v>Clear</v>
      </c>
      <c r="K371" s="38">
        <f>dataset_A!N371</f>
        <v>3</v>
      </c>
      <c r="L371" s="38">
        <f>dataset_A!O371</f>
        <v>61</v>
      </c>
      <c r="M371" s="38">
        <f>dataset_A!P371</f>
        <v>64</v>
      </c>
      <c r="N371" s="38" t="str">
        <f t="shared" si="3"/>
        <v>Ok</v>
      </c>
      <c r="O371" s="38" t="str">
        <f>IF(M371&gt;Analysis!$B$3*1.5,"High",IF(M371&lt;Analysis!$B$3*0.5,"Low","Medium"))</f>
        <v>Medium</v>
      </c>
      <c r="P371" s="38" t="str">
        <f>VLOOKUP(dataset_A!C371,$Q$2:$R$5,2,0)</f>
        <v>Spring</v>
      </c>
      <c r="S371" s="38" t="str">
        <f t="array" ref="S371">INDEX($R$2:$R$5,MATCH(dataset_A!C371,$Q$2:$Q$5,0))</f>
        <v>Spring</v>
      </c>
      <c r="T371" s="38" t="str">
        <f t="shared" si="4"/>
        <v>Match</v>
      </c>
    </row>
    <row r="372" ht="12.75" customHeight="1">
      <c r="A372" s="38">
        <f>dataset_A!A372</f>
        <v>843</v>
      </c>
      <c r="B372" s="39">
        <f>dataset_A!B372</f>
        <v>40581</v>
      </c>
      <c r="C372" s="38">
        <f>dataset_A!F372</f>
        <v>13</v>
      </c>
      <c r="D372" s="38">
        <f>dataset_A!H372</f>
        <v>1</v>
      </c>
      <c r="E372" s="38" t="b">
        <f>dataset_A!G372</f>
        <v>0</v>
      </c>
      <c r="F372" s="38" t="b">
        <f>dataset_A!G372</f>
        <v>0</v>
      </c>
      <c r="G372" s="38" t="str">
        <f t="shared" si="1"/>
        <v>Weekday</v>
      </c>
      <c r="H372" s="38" t="str">
        <f t="shared" si="2"/>
        <v>Afternoon</v>
      </c>
      <c r="I372" s="38" t="str">
        <f>IF(dataset_A!C372=1,"Spring",IF(dataset_A!C372=2,"Summer",IF(dataset_A!C372=3,"Fail","Winter")))</f>
        <v>Spring</v>
      </c>
      <c r="J372" s="38" t="str">
        <f>IF(dataset_A!I372=1,"Clear",IF(dataset_A!I372,"Mist/Cloudy",IF(dataset_A!I372=3,"Light Rain/Snow","Heavy Rain/Snow")))</f>
        <v>Mist/Cloudy</v>
      </c>
      <c r="K372" s="38">
        <f>dataset_A!N372</f>
        <v>10</v>
      </c>
      <c r="L372" s="38">
        <f>dataset_A!O372</f>
        <v>54</v>
      </c>
      <c r="M372" s="38">
        <f>dataset_A!P372</f>
        <v>64</v>
      </c>
      <c r="N372" s="38" t="str">
        <f t="shared" si="3"/>
        <v>Ok</v>
      </c>
      <c r="O372" s="38" t="str">
        <f>IF(M372&gt;Analysis!$B$3*1.5,"High",IF(M372&lt;Analysis!$B$3*0.5,"Low","Medium"))</f>
        <v>Medium</v>
      </c>
      <c r="P372" s="38" t="str">
        <f>VLOOKUP(dataset_A!C372,$Q$2:$R$5,2,0)</f>
        <v>Spring</v>
      </c>
      <c r="S372" s="38" t="str">
        <f t="array" ref="S372">INDEX($R$2:$R$5,MATCH(dataset_A!C372,$Q$2:$Q$5,0))</f>
        <v>Spring</v>
      </c>
      <c r="T372" s="38" t="str">
        <f t="shared" si="4"/>
        <v>Match</v>
      </c>
    </row>
    <row r="373" ht="12.75" customHeight="1">
      <c r="A373" s="38">
        <f>dataset_A!A373</f>
        <v>868</v>
      </c>
      <c r="B373" s="39">
        <f>dataset_A!B373</f>
        <v>40582</v>
      </c>
      <c r="C373" s="38">
        <f>dataset_A!F373</f>
        <v>14</v>
      </c>
      <c r="D373" s="38">
        <f>dataset_A!H373</f>
        <v>2</v>
      </c>
      <c r="E373" s="38" t="b">
        <f>dataset_A!G373</f>
        <v>0</v>
      </c>
      <c r="F373" s="38" t="b">
        <f>dataset_A!G373</f>
        <v>0</v>
      </c>
      <c r="G373" s="38" t="str">
        <f t="shared" si="1"/>
        <v>Weekday</v>
      </c>
      <c r="H373" s="38" t="str">
        <f t="shared" si="2"/>
        <v>Afternoon</v>
      </c>
      <c r="I373" s="38" t="str">
        <f>IF(dataset_A!C373=1,"Spring",IF(dataset_A!C373=2,"Summer",IF(dataset_A!C373=3,"Fail","Winter")))</f>
        <v>Spring</v>
      </c>
      <c r="J373" s="38" t="str">
        <f>IF(dataset_A!I373=1,"Clear",IF(dataset_A!I373,"Mist/Cloudy",IF(dataset_A!I373=3,"Light Rain/Snow","Heavy Rain/Snow")))</f>
        <v>Clear</v>
      </c>
      <c r="K373" s="38">
        <f>dataset_A!N373</f>
        <v>3</v>
      </c>
      <c r="L373" s="38">
        <f>dataset_A!O373</f>
        <v>61</v>
      </c>
      <c r="M373" s="38">
        <f>dataset_A!P373</f>
        <v>64</v>
      </c>
      <c r="N373" s="38" t="str">
        <f t="shared" si="3"/>
        <v>Ok</v>
      </c>
      <c r="O373" s="38" t="str">
        <f>IF(M373&gt;Analysis!$B$3*1.5,"High",IF(M373&lt;Analysis!$B$3*0.5,"Low","Medium"))</f>
        <v>Medium</v>
      </c>
      <c r="P373" s="38" t="str">
        <f>VLOOKUP(dataset_A!C373,$Q$2:$R$5,2,0)</f>
        <v>Spring</v>
      </c>
      <c r="S373" s="38" t="str">
        <f t="array" ref="S373">INDEX($R$2:$R$5,MATCH(dataset_A!C373,$Q$2:$Q$5,0))</f>
        <v>Spring</v>
      </c>
      <c r="T373" s="38" t="str">
        <f t="shared" si="4"/>
        <v>Match</v>
      </c>
    </row>
    <row r="374" ht="12.75" customHeight="1">
      <c r="A374" s="38">
        <f>dataset_A!A374</f>
        <v>892</v>
      </c>
      <c r="B374" s="39">
        <f>dataset_A!B374</f>
        <v>40583</v>
      </c>
      <c r="C374" s="38">
        <f>dataset_A!F374</f>
        <v>15</v>
      </c>
      <c r="D374" s="38">
        <f>dataset_A!H374</f>
        <v>3</v>
      </c>
      <c r="E374" s="38" t="b">
        <f>dataset_A!G374</f>
        <v>0</v>
      </c>
      <c r="F374" s="38" t="b">
        <f>dataset_A!G374</f>
        <v>0</v>
      </c>
      <c r="G374" s="38" t="str">
        <f t="shared" si="1"/>
        <v>Weekday</v>
      </c>
      <c r="H374" s="38" t="str">
        <f t="shared" si="2"/>
        <v>Afternoon</v>
      </c>
      <c r="I374" s="38" t="str">
        <f>IF(dataset_A!C374=1,"Spring",IF(dataset_A!C374=2,"Summer",IF(dataset_A!C374=3,"Fail","Winter")))</f>
        <v>Spring</v>
      </c>
      <c r="J374" s="38" t="str">
        <f>IF(dataset_A!I374=1,"Clear",IF(dataset_A!I374,"Mist/Cloudy",IF(dataset_A!I374=3,"Light Rain/Snow","Heavy Rain/Snow")))</f>
        <v>Mist/Cloudy</v>
      </c>
      <c r="K374" s="38">
        <f>dataset_A!N374</f>
        <v>3</v>
      </c>
      <c r="L374" s="38">
        <f>dataset_A!O374</f>
        <v>61</v>
      </c>
      <c r="M374" s="38">
        <f>dataset_A!P374</f>
        <v>64</v>
      </c>
      <c r="N374" s="38" t="str">
        <f t="shared" si="3"/>
        <v>Ok</v>
      </c>
      <c r="O374" s="38" t="str">
        <f>IF(M374&gt;Analysis!$B$3*1.5,"High",IF(M374&lt;Analysis!$B$3*0.5,"Low","Medium"))</f>
        <v>Medium</v>
      </c>
      <c r="P374" s="38" t="str">
        <f>VLOOKUP(dataset_A!C374,$Q$2:$R$5,2,0)</f>
        <v>Spring</v>
      </c>
      <c r="S374" s="38" t="str">
        <f t="array" ref="S374">INDEX($R$2:$R$5,MATCH(dataset_A!C374,$Q$2:$Q$5,0))</f>
        <v>Spring</v>
      </c>
      <c r="T374" s="38" t="str">
        <f t="shared" si="4"/>
        <v>Match</v>
      </c>
    </row>
    <row r="375" ht="12.75" customHeight="1">
      <c r="A375" s="38">
        <f>dataset_A!A375</f>
        <v>933</v>
      </c>
      <c r="B375" s="39">
        <f>dataset_A!B375</f>
        <v>40585</v>
      </c>
      <c r="C375" s="38">
        <f>dataset_A!F375</f>
        <v>11</v>
      </c>
      <c r="D375" s="38">
        <f>dataset_A!H375</f>
        <v>5</v>
      </c>
      <c r="E375" s="38" t="b">
        <f>dataset_A!G375</f>
        <v>0</v>
      </c>
      <c r="F375" s="38" t="b">
        <f>dataset_A!G375</f>
        <v>0</v>
      </c>
      <c r="G375" s="38" t="str">
        <f t="shared" si="1"/>
        <v>Weekday</v>
      </c>
      <c r="H375" s="38" t="str">
        <f t="shared" si="2"/>
        <v>Morning</v>
      </c>
      <c r="I375" s="38" t="str">
        <f>IF(dataset_A!C375=1,"Spring",IF(dataset_A!C375=2,"Summer",IF(dataset_A!C375=3,"Fail","Winter")))</f>
        <v>Spring</v>
      </c>
      <c r="J375" s="38" t="str">
        <f>IF(dataset_A!I375=1,"Clear",IF(dataset_A!I375,"Mist/Cloudy",IF(dataset_A!I375=3,"Light Rain/Snow","Heavy Rain/Snow")))</f>
        <v>Clear</v>
      </c>
      <c r="K375" s="38">
        <f>dataset_A!N375</f>
        <v>12</v>
      </c>
      <c r="L375" s="38">
        <f>dataset_A!O375</f>
        <v>52</v>
      </c>
      <c r="M375" s="38">
        <f>dataset_A!P375</f>
        <v>64</v>
      </c>
      <c r="N375" s="38" t="str">
        <f t="shared" si="3"/>
        <v>Ok</v>
      </c>
      <c r="O375" s="38" t="str">
        <f>IF(M375&gt;Analysis!$B$3*1.5,"High",IF(M375&lt;Analysis!$B$3*0.5,"Low","Medium"))</f>
        <v>Medium</v>
      </c>
      <c r="P375" s="38" t="str">
        <f>VLOOKUP(dataset_A!C375,$Q$2:$R$5,2,0)</f>
        <v>Spring</v>
      </c>
      <c r="S375" s="38" t="str">
        <f t="array" ref="S375">INDEX($R$2:$R$5,MATCH(dataset_A!C375,$Q$2:$Q$5,0))</f>
        <v>Spring</v>
      </c>
      <c r="T375" s="38" t="str">
        <f t="shared" si="4"/>
        <v>Match</v>
      </c>
    </row>
    <row r="376" ht="12.75" customHeight="1">
      <c r="A376" s="38">
        <f>dataset_A!A376</f>
        <v>964</v>
      </c>
      <c r="B376" s="39">
        <f>dataset_A!B376</f>
        <v>40586</v>
      </c>
      <c r="C376" s="38">
        <f>dataset_A!F376</f>
        <v>18</v>
      </c>
      <c r="D376" s="38">
        <f>dataset_A!H376</f>
        <v>6</v>
      </c>
      <c r="E376" s="38" t="b">
        <f>dataset_A!G376</f>
        <v>0</v>
      </c>
      <c r="F376" s="38" t="b">
        <f>dataset_A!G376</f>
        <v>0</v>
      </c>
      <c r="G376" s="38" t="str">
        <f t="shared" si="1"/>
        <v>Weekend</v>
      </c>
      <c r="H376" s="38" t="str">
        <f t="shared" si="2"/>
        <v>Evening</v>
      </c>
      <c r="I376" s="38" t="str">
        <f>IF(dataset_A!C376=1,"Spring",IF(dataset_A!C376=2,"Summer",IF(dataset_A!C376=3,"Fail","Winter")))</f>
        <v>Spring</v>
      </c>
      <c r="J376" s="38" t="str">
        <f>IF(dataset_A!I376=1,"Clear",IF(dataset_A!I376,"Mist/Cloudy",IF(dataset_A!I376=3,"Light Rain/Snow","Heavy Rain/Snow")))</f>
        <v>Clear</v>
      </c>
      <c r="K376" s="38">
        <f>dataset_A!N376</f>
        <v>4</v>
      </c>
      <c r="L376" s="38">
        <f>dataset_A!O376</f>
        <v>60</v>
      </c>
      <c r="M376" s="38">
        <f>dataset_A!P376</f>
        <v>64</v>
      </c>
      <c r="N376" s="38" t="str">
        <f t="shared" si="3"/>
        <v>Ok</v>
      </c>
      <c r="O376" s="38" t="str">
        <f>IF(M376&gt;Analysis!$B$3*1.5,"High",IF(M376&lt;Analysis!$B$3*0.5,"Low","Medium"))</f>
        <v>Medium</v>
      </c>
      <c r="P376" s="38" t="str">
        <f>VLOOKUP(dataset_A!C376,$Q$2:$R$5,2,0)</f>
        <v>Spring</v>
      </c>
      <c r="S376" s="38" t="str">
        <f t="array" ref="S376">INDEX($R$2:$R$5,MATCH(dataset_A!C376,$Q$2:$Q$5,0))</f>
        <v>Spring</v>
      </c>
      <c r="T376" s="38" t="str">
        <f t="shared" si="4"/>
        <v>Match</v>
      </c>
    </row>
    <row r="377" ht="12.75" customHeight="1">
      <c r="A377" s="38">
        <f>dataset_A!A377</f>
        <v>83</v>
      </c>
      <c r="B377" s="39">
        <f>dataset_A!B377</f>
        <v>40547</v>
      </c>
      <c r="C377" s="38">
        <f>dataset_A!F377</f>
        <v>14</v>
      </c>
      <c r="D377" s="38">
        <f>dataset_A!H377</f>
        <v>2</v>
      </c>
      <c r="E377" s="38" t="b">
        <f>dataset_A!G377</f>
        <v>0</v>
      </c>
      <c r="F377" s="38" t="b">
        <f>dataset_A!G377</f>
        <v>0</v>
      </c>
      <c r="G377" s="38" t="str">
        <f t="shared" si="1"/>
        <v>Weekday</v>
      </c>
      <c r="H377" s="38" t="str">
        <f t="shared" si="2"/>
        <v>Afternoon</v>
      </c>
      <c r="I377" s="38" t="str">
        <f>IF(dataset_A!C377=1,"Spring",IF(dataset_A!C377=2,"Summer",IF(dataset_A!C377=3,"Fail","Winter")))</f>
        <v>Spring</v>
      </c>
      <c r="J377" s="38" t="str">
        <f>IF(dataset_A!I377=1,"Clear",IF(dataset_A!I377,"Mist/Cloudy",IF(dataset_A!I377=3,"Light Rain/Snow","Heavy Rain/Snow")))</f>
        <v>Clear</v>
      </c>
      <c r="K377" s="38">
        <f>dataset_A!N377</f>
        <v>9</v>
      </c>
      <c r="L377" s="38">
        <f>dataset_A!O377</f>
        <v>54</v>
      </c>
      <c r="M377" s="38">
        <f>dataset_A!P377</f>
        <v>63</v>
      </c>
      <c r="N377" s="38" t="str">
        <f t="shared" si="3"/>
        <v>Ok</v>
      </c>
      <c r="O377" s="38" t="str">
        <f>IF(M377&gt;Analysis!$B$3*1.5,"High",IF(M377&lt;Analysis!$B$3*0.5,"Low","Medium"))</f>
        <v>Medium</v>
      </c>
      <c r="P377" s="38" t="str">
        <f>VLOOKUP(dataset_A!C377,$Q$2:$R$5,2,0)</f>
        <v>Spring</v>
      </c>
      <c r="S377" s="38" t="str">
        <f t="array" ref="S377">INDEX($R$2:$R$5,MATCH(dataset_A!C377,$Q$2:$Q$5,0))</f>
        <v>Spring</v>
      </c>
      <c r="T377" s="38" t="str">
        <f t="shared" si="4"/>
        <v>Match</v>
      </c>
    </row>
    <row r="378" ht="12.75" customHeight="1">
      <c r="A378" s="38">
        <f>dataset_A!A378</f>
        <v>148</v>
      </c>
      <c r="B378" s="39">
        <f>dataset_A!B378</f>
        <v>40550</v>
      </c>
      <c r="C378" s="38">
        <f>dataset_A!F378</f>
        <v>10</v>
      </c>
      <c r="D378" s="38">
        <f>dataset_A!H378</f>
        <v>5</v>
      </c>
      <c r="E378" s="38" t="b">
        <f>dataset_A!G378</f>
        <v>0</v>
      </c>
      <c r="F378" s="38" t="b">
        <f>dataset_A!G378</f>
        <v>0</v>
      </c>
      <c r="G378" s="38" t="str">
        <f t="shared" si="1"/>
        <v>Weekday</v>
      </c>
      <c r="H378" s="38" t="str">
        <f t="shared" si="2"/>
        <v>Morning</v>
      </c>
      <c r="I378" s="38" t="str">
        <f>IF(dataset_A!C378=1,"Spring",IF(dataset_A!C378=2,"Summer",IF(dataset_A!C378=3,"Fail","Winter")))</f>
        <v>Spring</v>
      </c>
      <c r="J378" s="38" t="str">
        <f>IF(dataset_A!I378=1,"Clear",IF(dataset_A!I378,"Mist/Cloudy",IF(dataset_A!I378=3,"Light Rain/Snow","Heavy Rain/Snow")))</f>
        <v>Clear</v>
      </c>
      <c r="K378" s="38">
        <f>dataset_A!N378</f>
        <v>16</v>
      </c>
      <c r="L378" s="38">
        <f>dataset_A!O378</f>
        <v>47</v>
      </c>
      <c r="M378" s="38">
        <f>dataset_A!P378</f>
        <v>63</v>
      </c>
      <c r="N378" s="38" t="str">
        <f t="shared" si="3"/>
        <v>Ok</v>
      </c>
      <c r="O378" s="38" t="str">
        <f>IF(M378&gt;Analysis!$B$3*1.5,"High",IF(M378&lt;Analysis!$B$3*0.5,"Low","Medium"))</f>
        <v>Medium</v>
      </c>
      <c r="P378" s="38" t="str">
        <f>VLOOKUP(dataset_A!C378,$Q$2:$R$5,2,0)</f>
        <v>Spring</v>
      </c>
      <c r="S378" s="38" t="str">
        <f t="array" ref="S378">INDEX($R$2:$R$5,MATCH(dataset_A!C378,$Q$2:$Q$5,0))</f>
        <v>Spring</v>
      </c>
      <c r="T378" s="38" t="str">
        <f t="shared" si="4"/>
        <v>Match</v>
      </c>
    </row>
    <row r="379" ht="12.75" customHeight="1">
      <c r="A379" s="38">
        <f>dataset_A!A379</f>
        <v>246</v>
      </c>
      <c r="B379" s="39">
        <f>dataset_A!B379</f>
        <v>40554</v>
      </c>
      <c r="C379" s="38">
        <f>dataset_A!F379</f>
        <v>14</v>
      </c>
      <c r="D379" s="38">
        <f>dataset_A!H379</f>
        <v>2</v>
      </c>
      <c r="E379" s="38" t="b">
        <f>dataset_A!G379</f>
        <v>0</v>
      </c>
      <c r="F379" s="38" t="b">
        <f>dataset_A!G379</f>
        <v>0</v>
      </c>
      <c r="G379" s="38" t="str">
        <f t="shared" si="1"/>
        <v>Weekday</v>
      </c>
      <c r="H379" s="38" t="str">
        <f t="shared" si="2"/>
        <v>Afternoon</v>
      </c>
      <c r="I379" s="38" t="str">
        <f>IF(dataset_A!C379=1,"Spring",IF(dataset_A!C379=2,"Summer",IF(dataset_A!C379=3,"Fail","Winter")))</f>
        <v>Spring</v>
      </c>
      <c r="J379" s="38" t="str">
        <f>IF(dataset_A!I379=1,"Clear",IF(dataset_A!I379,"Mist/Cloudy",IF(dataset_A!I379=3,"Light Rain/Snow","Heavy Rain/Snow")))</f>
        <v>Mist/Cloudy</v>
      </c>
      <c r="K379" s="38">
        <f>dataset_A!N379</f>
        <v>3</v>
      </c>
      <c r="L379" s="38">
        <f>dataset_A!O379</f>
        <v>60</v>
      </c>
      <c r="M379" s="38">
        <f>dataset_A!P379</f>
        <v>63</v>
      </c>
      <c r="N379" s="38" t="str">
        <f t="shared" si="3"/>
        <v>Ok</v>
      </c>
      <c r="O379" s="38" t="str">
        <f>IF(M379&gt;Analysis!$B$3*1.5,"High",IF(M379&lt;Analysis!$B$3*0.5,"Low","Medium"))</f>
        <v>Medium</v>
      </c>
      <c r="P379" s="38" t="str">
        <f>VLOOKUP(dataset_A!C379,$Q$2:$R$5,2,0)</f>
        <v>Spring</v>
      </c>
      <c r="S379" s="38" t="str">
        <f t="array" ref="S379">INDEX($R$2:$R$5,MATCH(dataset_A!C379,$Q$2:$Q$5,0))</f>
        <v>Spring</v>
      </c>
      <c r="T379" s="38" t="str">
        <f t="shared" si="4"/>
        <v>Match</v>
      </c>
    </row>
    <row r="380" ht="12.75" customHeight="1">
      <c r="A380" s="38">
        <f>dataset_A!A380</f>
        <v>466</v>
      </c>
      <c r="B380" s="39">
        <f>dataset_A!B380</f>
        <v>40564</v>
      </c>
      <c r="C380" s="38">
        <f>dataset_A!F380</f>
        <v>10</v>
      </c>
      <c r="D380" s="38">
        <f>dataset_A!H380</f>
        <v>5</v>
      </c>
      <c r="E380" s="38" t="b">
        <f>dataset_A!G380</f>
        <v>0</v>
      </c>
      <c r="F380" s="38" t="b">
        <f>dataset_A!G380</f>
        <v>0</v>
      </c>
      <c r="G380" s="38" t="str">
        <f t="shared" si="1"/>
        <v>Weekday</v>
      </c>
      <c r="H380" s="38" t="str">
        <f t="shared" si="2"/>
        <v>Morning</v>
      </c>
      <c r="I380" s="38" t="str">
        <f>IF(dataset_A!C380=1,"Spring",IF(dataset_A!C380=2,"Summer",IF(dataset_A!C380=3,"Fail","Winter")))</f>
        <v>Spring</v>
      </c>
      <c r="J380" s="38" t="str">
        <f>IF(dataset_A!I380=1,"Clear",IF(dataset_A!I380,"Mist/Cloudy",IF(dataset_A!I380=3,"Light Rain/Snow","Heavy Rain/Snow")))</f>
        <v>Clear</v>
      </c>
      <c r="K380" s="38">
        <f>dataset_A!N380</f>
        <v>6</v>
      </c>
      <c r="L380" s="38">
        <f>dataset_A!O380</f>
        <v>57</v>
      </c>
      <c r="M380" s="38">
        <f>dataset_A!P380</f>
        <v>63</v>
      </c>
      <c r="N380" s="38" t="str">
        <f t="shared" si="3"/>
        <v>Ok</v>
      </c>
      <c r="O380" s="38" t="str">
        <f>IF(M380&gt;Analysis!$B$3*1.5,"High",IF(M380&lt;Analysis!$B$3*0.5,"Low","Medium"))</f>
        <v>Medium</v>
      </c>
      <c r="P380" s="38" t="str">
        <f>VLOOKUP(dataset_A!C380,$Q$2:$R$5,2,0)</f>
        <v>Spring</v>
      </c>
      <c r="S380" s="38" t="str">
        <f t="array" ref="S380">INDEX($R$2:$R$5,MATCH(dataset_A!C380,$Q$2:$Q$5,0))</f>
        <v>Spring</v>
      </c>
      <c r="T380" s="38" t="str">
        <f t="shared" si="4"/>
        <v>Match</v>
      </c>
    </row>
    <row r="381" ht="12.75" customHeight="1">
      <c r="A381" s="38">
        <f>dataset_A!A381</f>
        <v>490</v>
      </c>
      <c r="B381" s="39">
        <f>dataset_A!B381</f>
        <v>40565</v>
      </c>
      <c r="C381" s="38">
        <f>dataset_A!F381</f>
        <v>11</v>
      </c>
      <c r="D381" s="38">
        <f>dataset_A!H381</f>
        <v>6</v>
      </c>
      <c r="E381" s="38" t="b">
        <f>dataset_A!G381</f>
        <v>0</v>
      </c>
      <c r="F381" s="38" t="b">
        <f>dataset_A!G381</f>
        <v>0</v>
      </c>
      <c r="G381" s="38" t="str">
        <f t="shared" si="1"/>
        <v>Weekend</v>
      </c>
      <c r="H381" s="38" t="str">
        <f t="shared" si="2"/>
        <v>Morning</v>
      </c>
      <c r="I381" s="38" t="str">
        <f>IF(dataset_A!C381=1,"Spring",IF(dataset_A!C381=2,"Summer",IF(dataset_A!C381=3,"Fail","Winter")))</f>
        <v>Spring</v>
      </c>
      <c r="J381" s="38" t="str">
        <f>IF(dataset_A!I381=1,"Clear",IF(dataset_A!I381,"Mist/Cloudy",IF(dataset_A!I381=3,"Light Rain/Snow","Heavy Rain/Snow")))</f>
        <v>Mist/Cloudy</v>
      </c>
      <c r="K381" s="38">
        <f>dataset_A!N381</f>
        <v>4</v>
      </c>
      <c r="L381" s="38">
        <f>dataset_A!O381</f>
        <v>59</v>
      </c>
      <c r="M381" s="38">
        <f>dataset_A!P381</f>
        <v>63</v>
      </c>
      <c r="N381" s="38" t="str">
        <f t="shared" si="3"/>
        <v>Ok</v>
      </c>
      <c r="O381" s="38" t="str">
        <f>IF(M381&gt;Analysis!$B$3*1.5,"High",IF(M381&lt;Analysis!$B$3*0.5,"Low","Medium"))</f>
        <v>Medium</v>
      </c>
      <c r="P381" s="38" t="str">
        <f>VLOOKUP(dataset_A!C381,$Q$2:$R$5,2,0)</f>
        <v>Spring</v>
      </c>
      <c r="S381" s="38" t="str">
        <f t="array" ref="S381">INDEX($R$2:$R$5,MATCH(dataset_A!C381,$Q$2:$Q$5,0))</f>
        <v>Spring</v>
      </c>
      <c r="T381" s="38" t="str">
        <f t="shared" si="4"/>
        <v>Match</v>
      </c>
    </row>
    <row r="382" ht="12.75" customHeight="1">
      <c r="A382" s="38">
        <f>dataset_A!A382</f>
        <v>537</v>
      </c>
      <c r="B382" s="39">
        <f>dataset_A!B382</f>
        <v>40567</v>
      </c>
      <c r="C382" s="38">
        <f>dataset_A!F382</f>
        <v>12</v>
      </c>
      <c r="D382" s="38">
        <f>dataset_A!H382</f>
        <v>1</v>
      </c>
      <c r="E382" s="38" t="b">
        <f>dataset_A!G382</f>
        <v>0</v>
      </c>
      <c r="F382" s="38" t="b">
        <f>dataset_A!G382</f>
        <v>0</v>
      </c>
      <c r="G382" s="38" t="str">
        <f t="shared" si="1"/>
        <v>Weekday</v>
      </c>
      <c r="H382" s="38" t="str">
        <f t="shared" si="2"/>
        <v>Afternoon</v>
      </c>
      <c r="I382" s="38" t="str">
        <f>IF(dataset_A!C382=1,"Spring",IF(dataset_A!C382=2,"Summer",IF(dataset_A!C382=3,"Fail","Winter")))</f>
        <v>Spring</v>
      </c>
      <c r="J382" s="38" t="str">
        <f>IF(dataset_A!I382=1,"Clear",IF(dataset_A!I382,"Mist/Cloudy",IF(dataset_A!I382=3,"Light Rain/Snow","Heavy Rain/Snow")))</f>
        <v>Mist/Cloudy</v>
      </c>
      <c r="K382" s="38">
        <f>dataset_A!N382</f>
        <v>11</v>
      </c>
      <c r="L382" s="38">
        <f>dataset_A!O382</f>
        <v>52</v>
      </c>
      <c r="M382" s="38">
        <f>dataset_A!P382</f>
        <v>63</v>
      </c>
      <c r="N382" s="38" t="str">
        <f t="shared" si="3"/>
        <v>Ok</v>
      </c>
      <c r="O382" s="38" t="str">
        <f>IF(M382&gt;Analysis!$B$3*1.5,"High",IF(M382&lt;Analysis!$B$3*0.5,"Low","Medium"))</f>
        <v>Medium</v>
      </c>
      <c r="P382" s="38" t="str">
        <f>VLOOKUP(dataset_A!C382,$Q$2:$R$5,2,0)</f>
        <v>Spring</v>
      </c>
      <c r="S382" s="38" t="str">
        <f t="array" ref="S382">INDEX($R$2:$R$5,MATCH(dataset_A!C382,$Q$2:$Q$5,0))</f>
        <v>Spring</v>
      </c>
      <c r="T382" s="38" t="str">
        <f t="shared" si="4"/>
        <v>Match</v>
      </c>
    </row>
    <row r="383" ht="12.75" customHeight="1">
      <c r="A383" s="38">
        <f>dataset_A!A383</f>
        <v>726</v>
      </c>
      <c r="B383" s="39">
        <f>dataset_A!B383</f>
        <v>40576</v>
      </c>
      <c r="C383" s="38">
        <f>dataset_A!F383</f>
        <v>14</v>
      </c>
      <c r="D383" s="38">
        <f>dataset_A!H383</f>
        <v>3</v>
      </c>
      <c r="E383" s="38" t="b">
        <f>dataset_A!G383</f>
        <v>0</v>
      </c>
      <c r="F383" s="38" t="b">
        <f>dataset_A!G383</f>
        <v>0</v>
      </c>
      <c r="G383" s="38" t="str">
        <f t="shared" si="1"/>
        <v>Weekday</v>
      </c>
      <c r="H383" s="38" t="str">
        <f t="shared" si="2"/>
        <v>Afternoon</v>
      </c>
      <c r="I383" s="38" t="str">
        <f>IF(dataset_A!C383=1,"Spring",IF(dataset_A!C383=2,"Summer",IF(dataset_A!C383=3,"Fail","Winter")))</f>
        <v>Spring</v>
      </c>
      <c r="J383" s="38" t="str">
        <f>IF(dataset_A!I383=1,"Clear",IF(dataset_A!I383,"Mist/Cloudy",IF(dataset_A!I383=3,"Light Rain/Snow","Heavy Rain/Snow")))</f>
        <v>Clear</v>
      </c>
      <c r="K383" s="38">
        <f>dataset_A!N383</f>
        <v>2</v>
      </c>
      <c r="L383" s="38">
        <f>dataset_A!O383</f>
        <v>61</v>
      </c>
      <c r="M383" s="38">
        <f>dataset_A!P383</f>
        <v>63</v>
      </c>
      <c r="N383" s="38" t="str">
        <f t="shared" si="3"/>
        <v>Ok</v>
      </c>
      <c r="O383" s="38" t="str">
        <f>IF(M383&gt;Analysis!$B$3*1.5,"High",IF(M383&lt;Analysis!$B$3*0.5,"Low","Medium"))</f>
        <v>Medium</v>
      </c>
      <c r="P383" s="38" t="str">
        <f>VLOOKUP(dataset_A!C383,$Q$2:$R$5,2,0)</f>
        <v>Spring</v>
      </c>
      <c r="S383" s="38" t="str">
        <f t="array" ref="S383">INDEX($R$2:$R$5,MATCH(dataset_A!C383,$Q$2:$Q$5,0))</f>
        <v>Spring</v>
      </c>
      <c r="T383" s="38" t="str">
        <f t="shared" si="4"/>
        <v>Match</v>
      </c>
    </row>
    <row r="384" ht="12.75" customHeight="1">
      <c r="A384" s="38">
        <f>dataset_A!A384</f>
        <v>733</v>
      </c>
      <c r="B384" s="39">
        <f>dataset_A!B384</f>
        <v>40576</v>
      </c>
      <c r="C384" s="38">
        <f>dataset_A!F384</f>
        <v>21</v>
      </c>
      <c r="D384" s="38">
        <f>dataset_A!H384</f>
        <v>3</v>
      </c>
      <c r="E384" s="38" t="b">
        <f>dataset_A!G384</f>
        <v>0</v>
      </c>
      <c r="F384" s="38" t="b">
        <f>dataset_A!G384</f>
        <v>0</v>
      </c>
      <c r="G384" s="38" t="str">
        <f t="shared" si="1"/>
        <v>Weekday</v>
      </c>
      <c r="H384" s="38" t="str">
        <f t="shared" si="2"/>
        <v>Evening</v>
      </c>
      <c r="I384" s="38" t="str">
        <f>IF(dataset_A!C384=1,"Spring",IF(dataset_A!C384=2,"Summer",IF(dataset_A!C384=3,"Fail","Winter")))</f>
        <v>Spring</v>
      </c>
      <c r="J384" s="38" t="str">
        <f>IF(dataset_A!I384=1,"Clear",IF(dataset_A!I384,"Mist/Cloudy",IF(dataset_A!I384=3,"Light Rain/Snow","Heavy Rain/Snow")))</f>
        <v>Clear</v>
      </c>
      <c r="K384" s="38">
        <f>dataset_A!N384</f>
        <v>1</v>
      </c>
      <c r="L384" s="38">
        <f>dataset_A!O384</f>
        <v>62</v>
      </c>
      <c r="M384" s="38">
        <f>dataset_A!P384</f>
        <v>63</v>
      </c>
      <c r="N384" s="38" t="str">
        <f t="shared" si="3"/>
        <v>Ok</v>
      </c>
      <c r="O384" s="38" t="str">
        <f>IF(M384&gt;Analysis!$B$3*1.5,"High",IF(M384&lt;Analysis!$B$3*0.5,"Low","Medium"))</f>
        <v>Medium</v>
      </c>
      <c r="P384" s="38" t="str">
        <f>VLOOKUP(dataset_A!C384,$Q$2:$R$5,2,0)</f>
        <v>Spring</v>
      </c>
      <c r="S384" s="38" t="str">
        <f t="array" ref="S384">INDEX($R$2:$R$5,MATCH(dataset_A!C384,$Q$2:$Q$5,0))</f>
        <v>Spring</v>
      </c>
      <c r="T384" s="38" t="str">
        <f t="shared" si="4"/>
        <v>Match</v>
      </c>
    </row>
    <row r="385" ht="12.75" customHeight="1">
      <c r="A385" s="38">
        <f>dataset_A!A385</f>
        <v>942</v>
      </c>
      <c r="B385" s="39">
        <f>dataset_A!B385</f>
        <v>40585</v>
      </c>
      <c r="C385" s="38">
        <f>dataset_A!F385</f>
        <v>20</v>
      </c>
      <c r="D385" s="38">
        <f>dataset_A!H385</f>
        <v>5</v>
      </c>
      <c r="E385" s="38" t="b">
        <f>dataset_A!G385</f>
        <v>0</v>
      </c>
      <c r="F385" s="38" t="b">
        <f>dataset_A!G385</f>
        <v>0</v>
      </c>
      <c r="G385" s="38" t="str">
        <f t="shared" si="1"/>
        <v>Weekday</v>
      </c>
      <c r="H385" s="38" t="str">
        <f t="shared" si="2"/>
        <v>Evening</v>
      </c>
      <c r="I385" s="38" t="str">
        <f>IF(dataset_A!C385=1,"Spring",IF(dataset_A!C385=2,"Summer",IF(dataset_A!C385=3,"Fail","Winter")))</f>
        <v>Spring</v>
      </c>
      <c r="J385" s="38" t="str">
        <f>IF(dataset_A!I385=1,"Clear",IF(dataset_A!I385,"Mist/Cloudy",IF(dataset_A!I385=3,"Light Rain/Snow","Heavy Rain/Snow")))</f>
        <v>Clear</v>
      </c>
      <c r="K385" s="38">
        <f>dataset_A!N385</f>
        <v>2</v>
      </c>
      <c r="L385" s="38">
        <f>dataset_A!O385</f>
        <v>61</v>
      </c>
      <c r="M385" s="38">
        <f>dataset_A!P385</f>
        <v>63</v>
      </c>
      <c r="N385" s="38" t="str">
        <f t="shared" si="3"/>
        <v>Ok</v>
      </c>
      <c r="O385" s="38" t="str">
        <f>IF(M385&gt;Analysis!$B$3*1.5,"High",IF(M385&lt;Analysis!$B$3*0.5,"Low","Medium"))</f>
        <v>Medium</v>
      </c>
      <c r="P385" s="38" t="str">
        <f>VLOOKUP(dataset_A!C385,$Q$2:$R$5,2,0)</f>
        <v>Spring</v>
      </c>
      <c r="S385" s="38" t="str">
        <f t="array" ref="S385">INDEX($R$2:$R$5,MATCH(dataset_A!C385,$Q$2:$Q$5,0))</f>
        <v>Spring</v>
      </c>
      <c r="T385" s="38" t="str">
        <f t="shared" si="4"/>
        <v>Match</v>
      </c>
    </row>
    <row r="386" ht="12.75" customHeight="1">
      <c r="A386" s="38">
        <f>dataset_A!A386</f>
        <v>106</v>
      </c>
      <c r="B386" s="39">
        <f>dataset_A!B386</f>
        <v>40548</v>
      </c>
      <c r="C386" s="38">
        <f>dataset_A!F386</f>
        <v>14</v>
      </c>
      <c r="D386" s="38">
        <f>dataset_A!H386</f>
        <v>3</v>
      </c>
      <c r="E386" s="38" t="b">
        <f>dataset_A!G386</f>
        <v>0</v>
      </c>
      <c r="F386" s="38" t="b">
        <f>dataset_A!G386</f>
        <v>0</v>
      </c>
      <c r="G386" s="38" t="str">
        <f t="shared" si="1"/>
        <v>Weekday</v>
      </c>
      <c r="H386" s="38" t="str">
        <f t="shared" si="2"/>
        <v>Afternoon</v>
      </c>
      <c r="I386" s="38" t="str">
        <f>IF(dataset_A!C386=1,"Spring",IF(dataset_A!C386=2,"Summer",IF(dataset_A!C386=3,"Fail","Winter")))</f>
        <v>Spring</v>
      </c>
      <c r="J386" s="38" t="str">
        <f>IF(dataset_A!I386=1,"Clear",IF(dataset_A!I386,"Mist/Cloudy",IF(dataset_A!I386=3,"Light Rain/Snow","Heavy Rain/Snow")))</f>
        <v>Clear</v>
      </c>
      <c r="K386" s="38">
        <f>dataset_A!N386</f>
        <v>10</v>
      </c>
      <c r="L386" s="38">
        <f>dataset_A!O386</f>
        <v>52</v>
      </c>
      <c r="M386" s="38">
        <f>dataset_A!P386</f>
        <v>62</v>
      </c>
      <c r="N386" s="38" t="str">
        <f t="shared" si="3"/>
        <v>Ok</v>
      </c>
      <c r="O386" s="38" t="str">
        <f>IF(M386&gt;Analysis!$B$3*1.5,"High",IF(M386&lt;Analysis!$B$3*0.5,"Low","Medium"))</f>
        <v>Medium</v>
      </c>
      <c r="P386" s="38" t="str">
        <f>VLOOKUP(dataset_A!C386,$Q$2:$R$5,2,0)</f>
        <v>Spring</v>
      </c>
      <c r="S386" s="38" t="str">
        <f t="array" ref="S386">INDEX($R$2:$R$5,MATCH(dataset_A!C386,$Q$2:$Q$5,0))</f>
        <v>Spring</v>
      </c>
      <c r="T386" s="38" t="str">
        <f t="shared" si="4"/>
        <v>Match</v>
      </c>
    </row>
    <row r="387" ht="12.75" customHeight="1">
      <c r="A387" s="38">
        <f>dataset_A!A387</f>
        <v>107</v>
      </c>
      <c r="B387" s="39">
        <f>dataset_A!B387</f>
        <v>40548</v>
      </c>
      <c r="C387" s="38">
        <f>dataset_A!F387</f>
        <v>15</v>
      </c>
      <c r="D387" s="38">
        <f>dataset_A!H387</f>
        <v>3</v>
      </c>
      <c r="E387" s="38" t="b">
        <f>dataset_A!G387</f>
        <v>0</v>
      </c>
      <c r="F387" s="38" t="b">
        <f>dataset_A!G387</f>
        <v>0</v>
      </c>
      <c r="G387" s="38" t="str">
        <f t="shared" si="1"/>
        <v>Weekday</v>
      </c>
      <c r="H387" s="38" t="str">
        <f t="shared" si="2"/>
        <v>Afternoon</v>
      </c>
      <c r="I387" s="38" t="str">
        <f>IF(dataset_A!C387=1,"Spring",IF(dataset_A!C387=2,"Summer",IF(dataset_A!C387=3,"Fail","Winter")))</f>
        <v>Spring</v>
      </c>
      <c r="J387" s="38" t="str">
        <f>IF(dataset_A!I387=1,"Clear",IF(dataset_A!I387,"Mist/Cloudy",IF(dataset_A!I387=3,"Light Rain/Snow","Heavy Rain/Snow")))</f>
        <v>Clear</v>
      </c>
      <c r="K387" s="38">
        <f>dataset_A!N387</f>
        <v>7</v>
      </c>
      <c r="L387" s="38">
        <f>dataset_A!O387</f>
        <v>55</v>
      </c>
      <c r="M387" s="38">
        <f>dataset_A!P387</f>
        <v>62</v>
      </c>
      <c r="N387" s="38" t="str">
        <f t="shared" si="3"/>
        <v>Ok</v>
      </c>
      <c r="O387" s="38" t="str">
        <f>IF(M387&gt;Analysis!$B$3*1.5,"High",IF(M387&lt;Analysis!$B$3*0.5,"Low","Medium"))</f>
        <v>Medium</v>
      </c>
      <c r="P387" s="38" t="str">
        <f>VLOOKUP(dataset_A!C387,$Q$2:$R$5,2,0)</f>
        <v>Spring</v>
      </c>
      <c r="S387" s="38" t="str">
        <f t="array" ref="S387">INDEX($R$2:$R$5,MATCH(dataset_A!C387,$Q$2:$Q$5,0))</f>
        <v>Spring</v>
      </c>
      <c r="T387" s="38" t="str">
        <f t="shared" si="4"/>
        <v>Match</v>
      </c>
    </row>
    <row r="388" ht="12.75" customHeight="1">
      <c r="A388" s="38">
        <f>dataset_A!A388</f>
        <v>130</v>
      </c>
      <c r="B388" s="39">
        <f>dataset_A!B388</f>
        <v>40549</v>
      </c>
      <c r="C388" s="38">
        <f>dataset_A!F388</f>
        <v>15</v>
      </c>
      <c r="D388" s="38">
        <f>dataset_A!H388</f>
        <v>4</v>
      </c>
      <c r="E388" s="38" t="b">
        <f>dataset_A!G388</f>
        <v>0</v>
      </c>
      <c r="F388" s="38" t="b">
        <f>dataset_A!G388</f>
        <v>0</v>
      </c>
      <c r="G388" s="38" t="str">
        <f t="shared" si="1"/>
        <v>Weekday</v>
      </c>
      <c r="H388" s="38" t="str">
        <f t="shared" si="2"/>
        <v>Afternoon</v>
      </c>
      <c r="I388" s="38" t="str">
        <f>IF(dataset_A!C388=1,"Spring",IF(dataset_A!C388=2,"Summer",IF(dataset_A!C388=3,"Fail","Winter")))</f>
        <v>Spring</v>
      </c>
      <c r="J388" s="38" t="str">
        <f>IF(dataset_A!I388=1,"Clear",IF(dataset_A!I388,"Mist/Cloudy",IF(dataset_A!I388=3,"Light Rain/Snow","Heavy Rain/Snow")))</f>
        <v>Clear</v>
      </c>
      <c r="K388" s="38">
        <f>dataset_A!N388</f>
        <v>8</v>
      </c>
      <c r="L388" s="38">
        <f>dataset_A!O388</f>
        <v>54</v>
      </c>
      <c r="M388" s="38">
        <f>dataset_A!P388</f>
        <v>62</v>
      </c>
      <c r="N388" s="38" t="str">
        <f t="shared" si="3"/>
        <v>Ok</v>
      </c>
      <c r="O388" s="38" t="str">
        <f>IF(M388&gt;Analysis!$B$3*1.5,"High",IF(M388&lt;Analysis!$B$3*0.5,"Low","Medium"))</f>
        <v>Medium</v>
      </c>
      <c r="P388" s="38" t="str">
        <f>VLOOKUP(dataset_A!C388,$Q$2:$R$5,2,0)</f>
        <v>Spring</v>
      </c>
      <c r="S388" s="38" t="str">
        <f t="array" ref="S388">INDEX($R$2:$R$5,MATCH(dataset_A!C388,$Q$2:$Q$5,0))</f>
        <v>Spring</v>
      </c>
      <c r="T388" s="38" t="str">
        <f t="shared" si="4"/>
        <v>Match</v>
      </c>
    </row>
    <row r="389" ht="12.75" customHeight="1">
      <c r="A389" s="38">
        <f>dataset_A!A389</f>
        <v>173</v>
      </c>
      <c r="B389" s="39">
        <f>dataset_A!B389</f>
        <v>40551</v>
      </c>
      <c r="C389" s="38">
        <f>dataset_A!F389</f>
        <v>11</v>
      </c>
      <c r="D389" s="38">
        <f>dataset_A!H389</f>
        <v>6</v>
      </c>
      <c r="E389" s="38" t="b">
        <f>dataset_A!G389</f>
        <v>0</v>
      </c>
      <c r="F389" s="38" t="b">
        <f>dataset_A!G389</f>
        <v>0</v>
      </c>
      <c r="G389" s="38" t="str">
        <f t="shared" si="1"/>
        <v>Weekend</v>
      </c>
      <c r="H389" s="38" t="str">
        <f t="shared" si="2"/>
        <v>Morning</v>
      </c>
      <c r="I389" s="38" t="str">
        <f>IF(dataset_A!C389=1,"Spring",IF(dataset_A!C389=2,"Summer",IF(dataset_A!C389=3,"Fail","Winter")))</f>
        <v>Spring</v>
      </c>
      <c r="J389" s="38" t="str">
        <f>IF(dataset_A!I389=1,"Clear",IF(dataset_A!I389,"Mist/Cloudy",IF(dataset_A!I389=3,"Light Rain/Snow","Heavy Rain/Snow")))</f>
        <v>Mist/Cloudy</v>
      </c>
      <c r="K389" s="38">
        <f>dataset_A!N389</f>
        <v>2</v>
      </c>
      <c r="L389" s="38">
        <f>dataset_A!O389</f>
        <v>60</v>
      </c>
      <c r="M389" s="38">
        <f>dataset_A!P389</f>
        <v>62</v>
      </c>
      <c r="N389" s="38" t="str">
        <f t="shared" si="3"/>
        <v>Ok</v>
      </c>
      <c r="O389" s="38" t="str">
        <f>IF(M389&gt;Analysis!$B$3*1.5,"High",IF(M389&lt;Analysis!$B$3*0.5,"Low","Medium"))</f>
        <v>Medium</v>
      </c>
      <c r="P389" s="38" t="str">
        <f>VLOOKUP(dataset_A!C389,$Q$2:$R$5,2,0)</f>
        <v>Spring</v>
      </c>
      <c r="S389" s="38" t="str">
        <f t="array" ref="S389">INDEX($R$2:$R$5,MATCH(dataset_A!C389,$Q$2:$Q$5,0))</f>
        <v>Spring</v>
      </c>
      <c r="T389" s="38" t="str">
        <f t="shared" si="4"/>
        <v>Match</v>
      </c>
    </row>
    <row r="390" ht="12.75" customHeight="1">
      <c r="A390" s="38">
        <f>dataset_A!A390</f>
        <v>203</v>
      </c>
      <c r="B390" s="39">
        <f>dataset_A!B390</f>
        <v>40552</v>
      </c>
      <c r="C390" s="38">
        <f>dataset_A!F390</f>
        <v>17</v>
      </c>
      <c r="D390" s="38">
        <f>dataset_A!H390</f>
        <v>0</v>
      </c>
      <c r="E390" s="38" t="b">
        <f>dataset_A!G390</f>
        <v>0</v>
      </c>
      <c r="F390" s="38" t="b">
        <f>dataset_A!G390</f>
        <v>0</v>
      </c>
      <c r="G390" s="38" t="str">
        <f t="shared" si="1"/>
        <v>Weekend</v>
      </c>
      <c r="H390" s="38" t="str">
        <f t="shared" si="2"/>
        <v>Afternoon</v>
      </c>
      <c r="I390" s="38" t="str">
        <f>IF(dataset_A!C390=1,"Spring",IF(dataset_A!C390=2,"Summer",IF(dataset_A!C390=3,"Fail","Winter")))</f>
        <v>Spring</v>
      </c>
      <c r="J390" s="38" t="str">
        <f>IF(dataset_A!I390=1,"Clear",IF(dataset_A!I390,"Mist/Cloudy",IF(dataset_A!I390=3,"Light Rain/Snow","Heavy Rain/Snow")))</f>
        <v>Clear</v>
      </c>
      <c r="K390" s="38">
        <f>dataset_A!N390</f>
        <v>3</v>
      </c>
      <c r="L390" s="38">
        <f>dataset_A!O390</f>
        <v>59</v>
      </c>
      <c r="M390" s="38">
        <f>dataset_A!P390</f>
        <v>62</v>
      </c>
      <c r="N390" s="38" t="str">
        <f t="shared" si="3"/>
        <v>Ok</v>
      </c>
      <c r="O390" s="38" t="str">
        <f>IF(M390&gt;Analysis!$B$3*1.5,"High",IF(M390&lt;Analysis!$B$3*0.5,"Low","Medium"))</f>
        <v>Medium</v>
      </c>
      <c r="P390" s="38" t="str">
        <f>VLOOKUP(dataset_A!C390,$Q$2:$R$5,2,0)</f>
        <v>Spring</v>
      </c>
      <c r="S390" s="38" t="str">
        <f t="array" ref="S390">INDEX($R$2:$R$5,MATCH(dataset_A!C390,$Q$2:$Q$5,0))</f>
        <v>Spring</v>
      </c>
      <c r="T390" s="38" t="str">
        <f t="shared" si="4"/>
        <v>Match</v>
      </c>
    </row>
    <row r="391" ht="12.75" customHeight="1">
      <c r="A391" s="38">
        <f>dataset_A!A391</f>
        <v>470</v>
      </c>
      <c r="B391" s="39">
        <f>dataset_A!B391</f>
        <v>40564</v>
      </c>
      <c r="C391" s="38">
        <f>dataset_A!F391</f>
        <v>14</v>
      </c>
      <c r="D391" s="38">
        <f>dataset_A!H391</f>
        <v>5</v>
      </c>
      <c r="E391" s="38" t="b">
        <f>dataset_A!G391</f>
        <v>0</v>
      </c>
      <c r="F391" s="38" t="b">
        <f>dataset_A!G391</f>
        <v>0</v>
      </c>
      <c r="G391" s="38" t="str">
        <f t="shared" si="1"/>
        <v>Weekday</v>
      </c>
      <c r="H391" s="38" t="str">
        <f t="shared" si="2"/>
        <v>Afternoon</v>
      </c>
      <c r="I391" s="38" t="str">
        <f>IF(dataset_A!C391=1,"Spring",IF(dataset_A!C391=2,"Summer",IF(dataset_A!C391=3,"Fail","Winter")))</f>
        <v>Spring</v>
      </c>
      <c r="J391" s="38" t="str">
        <f>IF(dataset_A!I391=1,"Clear",IF(dataset_A!I391,"Mist/Cloudy",IF(dataset_A!I391=3,"Light Rain/Snow","Heavy Rain/Snow")))</f>
        <v>Clear</v>
      </c>
      <c r="K391" s="38">
        <f>dataset_A!N391</f>
        <v>6</v>
      </c>
      <c r="L391" s="38">
        <f>dataset_A!O391</f>
        <v>56</v>
      </c>
      <c r="M391" s="38">
        <f>dataset_A!P391</f>
        <v>62</v>
      </c>
      <c r="N391" s="38" t="str">
        <f t="shared" si="3"/>
        <v>Ok</v>
      </c>
      <c r="O391" s="38" t="str">
        <f>IF(M391&gt;Analysis!$B$3*1.5,"High",IF(M391&lt;Analysis!$B$3*0.5,"Low","Medium"))</f>
        <v>Medium</v>
      </c>
      <c r="P391" s="38" t="str">
        <f>VLOOKUP(dataset_A!C391,$Q$2:$R$5,2,0)</f>
        <v>Spring</v>
      </c>
      <c r="S391" s="38" t="str">
        <f t="array" ref="S391">INDEX($R$2:$R$5,MATCH(dataset_A!C391,$Q$2:$Q$5,0))</f>
        <v>Spring</v>
      </c>
      <c r="T391" s="38" t="str">
        <f t="shared" si="4"/>
        <v>Match</v>
      </c>
    </row>
    <row r="392" ht="12.75" customHeight="1">
      <c r="A392" s="38">
        <f>dataset_A!A392</f>
        <v>615</v>
      </c>
      <c r="B392" s="39">
        <f>dataset_A!B392</f>
        <v>40571</v>
      </c>
      <c r="C392" s="38">
        <f>dataset_A!F392</f>
        <v>20</v>
      </c>
      <c r="D392" s="38">
        <f>dataset_A!H392</f>
        <v>5</v>
      </c>
      <c r="E392" s="38" t="b">
        <f>dataset_A!G392</f>
        <v>0</v>
      </c>
      <c r="F392" s="38" t="b">
        <f>dataset_A!G392</f>
        <v>0</v>
      </c>
      <c r="G392" s="38" t="str">
        <f t="shared" si="1"/>
        <v>Weekday</v>
      </c>
      <c r="H392" s="38" t="str">
        <f t="shared" si="2"/>
        <v>Evening</v>
      </c>
      <c r="I392" s="38" t="str">
        <f>IF(dataset_A!C392=1,"Spring",IF(dataset_A!C392=2,"Summer",IF(dataset_A!C392=3,"Fail","Winter")))</f>
        <v>Spring</v>
      </c>
      <c r="J392" s="38" t="str">
        <f>IF(dataset_A!I392=1,"Clear",IF(dataset_A!I392,"Mist/Cloudy",IF(dataset_A!I392=3,"Light Rain/Snow","Heavy Rain/Snow")))</f>
        <v>Mist/Cloudy</v>
      </c>
      <c r="K392" s="38">
        <f>dataset_A!N392</f>
        <v>1</v>
      </c>
      <c r="L392" s="38">
        <f>dataset_A!O392</f>
        <v>61</v>
      </c>
      <c r="M392" s="38">
        <f>dataset_A!P392</f>
        <v>62</v>
      </c>
      <c r="N392" s="38" t="str">
        <f t="shared" si="3"/>
        <v>Ok</v>
      </c>
      <c r="O392" s="38" t="str">
        <f>IF(M392&gt;Analysis!$B$3*1.5,"High",IF(M392&lt;Analysis!$B$3*0.5,"Low","Medium"))</f>
        <v>Medium</v>
      </c>
      <c r="P392" s="38" t="str">
        <f>VLOOKUP(dataset_A!C392,$Q$2:$R$5,2,0)</f>
        <v>Spring</v>
      </c>
      <c r="S392" s="38" t="str">
        <f t="array" ref="S392">INDEX($R$2:$R$5,MATCH(dataset_A!C392,$Q$2:$Q$5,0))</f>
        <v>Spring</v>
      </c>
      <c r="T392" s="38" t="str">
        <f t="shared" si="4"/>
        <v>Match</v>
      </c>
    </row>
    <row r="393" ht="12.75" customHeight="1">
      <c r="A393" s="38">
        <f>dataset_A!A393</f>
        <v>828</v>
      </c>
      <c r="B393" s="39">
        <f>dataset_A!B393</f>
        <v>40580</v>
      </c>
      <c r="C393" s="38">
        <f>dataset_A!F393</f>
        <v>22</v>
      </c>
      <c r="D393" s="38">
        <f>dataset_A!H393</f>
        <v>0</v>
      </c>
      <c r="E393" s="38" t="b">
        <f>dataset_A!G393</f>
        <v>0</v>
      </c>
      <c r="F393" s="38" t="b">
        <f>dataset_A!G393</f>
        <v>0</v>
      </c>
      <c r="G393" s="38" t="str">
        <f t="shared" si="1"/>
        <v>Weekend</v>
      </c>
      <c r="H393" s="38" t="str">
        <f t="shared" si="2"/>
        <v>Evening</v>
      </c>
      <c r="I393" s="38" t="str">
        <f>IF(dataset_A!C393=1,"Spring",IF(dataset_A!C393=2,"Summer",IF(dataset_A!C393=3,"Fail","Winter")))</f>
        <v>Spring</v>
      </c>
      <c r="J393" s="38" t="str">
        <f>IF(dataset_A!I393=1,"Clear",IF(dataset_A!I393,"Mist/Cloudy",IF(dataset_A!I393=3,"Light Rain/Snow","Heavy Rain/Snow")))</f>
        <v>Clear</v>
      </c>
      <c r="K393" s="38">
        <f>dataset_A!N393</f>
        <v>5</v>
      </c>
      <c r="L393" s="38">
        <f>dataset_A!O393</f>
        <v>57</v>
      </c>
      <c r="M393" s="38">
        <f>dataset_A!P393</f>
        <v>62</v>
      </c>
      <c r="N393" s="38" t="str">
        <f t="shared" si="3"/>
        <v>Ok</v>
      </c>
      <c r="O393" s="38" t="str">
        <f>IF(M393&gt;Analysis!$B$3*1.5,"High",IF(M393&lt;Analysis!$B$3*0.5,"Low","Medium"))</f>
        <v>Medium</v>
      </c>
      <c r="P393" s="38" t="str">
        <f>VLOOKUP(dataset_A!C393,$Q$2:$R$5,2,0)</f>
        <v>Spring</v>
      </c>
      <c r="S393" s="38" t="str">
        <f t="array" ref="S393">INDEX($R$2:$R$5,MATCH(dataset_A!C393,$Q$2:$Q$5,0))</f>
        <v>Spring</v>
      </c>
      <c r="T393" s="38" t="str">
        <f t="shared" si="4"/>
        <v>Match</v>
      </c>
    </row>
    <row r="394" ht="12.75" customHeight="1">
      <c r="A394" s="38">
        <f>dataset_A!A394</f>
        <v>913</v>
      </c>
      <c r="B394" s="39">
        <f>dataset_A!B394</f>
        <v>40584</v>
      </c>
      <c r="C394" s="38">
        <f>dataset_A!F394</f>
        <v>13</v>
      </c>
      <c r="D394" s="38">
        <f>dataset_A!H394</f>
        <v>4</v>
      </c>
      <c r="E394" s="38" t="b">
        <f>dataset_A!G394</f>
        <v>0</v>
      </c>
      <c r="F394" s="38" t="b">
        <f>dataset_A!G394</f>
        <v>0</v>
      </c>
      <c r="G394" s="38" t="str">
        <f t="shared" si="1"/>
        <v>Weekday</v>
      </c>
      <c r="H394" s="38" t="str">
        <f t="shared" si="2"/>
        <v>Afternoon</v>
      </c>
      <c r="I394" s="38" t="str">
        <f>IF(dataset_A!C394=1,"Spring",IF(dataset_A!C394=2,"Summer",IF(dataset_A!C394=3,"Fail","Winter")))</f>
        <v>Spring</v>
      </c>
      <c r="J394" s="38" t="str">
        <f>IF(dataset_A!I394=1,"Clear",IF(dataset_A!I394,"Mist/Cloudy",IF(dataset_A!I394=3,"Light Rain/Snow","Heavy Rain/Snow")))</f>
        <v>Clear</v>
      </c>
      <c r="K394" s="38">
        <f>dataset_A!N394</f>
        <v>3</v>
      </c>
      <c r="L394" s="38">
        <f>dataset_A!O394</f>
        <v>59</v>
      </c>
      <c r="M394" s="38">
        <f>dataset_A!P394</f>
        <v>62</v>
      </c>
      <c r="N394" s="38" t="str">
        <f t="shared" si="3"/>
        <v>Ok</v>
      </c>
      <c r="O394" s="38" t="str">
        <f>IF(M394&gt;Analysis!$B$3*1.5,"High",IF(M394&lt;Analysis!$B$3*0.5,"Low","Medium"))</f>
        <v>Medium</v>
      </c>
      <c r="P394" s="38" t="str">
        <f>VLOOKUP(dataset_A!C394,$Q$2:$R$5,2,0)</f>
        <v>Spring</v>
      </c>
      <c r="S394" s="38" t="str">
        <f t="array" ref="S394">INDEX($R$2:$R$5,MATCH(dataset_A!C394,$Q$2:$Q$5,0))</f>
        <v>Spring</v>
      </c>
      <c r="T394" s="38" t="str">
        <f t="shared" si="4"/>
        <v>Match</v>
      </c>
    </row>
    <row r="395" ht="12.75" customHeight="1">
      <c r="A395" s="38">
        <f>dataset_A!A395</f>
        <v>58</v>
      </c>
      <c r="B395" s="39">
        <f>dataset_A!B395</f>
        <v>40546</v>
      </c>
      <c r="C395" s="38">
        <f>dataset_A!F395</f>
        <v>12</v>
      </c>
      <c r="D395" s="38">
        <f>dataset_A!H395</f>
        <v>1</v>
      </c>
      <c r="E395" s="38" t="b">
        <f>dataset_A!G395</f>
        <v>0</v>
      </c>
      <c r="F395" s="38" t="b">
        <f>dataset_A!G395</f>
        <v>0</v>
      </c>
      <c r="G395" s="38" t="str">
        <f t="shared" si="1"/>
        <v>Weekday</v>
      </c>
      <c r="H395" s="38" t="str">
        <f t="shared" si="2"/>
        <v>Afternoon</v>
      </c>
      <c r="I395" s="38" t="str">
        <f>IF(dataset_A!C395=1,"Spring",IF(dataset_A!C395=2,"Summer",IF(dataset_A!C395=3,"Fail","Winter")))</f>
        <v>Spring</v>
      </c>
      <c r="J395" s="38" t="str">
        <f>IF(dataset_A!I395=1,"Clear",IF(dataset_A!I395,"Mist/Cloudy",IF(dataset_A!I395=3,"Light Rain/Snow","Heavy Rain/Snow")))</f>
        <v>Clear</v>
      </c>
      <c r="K395" s="38">
        <f>dataset_A!N395</f>
        <v>13</v>
      </c>
      <c r="L395" s="38">
        <f>dataset_A!O395</f>
        <v>48</v>
      </c>
      <c r="M395" s="38">
        <f>dataset_A!P395</f>
        <v>61</v>
      </c>
      <c r="N395" s="38" t="str">
        <f t="shared" si="3"/>
        <v>Ok</v>
      </c>
      <c r="O395" s="38" t="str">
        <f>IF(M395&gt;Analysis!$B$3*1.5,"High",IF(M395&lt;Analysis!$B$3*0.5,"Low","Medium"))</f>
        <v>Medium</v>
      </c>
      <c r="P395" s="38" t="str">
        <f>VLOOKUP(dataset_A!C395,$Q$2:$R$5,2,0)</f>
        <v>Spring</v>
      </c>
      <c r="S395" s="38" t="str">
        <f t="array" ref="S395">INDEX($R$2:$R$5,MATCH(dataset_A!C395,$Q$2:$Q$5,0))</f>
        <v>Spring</v>
      </c>
      <c r="T395" s="38" t="str">
        <f t="shared" si="4"/>
        <v>Match</v>
      </c>
    </row>
    <row r="396" ht="12.75" customHeight="1">
      <c r="A396" s="38">
        <f>dataset_A!A396</f>
        <v>59</v>
      </c>
      <c r="B396" s="39">
        <f>dataset_A!B396</f>
        <v>40546</v>
      </c>
      <c r="C396" s="38">
        <f>dataset_A!F396</f>
        <v>13</v>
      </c>
      <c r="D396" s="38">
        <f>dataset_A!H396</f>
        <v>1</v>
      </c>
      <c r="E396" s="38" t="b">
        <f>dataset_A!G396</f>
        <v>0</v>
      </c>
      <c r="F396" s="38" t="b">
        <f>dataset_A!G396</f>
        <v>0</v>
      </c>
      <c r="G396" s="38" t="str">
        <f t="shared" si="1"/>
        <v>Weekday</v>
      </c>
      <c r="H396" s="38" t="str">
        <f t="shared" si="2"/>
        <v>Afternoon</v>
      </c>
      <c r="I396" s="38" t="str">
        <f>IF(dataset_A!C396=1,"Spring",IF(dataset_A!C396=2,"Summer",IF(dataset_A!C396=3,"Fail","Winter")))</f>
        <v>Spring</v>
      </c>
      <c r="J396" s="38" t="str">
        <f>IF(dataset_A!I396=1,"Clear",IF(dataset_A!I396,"Mist/Cloudy",IF(dataset_A!I396=3,"Light Rain/Snow","Heavy Rain/Snow")))</f>
        <v>Clear</v>
      </c>
      <c r="K396" s="38">
        <f>dataset_A!N396</f>
        <v>8</v>
      </c>
      <c r="L396" s="38">
        <f>dataset_A!O396</f>
        <v>53</v>
      </c>
      <c r="M396" s="38">
        <f>dataset_A!P396</f>
        <v>61</v>
      </c>
      <c r="N396" s="38" t="str">
        <f t="shared" si="3"/>
        <v>Ok</v>
      </c>
      <c r="O396" s="38" t="str">
        <f>IF(M396&gt;Analysis!$B$3*1.5,"High",IF(M396&lt;Analysis!$B$3*0.5,"Low","Medium"))</f>
        <v>Medium</v>
      </c>
      <c r="P396" s="38" t="str">
        <f>VLOOKUP(dataset_A!C396,$Q$2:$R$5,2,0)</f>
        <v>Spring</v>
      </c>
      <c r="S396" s="38" t="str">
        <f t="array" ref="S396">INDEX($R$2:$R$5,MATCH(dataset_A!C396,$Q$2:$Q$5,0))</f>
        <v>Spring</v>
      </c>
      <c r="T396" s="38" t="str">
        <f t="shared" si="4"/>
        <v>Match</v>
      </c>
    </row>
    <row r="397" ht="12.75" customHeight="1">
      <c r="A397" s="38">
        <f>dataset_A!A397</f>
        <v>172</v>
      </c>
      <c r="B397" s="39">
        <f>dataset_A!B397</f>
        <v>40551</v>
      </c>
      <c r="C397" s="38">
        <f>dataset_A!F397</f>
        <v>10</v>
      </c>
      <c r="D397" s="38">
        <f>dataset_A!H397</f>
        <v>6</v>
      </c>
      <c r="E397" s="38" t="b">
        <f>dataset_A!G397</f>
        <v>0</v>
      </c>
      <c r="F397" s="38" t="b">
        <f>dataset_A!G397</f>
        <v>0</v>
      </c>
      <c r="G397" s="38" t="str">
        <f t="shared" si="1"/>
        <v>Weekend</v>
      </c>
      <c r="H397" s="38" t="str">
        <f t="shared" si="2"/>
        <v>Morning</v>
      </c>
      <c r="I397" s="38" t="str">
        <f>IF(dataset_A!C397=1,"Spring",IF(dataset_A!C397=2,"Summer",IF(dataset_A!C397=3,"Fail","Winter")))</f>
        <v>Spring</v>
      </c>
      <c r="J397" s="38" t="str">
        <f>IF(dataset_A!I397=1,"Clear",IF(dataset_A!I397,"Mist/Cloudy",IF(dataset_A!I397=3,"Light Rain/Snow","Heavy Rain/Snow")))</f>
        <v>Mist/Cloudy</v>
      </c>
      <c r="K397" s="38">
        <f>dataset_A!N397</f>
        <v>5</v>
      </c>
      <c r="L397" s="38">
        <f>dataset_A!O397</f>
        <v>56</v>
      </c>
      <c r="M397" s="38">
        <f>dataset_A!P397</f>
        <v>61</v>
      </c>
      <c r="N397" s="38" t="str">
        <f t="shared" si="3"/>
        <v>Ok</v>
      </c>
      <c r="O397" s="38" t="str">
        <f>IF(M397&gt;Analysis!$B$3*1.5,"High",IF(M397&lt;Analysis!$B$3*0.5,"Low","Medium"))</f>
        <v>Medium</v>
      </c>
      <c r="P397" s="38" t="str">
        <f>VLOOKUP(dataset_A!C397,$Q$2:$R$5,2,0)</f>
        <v>Spring</v>
      </c>
      <c r="S397" s="38" t="str">
        <f t="array" ref="S397">INDEX($R$2:$R$5,MATCH(dataset_A!C397,$Q$2:$Q$5,0))</f>
        <v>Spring</v>
      </c>
      <c r="T397" s="38" t="str">
        <f t="shared" si="4"/>
        <v>Match</v>
      </c>
    </row>
    <row r="398" ht="12.75" customHeight="1">
      <c r="A398" s="38">
        <f>dataset_A!A398</f>
        <v>313</v>
      </c>
      <c r="B398" s="39">
        <f>dataset_A!B398</f>
        <v>40557</v>
      </c>
      <c r="C398" s="38">
        <f>dataset_A!F398</f>
        <v>12</v>
      </c>
      <c r="D398" s="38">
        <f>dataset_A!H398</f>
        <v>5</v>
      </c>
      <c r="E398" s="38" t="b">
        <f>dataset_A!G398</f>
        <v>0</v>
      </c>
      <c r="F398" s="38" t="b">
        <f>dataset_A!G398</f>
        <v>0</v>
      </c>
      <c r="G398" s="38" t="str">
        <f t="shared" si="1"/>
        <v>Weekday</v>
      </c>
      <c r="H398" s="38" t="str">
        <f t="shared" si="2"/>
        <v>Afternoon</v>
      </c>
      <c r="I398" s="38" t="str">
        <f>IF(dataset_A!C398=1,"Spring",IF(dataset_A!C398=2,"Summer",IF(dataset_A!C398=3,"Fail","Winter")))</f>
        <v>Spring</v>
      </c>
      <c r="J398" s="38" t="str">
        <f>IF(dataset_A!I398=1,"Clear",IF(dataset_A!I398,"Mist/Cloudy",IF(dataset_A!I398=3,"Light Rain/Snow","Heavy Rain/Snow")))</f>
        <v>Clear</v>
      </c>
      <c r="K398" s="38">
        <f>dataset_A!N398</f>
        <v>2</v>
      </c>
      <c r="L398" s="38">
        <f>dataset_A!O398</f>
        <v>59</v>
      </c>
      <c r="M398" s="38">
        <f>dataset_A!P398</f>
        <v>61</v>
      </c>
      <c r="N398" s="38" t="str">
        <f t="shared" si="3"/>
        <v>Ok</v>
      </c>
      <c r="O398" s="38" t="str">
        <f>IF(M398&gt;Analysis!$B$3*1.5,"High",IF(M398&lt;Analysis!$B$3*0.5,"Low","Medium"))</f>
        <v>Medium</v>
      </c>
      <c r="P398" s="38" t="str">
        <f>VLOOKUP(dataset_A!C398,$Q$2:$R$5,2,0)</f>
        <v>Spring</v>
      </c>
      <c r="S398" s="38" t="str">
        <f t="array" ref="S398">INDEX($R$2:$R$5,MATCH(dataset_A!C398,$Q$2:$Q$5,0))</f>
        <v>Spring</v>
      </c>
      <c r="T398" s="38" t="str">
        <f t="shared" si="4"/>
        <v>Match</v>
      </c>
    </row>
    <row r="399" ht="12.75" customHeight="1">
      <c r="A399" s="38">
        <f>dataset_A!A399</f>
        <v>368</v>
      </c>
      <c r="B399" s="39">
        <f>dataset_A!B399</f>
        <v>40559</v>
      </c>
      <c r="C399" s="38">
        <f>dataset_A!F399</f>
        <v>19</v>
      </c>
      <c r="D399" s="38">
        <f>dataset_A!H399</f>
        <v>0</v>
      </c>
      <c r="E399" s="38" t="b">
        <f>dataset_A!G399</f>
        <v>0</v>
      </c>
      <c r="F399" s="38" t="b">
        <f>dataset_A!G399</f>
        <v>0</v>
      </c>
      <c r="G399" s="38" t="str">
        <f t="shared" si="1"/>
        <v>Weekend</v>
      </c>
      <c r="H399" s="38" t="str">
        <f t="shared" si="2"/>
        <v>Evening</v>
      </c>
      <c r="I399" s="38" t="str">
        <f>IF(dataset_A!C399=1,"Spring",IF(dataset_A!C399=2,"Summer",IF(dataset_A!C399=3,"Fail","Winter")))</f>
        <v>Spring</v>
      </c>
      <c r="J399" s="38" t="str">
        <f>IF(dataset_A!I399=1,"Clear",IF(dataset_A!I399,"Mist/Cloudy",IF(dataset_A!I399=3,"Light Rain/Snow","Heavy Rain/Snow")))</f>
        <v>Clear</v>
      </c>
      <c r="K399" s="38">
        <f>dataset_A!N399</f>
        <v>14</v>
      </c>
      <c r="L399" s="38">
        <f>dataset_A!O399</f>
        <v>47</v>
      </c>
      <c r="M399" s="38">
        <f>dataset_A!P399</f>
        <v>61</v>
      </c>
      <c r="N399" s="38" t="str">
        <f t="shared" si="3"/>
        <v>Ok</v>
      </c>
      <c r="O399" s="38" t="str">
        <f>IF(M399&gt;Analysis!$B$3*1.5,"High",IF(M399&lt;Analysis!$B$3*0.5,"Low","Medium"))</f>
        <v>Medium</v>
      </c>
      <c r="P399" s="38" t="str">
        <f>VLOOKUP(dataset_A!C399,$Q$2:$R$5,2,0)</f>
        <v>Spring</v>
      </c>
      <c r="S399" s="38" t="str">
        <f t="array" ref="S399">INDEX($R$2:$R$5,MATCH(dataset_A!C399,$Q$2:$Q$5,0))</f>
        <v>Spring</v>
      </c>
      <c r="T399" s="38" t="str">
        <f t="shared" si="4"/>
        <v>Match</v>
      </c>
    </row>
    <row r="400" ht="12.75" customHeight="1">
      <c r="A400" s="38">
        <f>dataset_A!A400</f>
        <v>401</v>
      </c>
      <c r="B400" s="39">
        <f>dataset_A!B400</f>
        <v>40561</v>
      </c>
      <c r="C400" s="38">
        <f>dataset_A!F400</f>
        <v>16</v>
      </c>
      <c r="D400" s="38">
        <f>dataset_A!H400</f>
        <v>2</v>
      </c>
      <c r="E400" s="38" t="b">
        <f>dataset_A!G400</f>
        <v>0</v>
      </c>
      <c r="F400" s="38" t="b">
        <f>dataset_A!G400</f>
        <v>0</v>
      </c>
      <c r="G400" s="38" t="str">
        <f t="shared" si="1"/>
        <v>Weekday</v>
      </c>
      <c r="H400" s="38" t="str">
        <f t="shared" si="2"/>
        <v>Afternoon</v>
      </c>
      <c r="I400" s="38" t="str">
        <f>IF(dataset_A!C400=1,"Spring",IF(dataset_A!C400=2,"Summer",IF(dataset_A!C400=3,"Fail","Winter")))</f>
        <v>Spring</v>
      </c>
      <c r="J400" s="38" t="str">
        <f>IF(dataset_A!I400=1,"Clear",IF(dataset_A!I400,"Mist/Cloudy",IF(dataset_A!I400=3,"Light Rain/Snow","Heavy Rain/Snow")))</f>
        <v>Mist/Cloudy</v>
      </c>
      <c r="K400" s="38">
        <f>dataset_A!N400</f>
        <v>0</v>
      </c>
      <c r="L400" s="38">
        <f>dataset_A!O400</f>
        <v>61</v>
      </c>
      <c r="M400" s="38">
        <f>dataset_A!P400</f>
        <v>61</v>
      </c>
      <c r="N400" s="38" t="str">
        <f t="shared" si="3"/>
        <v>Ok</v>
      </c>
      <c r="O400" s="38" t="str">
        <f>IF(M400&gt;Analysis!$B$3*1.5,"High",IF(M400&lt;Analysis!$B$3*0.5,"Low","Medium"))</f>
        <v>Medium</v>
      </c>
      <c r="P400" s="38" t="str">
        <f>VLOOKUP(dataset_A!C400,$Q$2:$R$5,2,0)</f>
        <v>Spring</v>
      </c>
      <c r="S400" s="38" t="str">
        <f t="array" ref="S400">INDEX($R$2:$R$5,MATCH(dataset_A!C400,$Q$2:$Q$5,0))</f>
        <v>Spring</v>
      </c>
      <c r="T400" s="38" t="str">
        <f t="shared" si="4"/>
        <v>Match</v>
      </c>
    </row>
    <row r="401" ht="12.75" customHeight="1">
      <c r="A401" s="38">
        <f>dataset_A!A401</f>
        <v>559</v>
      </c>
      <c r="B401" s="39">
        <f>dataset_A!B401</f>
        <v>40568</v>
      </c>
      <c r="C401" s="38">
        <f>dataset_A!F401</f>
        <v>11</v>
      </c>
      <c r="D401" s="38">
        <f>dataset_A!H401</f>
        <v>2</v>
      </c>
      <c r="E401" s="38" t="b">
        <f>dataset_A!G401</f>
        <v>0</v>
      </c>
      <c r="F401" s="38" t="b">
        <f>dataset_A!G401</f>
        <v>0</v>
      </c>
      <c r="G401" s="38" t="str">
        <f t="shared" si="1"/>
        <v>Weekday</v>
      </c>
      <c r="H401" s="38" t="str">
        <f t="shared" si="2"/>
        <v>Morning</v>
      </c>
      <c r="I401" s="38" t="str">
        <f>IF(dataset_A!C401=1,"Spring",IF(dataset_A!C401=2,"Summer",IF(dataset_A!C401=3,"Fail","Winter")))</f>
        <v>Spring</v>
      </c>
      <c r="J401" s="38" t="str">
        <f>IF(dataset_A!I401=1,"Clear",IF(dataset_A!I401,"Mist/Cloudy",IF(dataset_A!I401=3,"Light Rain/Snow","Heavy Rain/Snow")))</f>
        <v>Mist/Cloudy</v>
      </c>
      <c r="K401" s="38">
        <f>dataset_A!N401</f>
        <v>6</v>
      </c>
      <c r="L401" s="38">
        <f>dataset_A!O401</f>
        <v>55</v>
      </c>
      <c r="M401" s="38">
        <f>dataset_A!P401</f>
        <v>61</v>
      </c>
      <c r="N401" s="38" t="str">
        <f t="shared" si="3"/>
        <v>Ok</v>
      </c>
      <c r="O401" s="38" t="str">
        <f>IF(M401&gt;Analysis!$B$3*1.5,"High",IF(M401&lt;Analysis!$B$3*0.5,"Low","Medium"))</f>
        <v>Medium</v>
      </c>
      <c r="P401" s="38" t="str">
        <f>VLOOKUP(dataset_A!C401,$Q$2:$R$5,2,0)</f>
        <v>Spring</v>
      </c>
      <c r="S401" s="38" t="str">
        <f t="array" ref="S401">INDEX($R$2:$R$5,MATCH(dataset_A!C401,$Q$2:$Q$5,0))</f>
        <v>Spring</v>
      </c>
      <c r="T401" s="38" t="str">
        <f t="shared" si="4"/>
        <v>Match</v>
      </c>
    </row>
    <row r="402" ht="12.75" customHeight="1">
      <c r="A402" s="38">
        <f>dataset_A!A402</f>
        <v>722</v>
      </c>
      <c r="B402" s="39">
        <f>dataset_A!B402</f>
        <v>40576</v>
      </c>
      <c r="C402" s="38">
        <f>dataset_A!F402</f>
        <v>10</v>
      </c>
      <c r="D402" s="38">
        <f>dataset_A!H402</f>
        <v>3</v>
      </c>
      <c r="E402" s="38" t="b">
        <f>dataset_A!G402</f>
        <v>0</v>
      </c>
      <c r="F402" s="38" t="b">
        <f>dataset_A!G402</f>
        <v>0</v>
      </c>
      <c r="G402" s="38" t="str">
        <f t="shared" si="1"/>
        <v>Weekday</v>
      </c>
      <c r="H402" s="38" t="str">
        <f t="shared" si="2"/>
        <v>Morning</v>
      </c>
      <c r="I402" s="38" t="str">
        <f>IF(dataset_A!C402=1,"Spring",IF(dataset_A!C402=2,"Summer",IF(dataset_A!C402=3,"Fail","Winter")))</f>
        <v>Spring</v>
      </c>
      <c r="J402" s="38" t="str">
        <f>IF(dataset_A!I402=1,"Clear",IF(dataset_A!I402,"Mist/Cloudy",IF(dataset_A!I402=3,"Light Rain/Snow","Heavy Rain/Snow")))</f>
        <v>Mist/Cloudy</v>
      </c>
      <c r="K402" s="38">
        <f>dataset_A!N402</f>
        <v>2</v>
      </c>
      <c r="L402" s="38">
        <f>dataset_A!O402</f>
        <v>59</v>
      </c>
      <c r="M402" s="38">
        <f>dataset_A!P402</f>
        <v>61</v>
      </c>
      <c r="N402" s="38" t="str">
        <f t="shared" si="3"/>
        <v>Ok</v>
      </c>
      <c r="O402" s="38" t="str">
        <f>IF(M402&gt;Analysis!$B$3*1.5,"High",IF(M402&lt;Analysis!$B$3*0.5,"Low","Medium"))</f>
        <v>Medium</v>
      </c>
      <c r="P402" s="38" t="str">
        <f>VLOOKUP(dataset_A!C402,$Q$2:$R$5,2,0)</f>
        <v>Spring</v>
      </c>
      <c r="S402" s="38" t="str">
        <f t="array" ref="S402">INDEX($R$2:$R$5,MATCH(dataset_A!C402,$Q$2:$Q$5,0))</f>
        <v>Spring</v>
      </c>
      <c r="T402" s="38" t="str">
        <f t="shared" si="4"/>
        <v>Match</v>
      </c>
    </row>
    <row r="403" ht="12.75" customHeight="1">
      <c r="A403" s="38">
        <f>dataset_A!A403</f>
        <v>889</v>
      </c>
      <c r="B403" s="39">
        <f>dataset_A!B403</f>
        <v>40583</v>
      </c>
      <c r="C403" s="38">
        <f>dataset_A!F403</f>
        <v>12</v>
      </c>
      <c r="D403" s="38">
        <f>dataset_A!H403</f>
        <v>3</v>
      </c>
      <c r="E403" s="38" t="b">
        <f>dataset_A!G403</f>
        <v>0</v>
      </c>
      <c r="F403" s="38" t="b">
        <f>dataset_A!G403</f>
        <v>0</v>
      </c>
      <c r="G403" s="38" t="str">
        <f t="shared" si="1"/>
        <v>Weekday</v>
      </c>
      <c r="H403" s="38" t="str">
        <f t="shared" si="2"/>
        <v>Afternoon</v>
      </c>
      <c r="I403" s="38" t="str">
        <f>IF(dataset_A!C403=1,"Spring",IF(dataset_A!C403=2,"Summer",IF(dataset_A!C403=3,"Fail","Winter")))</f>
        <v>Spring</v>
      </c>
      <c r="J403" s="38" t="str">
        <f>IF(dataset_A!I403=1,"Clear",IF(dataset_A!I403,"Mist/Cloudy",IF(dataset_A!I403=3,"Light Rain/Snow","Heavy Rain/Snow")))</f>
        <v>Mist/Cloudy</v>
      </c>
      <c r="K403" s="38">
        <f>dataset_A!N403</f>
        <v>4</v>
      </c>
      <c r="L403" s="38">
        <f>dataset_A!O403</f>
        <v>57</v>
      </c>
      <c r="M403" s="38">
        <f>dataset_A!P403</f>
        <v>61</v>
      </c>
      <c r="N403" s="38" t="str">
        <f t="shared" si="3"/>
        <v>Ok</v>
      </c>
      <c r="O403" s="38" t="str">
        <f>IF(M403&gt;Analysis!$B$3*1.5,"High",IF(M403&lt;Analysis!$B$3*0.5,"Low","Medium"))</f>
        <v>Medium</v>
      </c>
      <c r="P403" s="38" t="str">
        <f>VLOOKUP(dataset_A!C403,$Q$2:$R$5,2,0)</f>
        <v>Spring</v>
      </c>
      <c r="S403" s="38" t="str">
        <f t="array" ref="S403">INDEX($R$2:$R$5,MATCH(dataset_A!C403,$Q$2:$Q$5,0))</f>
        <v>Spring</v>
      </c>
      <c r="T403" s="38" t="str">
        <f t="shared" si="4"/>
        <v>Match</v>
      </c>
    </row>
    <row r="404" ht="12.75" customHeight="1">
      <c r="A404" s="38">
        <f>dataset_A!A404</f>
        <v>988</v>
      </c>
      <c r="B404" s="39">
        <f>dataset_A!B404</f>
        <v>40587</v>
      </c>
      <c r="C404" s="38">
        <f>dataset_A!F404</f>
        <v>19</v>
      </c>
      <c r="D404" s="38">
        <f>dataset_A!H404</f>
        <v>0</v>
      </c>
      <c r="E404" s="38" t="b">
        <f>dataset_A!G404</f>
        <v>0</v>
      </c>
      <c r="F404" s="38" t="b">
        <f>dataset_A!G404</f>
        <v>0</v>
      </c>
      <c r="G404" s="38" t="str">
        <f t="shared" si="1"/>
        <v>Weekend</v>
      </c>
      <c r="H404" s="38" t="str">
        <f t="shared" si="2"/>
        <v>Evening</v>
      </c>
      <c r="I404" s="38" t="str">
        <f>IF(dataset_A!C404=1,"Spring",IF(dataset_A!C404=2,"Summer",IF(dataset_A!C404=3,"Fail","Winter")))</f>
        <v>Spring</v>
      </c>
      <c r="J404" s="38" t="str">
        <f>IF(dataset_A!I404=1,"Clear",IF(dataset_A!I404,"Mist/Cloudy",IF(dataset_A!I404=3,"Light Rain/Snow","Heavy Rain/Snow")))</f>
        <v>Clear</v>
      </c>
      <c r="K404" s="38">
        <f>dataset_A!N404</f>
        <v>11</v>
      </c>
      <c r="L404" s="38">
        <f>dataset_A!O404</f>
        <v>50</v>
      </c>
      <c r="M404" s="38">
        <f>dataset_A!P404</f>
        <v>61</v>
      </c>
      <c r="N404" s="38" t="str">
        <f t="shared" si="3"/>
        <v>Ok</v>
      </c>
      <c r="O404" s="38" t="str">
        <f>IF(M404&gt;Analysis!$B$3*1.5,"High",IF(M404&lt;Analysis!$B$3*0.5,"Low","Medium"))</f>
        <v>Medium</v>
      </c>
      <c r="P404" s="38" t="str">
        <f>VLOOKUP(dataset_A!C404,$Q$2:$R$5,2,0)</f>
        <v>Spring</v>
      </c>
      <c r="S404" s="38" t="str">
        <f t="array" ref="S404">INDEX($R$2:$R$5,MATCH(dataset_A!C404,$Q$2:$Q$5,0))</f>
        <v>Spring</v>
      </c>
      <c r="T404" s="38" t="str">
        <f t="shared" si="4"/>
        <v>Match</v>
      </c>
    </row>
    <row r="405" ht="12.75" customHeight="1">
      <c r="A405" s="38">
        <f>dataset_A!A405</f>
        <v>293</v>
      </c>
      <c r="B405" s="39">
        <f>dataset_A!B405</f>
        <v>40556</v>
      </c>
      <c r="C405" s="38">
        <f>dataset_A!F405</f>
        <v>15</v>
      </c>
      <c r="D405" s="38">
        <f>dataset_A!H405</f>
        <v>4</v>
      </c>
      <c r="E405" s="38" t="b">
        <f>dataset_A!G405</f>
        <v>0</v>
      </c>
      <c r="F405" s="38" t="b">
        <f>dataset_A!G405</f>
        <v>0</v>
      </c>
      <c r="G405" s="38" t="str">
        <f t="shared" si="1"/>
        <v>Weekday</v>
      </c>
      <c r="H405" s="38" t="str">
        <f t="shared" si="2"/>
        <v>Afternoon</v>
      </c>
      <c r="I405" s="38" t="str">
        <f>IF(dataset_A!C405=1,"Spring",IF(dataset_A!C405=2,"Summer",IF(dataset_A!C405=3,"Fail","Winter")))</f>
        <v>Spring</v>
      </c>
      <c r="J405" s="38" t="str">
        <f>IF(dataset_A!I405=1,"Clear",IF(dataset_A!I405,"Mist/Cloudy",IF(dataset_A!I405=3,"Light Rain/Snow","Heavy Rain/Snow")))</f>
        <v>Clear</v>
      </c>
      <c r="K405" s="38">
        <f>dataset_A!N405</f>
        <v>5</v>
      </c>
      <c r="L405" s="38">
        <f>dataset_A!O405</f>
        <v>55</v>
      </c>
      <c r="M405" s="38">
        <f>dataset_A!P405</f>
        <v>60</v>
      </c>
      <c r="N405" s="38" t="str">
        <f t="shared" si="3"/>
        <v>Ok</v>
      </c>
      <c r="O405" s="38" t="str">
        <f>IF(M405&gt;Analysis!$B$3*1.5,"High",IF(M405&lt;Analysis!$B$3*0.5,"Low","Medium"))</f>
        <v>Medium</v>
      </c>
      <c r="P405" s="38" t="str">
        <f>VLOOKUP(dataset_A!C405,$Q$2:$R$5,2,0)</f>
        <v>Spring</v>
      </c>
      <c r="S405" s="38" t="str">
        <f t="array" ref="S405">INDEX($R$2:$R$5,MATCH(dataset_A!C405,$Q$2:$Q$5,0))</f>
        <v>Spring</v>
      </c>
      <c r="T405" s="38" t="str">
        <f t="shared" si="4"/>
        <v>Match</v>
      </c>
    </row>
    <row r="406" ht="12.75" customHeight="1">
      <c r="A406" s="38">
        <f>dataset_A!A406</f>
        <v>392</v>
      </c>
      <c r="B406" s="39">
        <f>dataset_A!B406</f>
        <v>40560</v>
      </c>
      <c r="C406" s="38">
        <f>dataset_A!F406</f>
        <v>19</v>
      </c>
      <c r="D406" s="38">
        <f>dataset_A!H406</f>
        <v>1</v>
      </c>
      <c r="E406" s="38" t="b">
        <f>dataset_A!G406</f>
        <v>1</v>
      </c>
      <c r="F406" s="38" t="b">
        <f>dataset_A!G406</f>
        <v>1</v>
      </c>
      <c r="G406" s="38" t="str">
        <f t="shared" si="1"/>
        <v>Weekday</v>
      </c>
      <c r="H406" s="38" t="str">
        <f t="shared" si="2"/>
        <v>Evening</v>
      </c>
      <c r="I406" s="38" t="str">
        <f>IF(dataset_A!C406=1,"Spring",IF(dataset_A!C406=2,"Summer",IF(dataset_A!C406=3,"Fail","Winter")))</f>
        <v>Spring</v>
      </c>
      <c r="J406" s="38" t="str">
        <f>IF(dataset_A!I406=1,"Clear",IF(dataset_A!I406,"Mist/Cloudy",IF(dataset_A!I406=3,"Light Rain/Snow","Heavy Rain/Snow")))</f>
        <v>Mist/Cloudy</v>
      </c>
      <c r="K406" s="38">
        <f>dataset_A!N406</f>
        <v>2</v>
      </c>
      <c r="L406" s="38">
        <f>dataset_A!O406</f>
        <v>58</v>
      </c>
      <c r="M406" s="38">
        <f>dataset_A!P406</f>
        <v>60</v>
      </c>
      <c r="N406" s="38" t="str">
        <f t="shared" si="3"/>
        <v>Ok</v>
      </c>
      <c r="O406" s="38" t="str">
        <f>IF(M406&gt;Analysis!$B$3*1.5,"High",IF(M406&lt;Analysis!$B$3*0.5,"Low","Medium"))</f>
        <v>Medium</v>
      </c>
      <c r="P406" s="38" t="str">
        <f>VLOOKUP(dataset_A!C406,$Q$2:$R$5,2,0)</f>
        <v>Spring</v>
      </c>
      <c r="S406" s="38" t="str">
        <f t="array" ref="S406">INDEX($R$2:$R$5,MATCH(dataset_A!C406,$Q$2:$Q$5,0))</f>
        <v>Spring</v>
      </c>
      <c r="T406" s="38" t="str">
        <f t="shared" si="4"/>
        <v>Match</v>
      </c>
    </row>
    <row r="407" ht="12.75" customHeight="1">
      <c r="A407" s="38">
        <f>dataset_A!A407</f>
        <v>538</v>
      </c>
      <c r="B407" s="39">
        <f>dataset_A!B407</f>
        <v>40567</v>
      </c>
      <c r="C407" s="38">
        <f>dataset_A!F407</f>
        <v>13</v>
      </c>
      <c r="D407" s="38">
        <f>dataset_A!H407</f>
        <v>1</v>
      </c>
      <c r="E407" s="38" t="b">
        <f>dataset_A!G407</f>
        <v>0</v>
      </c>
      <c r="F407" s="38" t="b">
        <f>dataset_A!G407</f>
        <v>0</v>
      </c>
      <c r="G407" s="38" t="str">
        <f t="shared" si="1"/>
        <v>Weekday</v>
      </c>
      <c r="H407" s="38" t="str">
        <f t="shared" si="2"/>
        <v>Afternoon</v>
      </c>
      <c r="I407" s="38" t="str">
        <f>IF(dataset_A!C407=1,"Spring",IF(dataset_A!C407=2,"Summer",IF(dataset_A!C407=3,"Fail","Winter")))</f>
        <v>Spring</v>
      </c>
      <c r="J407" s="38" t="str">
        <f>IF(dataset_A!I407=1,"Clear",IF(dataset_A!I407,"Mist/Cloudy",IF(dataset_A!I407=3,"Light Rain/Snow","Heavy Rain/Snow")))</f>
        <v>Mist/Cloudy</v>
      </c>
      <c r="K407" s="38">
        <f>dataset_A!N407</f>
        <v>6</v>
      </c>
      <c r="L407" s="38">
        <f>dataset_A!O407</f>
        <v>54</v>
      </c>
      <c r="M407" s="38">
        <f>dataset_A!P407</f>
        <v>60</v>
      </c>
      <c r="N407" s="38" t="str">
        <f t="shared" si="3"/>
        <v>Ok</v>
      </c>
      <c r="O407" s="38" t="str">
        <f>IF(M407&gt;Analysis!$B$3*1.5,"High",IF(M407&lt;Analysis!$B$3*0.5,"Low","Medium"))</f>
        <v>Medium</v>
      </c>
      <c r="P407" s="38" t="str">
        <f>VLOOKUP(dataset_A!C407,$Q$2:$R$5,2,0)</f>
        <v>Spring</v>
      </c>
      <c r="S407" s="38" t="str">
        <f t="array" ref="S407">INDEX($R$2:$R$5,MATCH(dataset_A!C407,$Q$2:$Q$5,0))</f>
        <v>Spring</v>
      </c>
      <c r="T407" s="38" t="str">
        <f t="shared" si="4"/>
        <v>Match</v>
      </c>
    </row>
    <row r="408" ht="12.75" customHeight="1">
      <c r="A408" s="38">
        <f>dataset_A!A408</f>
        <v>602</v>
      </c>
      <c r="B408" s="39">
        <f>dataset_A!B408</f>
        <v>40571</v>
      </c>
      <c r="C408" s="38">
        <f>dataset_A!F408</f>
        <v>7</v>
      </c>
      <c r="D408" s="38">
        <f>dataset_A!H408</f>
        <v>5</v>
      </c>
      <c r="E408" s="38" t="b">
        <f>dataset_A!G408</f>
        <v>0</v>
      </c>
      <c r="F408" s="38" t="b">
        <f>dataset_A!G408</f>
        <v>0</v>
      </c>
      <c r="G408" s="38" t="str">
        <f t="shared" si="1"/>
        <v>Weekday</v>
      </c>
      <c r="H408" s="38" t="str">
        <f t="shared" si="2"/>
        <v>Morning</v>
      </c>
      <c r="I408" s="38" t="str">
        <f>IF(dataset_A!C408=1,"Spring",IF(dataset_A!C408=2,"Summer",IF(dataset_A!C408=3,"Fail","Winter")))</f>
        <v>Spring</v>
      </c>
      <c r="J408" s="38" t="str">
        <f>IF(dataset_A!I408=1,"Clear",IF(dataset_A!I408,"Mist/Cloudy",IF(dataset_A!I408=3,"Light Rain/Snow","Heavy Rain/Snow")))</f>
        <v>Mist/Cloudy</v>
      </c>
      <c r="K408" s="38">
        <f>dataset_A!N408</f>
        <v>2</v>
      </c>
      <c r="L408" s="38">
        <f>dataset_A!O408</f>
        <v>58</v>
      </c>
      <c r="M408" s="38">
        <f>dataset_A!P408</f>
        <v>60</v>
      </c>
      <c r="N408" s="38" t="str">
        <f t="shared" si="3"/>
        <v>Ok</v>
      </c>
      <c r="O408" s="38" t="str">
        <f>IF(M408&gt;Analysis!$B$3*1.5,"High",IF(M408&lt;Analysis!$B$3*0.5,"Low","Medium"))</f>
        <v>Medium</v>
      </c>
      <c r="P408" s="38" t="str">
        <f>VLOOKUP(dataset_A!C408,$Q$2:$R$5,2,0)</f>
        <v>Spring</v>
      </c>
      <c r="S408" s="38" t="str">
        <f t="array" ref="S408">INDEX($R$2:$R$5,MATCH(dataset_A!C408,$Q$2:$Q$5,0))</f>
        <v>Spring</v>
      </c>
      <c r="T408" s="38" t="str">
        <f t="shared" si="4"/>
        <v>Match</v>
      </c>
    </row>
    <row r="409" ht="12.75" customHeight="1">
      <c r="A409" s="38">
        <f>dataset_A!A409</f>
        <v>750</v>
      </c>
      <c r="B409" s="39">
        <f>dataset_A!B409</f>
        <v>40577</v>
      </c>
      <c r="C409" s="38">
        <f>dataset_A!F409</f>
        <v>15</v>
      </c>
      <c r="D409" s="38">
        <f>dataset_A!H409</f>
        <v>4</v>
      </c>
      <c r="E409" s="38" t="b">
        <f>dataset_A!G409</f>
        <v>0</v>
      </c>
      <c r="F409" s="38" t="b">
        <f>dataset_A!G409</f>
        <v>0</v>
      </c>
      <c r="G409" s="38" t="str">
        <f t="shared" si="1"/>
        <v>Weekday</v>
      </c>
      <c r="H409" s="38" t="str">
        <f t="shared" si="2"/>
        <v>Afternoon</v>
      </c>
      <c r="I409" s="38" t="str">
        <f>IF(dataset_A!C409=1,"Spring",IF(dataset_A!C409=2,"Summer",IF(dataset_A!C409=3,"Fail","Winter")))</f>
        <v>Spring</v>
      </c>
      <c r="J409" s="38" t="str">
        <f>IF(dataset_A!I409=1,"Clear",IF(dataset_A!I409,"Mist/Cloudy",IF(dataset_A!I409=3,"Light Rain/Snow","Heavy Rain/Snow")))</f>
        <v>Clear</v>
      </c>
      <c r="K409" s="38">
        <f>dataset_A!N409</f>
        <v>4</v>
      </c>
      <c r="L409" s="38">
        <f>dataset_A!O409</f>
        <v>56</v>
      </c>
      <c r="M409" s="38">
        <f>dataset_A!P409</f>
        <v>60</v>
      </c>
      <c r="N409" s="38" t="str">
        <f t="shared" si="3"/>
        <v>Ok</v>
      </c>
      <c r="O409" s="38" t="str">
        <f>IF(M409&gt;Analysis!$B$3*1.5,"High",IF(M409&lt;Analysis!$B$3*0.5,"Low","Medium"))</f>
        <v>Medium</v>
      </c>
      <c r="P409" s="38" t="str">
        <f>VLOOKUP(dataset_A!C409,$Q$2:$R$5,2,0)</f>
        <v>Spring</v>
      </c>
      <c r="S409" s="38" t="str">
        <f t="array" ref="S409">INDEX($R$2:$R$5,MATCH(dataset_A!C409,$Q$2:$Q$5,0))</f>
        <v>Spring</v>
      </c>
      <c r="T409" s="38" t="str">
        <f t="shared" si="4"/>
        <v>Match</v>
      </c>
    </row>
    <row r="410" ht="12.75" customHeight="1">
      <c r="A410" s="38">
        <f>dataset_A!A410</f>
        <v>797</v>
      </c>
      <c r="B410" s="39">
        <f>dataset_A!B410</f>
        <v>40579</v>
      </c>
      <c r="C410" s="38">
        <f>dataset_A!F410</f>
        <v>15</v>
      </c>
      <c r="D410" s="38">
        <f>dataset_A!H410</f>
        <v>6</v>
      </c>
      <c r="E410" s="38" t="b">
        <f>dataset_A!G410</f>
        <v>0</v>
      </c>
      <c r="F410" s="38" t="b">
        <f>dataset_A!G410</f>
        <v>0</v>
      </c>
      <c r="G410" s="38" t="str">
        <f t="shared" si="1"/>
        <v>Weekend</v>
      </c>
      <c r="H410" s="38" t="str">
        <f t="shared" si="2"/>
        <v>Afternoon</v>
      </c>
      <c r="I410" s="38" t="str">
        <f>IF(dataset_A!C410=1,"Spring",IF(dataset_A!C410=2,"Summer",IF(dataset_A!C410=3,"Fail","Winter")))</f>
        <v>Spring</v>
      </c>
      <c r="J410" s="38" t="str">
        <f>IF(dataset_A!I410=1,"Clear",IF(dataset_A!I410,"Mist/Cloudy",IF(dataset_A!I410=3,"Light Rain/Snow","Heavy Rain/Snow")))</f>
        <v>Mist/Cloudy</v>
      </c>
      <c r="K410" s="38">
        <f>dataset_A!N410</f>
        <v>11</v>
      </c>
      <c r="L410" s="38">
        <f>dataset_A!O410</f>
        <v>49</v>
      </c>
      <c r="M410" s="38">
        <f>dataset_A!P410</f>
        <v>60</v>
      </c>
      <c r="N410" s="38" t="str">
        <f t="shared" si="3"/>
        <v>Ok</v>
      </c>
      <c r="O410" s="38" t="str">
        <f>IF(M410&gt;Analysis!$B$3*1.5,"High",IF(M410&lt;Analysis!$B$3*0.5,"Low","Medium"))</f>
        <v>Medium</v>
      </c>
      <c r="P410" s="38" t="str">
        <f>VLOOKUP(dataset_A!C410,$Q$2:$R$5,2,0)</f>
        <v>Spring</v>
      </c>
      <c r="S410" s="38" t="str">
        <f t="array" ref="S410">INDEX($R$2:$R$5,MATCH(dataset_A!C410,$Q$2:$Q$5,0))</f>
        <v>Spring</v>
      </c>
      <c r="T410" s="38" t="str">
        <f t="shared" si="4"/>
        <v>Match</v>
      </c>
    </row>
    <row r="411" ht="12.75" customHeight="1">
      <c r="A411" s="38">
        <f>dataset_A!A411</f>
        <v>844</v>
      </c>
      <c r="B411" s="39">
        <f>dataset_A!B411</f>
        <v>40581</v>
      </c>
      <c r="C411" s="38">
        <f>dataset_A!F411</f>
        <v>14</v>
      </c>
      <c r="D411" s="38">
        <f>dataset_A!H411</f>
        <v>1</v>
      </c>
      <c r="E411" s="38" t="b">
        <f>dataset_A!G411</f>
        <v>0</v>
      </c>
      <c r="F411" s="38" t="b">
        <f>dataset_A!G411</f>
        <v>0</v>
      </c>
      <c r="G411" s="38" t="str">
        <f t="shared" si="1"/>
        <v>Weekday</v>
      </c>
      <c r="H411" s="38" t="str">
        <f t="shared" si="2"/>
        <v>Afternoon</v>
      </c>
      <c r="I411" s="38" t="str">
        <f>IF(dataset_A!C411=1,"Spring",IF(dataset_A!C411=2,"Summer",IF(dataset_A!C411=3,"Fail","Winter")))</f>
        <v>Spring</v>
      </c>
      <c r="J411" s="38" t="str">
        <f>IF(dataset_A!I411=1,"Clear",IF(dataset_A!I411,"Mist/Cloudy",IF(dataset_A!I411=3,"Light Rain/Snow","Heavy Rain/Snow")))</f>
        <v>Mist/Cloudy</v>
      </c>
      <c r="K411" s="38">
        <f>dataset_A!N411</f>
        <v>8</v>
      </c>
      <c r="L411" s="38">
        <f>dataset_A!O411</f>
        <v>52</v>
      </c>
      <c r="M411" s="38">
        <f>dataset_A!P411</f>
        <v>60</v>
      </c>
      <c r="N411" s="38" t="str">
        <f t="shared" si="3"/>
        <v>Ok</v>
      </c>
      <c r="O411" s="38" t="str">
        <f>IF(M411&gt;Analysis!$B$3*1.5,"High",IF(M411&lt;Analysis!$B$3*0.5,"Low","Medium"))</f>
        <v>Medium</v>
      </c>
      <c r="P411" s="38" t="str">
        <f>VLOOKUP(dataset_A!C411,$Q$2:$R$5,2,0)</f>
        <v>Spring</v>
      </c>
      <c r="S411" s="38" t="str">
        <f t="array" ref="S411">INDEX($R$2:$R$5,MATCH(dataset_A!C411,$Q$2:$Q$5,0))</f>
        <v>Spring</v>
      </c>
      <c r="T411" s="38" t="str">
        <f t="shared" si="4"/>
        <v>Match</v>
      </c>
    </row>
    <row r="412" ht="12.75" customHeight="1">
      <c r="A412" s="38">
        <f>dataset_A!A412</f>
        <v>38</v>
      </c>
      <c r="B412" s="39">
        <f>dataset_A!B412</f>
        <v>40545</v>
      </c>
      <c r="C412" s="38">
        <f>dataset_A!F412</f>
        <v>14</v>
      </c>
      <c r="D412" s="38">
        <f>dataset_A!H412</f>
        <v>0</v>
      </c>
      <c r="E412" s="38" t="b">
        <f>dataset_A!G412</f>
        <v>0</v>
      </c>
      <c r="F412" s="38" t="b">
        <f>dataset_A!G412</f>
        <v>0</v>
      </c>
      <c r="G412" s="38" t="str">
        <f t="shared" si="1"/>
        <v>Weekend</v>
      </c>
      <c r="H412" s="38" t="str">
        <f t="shared" si="2"/>
        <v>Afternoon</v>
      </c>
      <c r="I412" s="38" t="str">
        <f>IF(dataset_A!C412=1,"Spring",IF(dataset_A!C412=2,"Summer",IF(dataset_A!C412=3,"Fail","Winter")))</f>
        <v>Spring</v>
      </c>
      <c r="J412" s="38" t="str">
        <f>IF(dataset_A!I412=1,"Clear",IF(dataset_A!I412,"Mist/Cloudy",IF(dataset_A!I412=3,"Light Rain/Snow","Heavy Rain/Snow")))</f>
        <v>Mist/Cloudy</v>
      </c>
      <c r="K412" s="38">
        <f>dataset_A!N412</f>
        <v>4</v>
      </c>
      <c r="L412" s="38">
        <f>dataset_A!O412</f>
        <v>55</v>
      </c>
      <c r="M412" s="38">
        <f>dataset_A!P412</f>
        <v>59</v>
      </c>
      <c r="N412" s="38" t="str">
        <f t="shared" si="3"/>
        <v>Ok</v>
      </c>
      <c r="O412" s="38" t="str">
        <f>IF(M412&gt;Analysis!$B$3*1.5,"High",IF(M412&lt;Analysis!$B$3*0.5,"Low","Medium"))</f>
        <v>Medium</v>
      </c>
      <c r="P412" s="38" t="str">
        <f>VLOOKUP(dataset_A!C412,$Q$2:$R$5,2,0)</f>
        <v>Spring</v>
      </c>
      <c r="S412" s="38" t="str">
        <f t="array" ref="S412">INDEX($R$2:$R$5,MATCH(dataset_A!C412,$Q$2:$Q$5,0))</f>
        <v>Spring</v>
      </c>
      <c r="T412" s="38" t="str">
        <f t="shared" si="4"/>
        <v>Match</v>
      </c>
    </row>
    <row r="413" ht="12.75" customHeight="1">
      <c r="A413" s="38">
        <f>dataset_A!A413</f>
        <v>126</v>
      </c>
      <c r="B413" s="39">
        <f>dataset_A!B413</f>
        <v>40549</v>
      </c>
      <c r="C413" s="38">
        <f>dataset_A!F413</f>
        <v>11</v>
      </c>
      <c r="D413" s="38">
        <f>dataset_A!H413</f>
        <v>4</v>
      </c>
      <c r="E413" s="38" t="b">
        <f>dataset_A!G413</f>
        <v>0</v>
      </c>
      <c r="F413" s="38" t="b">
        <f>dataset_A!G413</f>
        <v>0</v>
      </c>
      <c r="G413" s="38" t="str">
        <f t="shared" si="1"/>
        <v>Weekday</v>
      </c>
      <c r="H413" s="38" t="str">
        <f t="shared" si="2"/>
        <v>Morning</v>
      </c>
      <c r="I413" s="38" t="str">
        <f>IF(dataset_A!C413=1,"Spring",IF(dataset_A!C413=2,"Summer",IF(dataset_A!C413=3,"Fail","Winter")))</f>
        <v>Spring</v>
      </c>
      <c r="J413" s="38" t="str">
        <f>IF(dataset_A!I413=1,"Clear",IF(dataset_A!I413,"Mist/Cloudy",IF(dataset_A!I413=3,"Light Rain/Snow","Heavy Rain/Snow")))</f>
        <v>Clear</v>
      </c>
      <c r="K413" s="38">
        <f>dataset_A!N413</f>
        <v>2</v>
      </c>
      <c r="L413" s="38">
        <f>dataset_A!O413</f>
        <v>57</v>
      </c>
      <c r="M413" s="38">
        <f>dataset_A!P413</f>
        <v>59</v>
      </c>
      <c r="N413" s="38" t="str">
        <f t="shared" si="3"/>
        <v>Ok</v>
      </c>
      <c r="O413" s="38" t="str">
        <f>IF(M413&gt;Analysis!$B$3*1.5,"High",IF(M413&lt;Analysis!$B$3*0.5,"Low","Medium"))</f>
        <v>Medium</v>
      </c>
      <c r="P413" s="38" t="str">
        <f>VLOOKUP(dataset_A!C413,$Q$2:$R$5,2,0)</f>
        <v>Spring</v>
      </c>
      <c r="S413" s="38" t="str">
        <f t="array" ref="S413">INDEX($R$2:$R$5,MATCH(dataset_A!C413,$Q$2:$Q$5,0))</f>
        <v>Spring</v>
      </c>
      <c r="T413" s="38" t="str">
        <f t="shared" si="4"/>
        <v>Match</v>
      </c>
    </row>
    <row r="414" ht="12.75" customHeight="1">
      <c r="A414" s="38">
        <f>dataset_A!A414</f>
        <v>150</v>
      </c>
      <c r="B414" s="39">
        <f>dataset_A!B414</f>
        <v>40550</v>
      </c>
      <c r="C414" s="38">
        <f>dataset_A!F414</f>
        <v>12</v>
      </c>
      <c r="D414" s="38">
        <f>dataset_A!H414</f>
        <v>5</v>
      </c>
      <c r="E414" s="38" t="b">
        <f>dataset_A!G414</f>
        <v>0</v>
      </c>
      <c r="F414" s="38" t="b">
        <f>dataset_A!G414</f>
        <v>0</v>
      </c>
      <c r="G414" s="38" t="str">
        <f t="shared" si="1"/>
        <v>Weekday</v>
      </c>
      <c r="H414" s="38" t="str">
        <f t="shared" si="2"/>
        <v>Afternoon</v>
      </c>
      <c r="I414" s="38" t="str">
        <f>IF(dataset_A!C414=1,"Spring",IF(dataset_A!C414=2,"Summer",IF(dataset_A!C414=3,"Fail","Winter")))</f>
        <v>Spring</v>
      </c>
      <c r="J414" s="38" t="str">
        <f>IF(dataset_A!I414=1,"Clear",IF(dataset_A!I414,"Mist/Cloudy",IF(dataset_A!I414=3,"Light Rain/Snow","Heavy Rain/Snow")))</f>
        <v>Mist/Cloudy</v>
      </c>
      <c r="K414" s="38">
        <f>dataset_A!N414</f>
        <v>9</v>
      </c>
      <c r="L414" s="38">
        <f>dataset_A!O414</f>
        <v>50</v>
      </c>
      <c r="M414" s="38">
        <f>dataset_A!P414</f>
        <v>59</v>
      </c>
      <c r="N414" s="38" t="str">
        <f t="shared" si="3"/>
        <v>Ok</v>
      </c>
      <c r="O414" s="38" t="str">
        <f>IF(M414&gt;Analysis!$B$3*1.5,"High",IF(M414&lt;Analysis!$B$3*0.5,"Low","Medium"))</f>
        <v>Medium</v>
      </c>
      <c r="P414" s="38" t="str">
        <f>VLOOKUP(dataset_A!C414,$Q$2:$R$5,2,0)</f>
        <v>Spring</v>
      </c>
      <c r="S414" s="38" t="str">
        <f t="array" ref="S414">INDEX($R$2:$R$5,MATCH(dataset_A!C414,$Q$2:$Q$5,0))</f>
        <v>Spring</v>
      </c>
      <c r="T414" s="38" t="str">
        <f t="shared" si="4"/>
        <v>Match</v>
      </c>
    </row>
    <row r="415" ht="12.75" customHeight="1">
      <c r="A415" s="38">
        <f>dataset_A!A415</f>
        <v>335</v>
      </c>
      <c r="B415" s="39">
        <f>dataset_A!B415</f>
        <v>40558</v>
      </c>
      <c r="C415" s="38">
        <f>dataset_A!F415</f>
        <v>10</v>
      </c>
      <c r="D415" s="38">
        <f>dataset_A!H415</f>
        <v>6</v>
      </c>
      <c r="E415" s="38" t="b">
        <f>dataset_A!G415</f>
        <v>0</v>
      </c>
      <c r="F415" s="38" t="b">
        <f>dataset_A!G415</f>
        <v>0</v>
      </c>
      <c r="G415" s="38" t="str">
        <f t="shared" si="1"/>
        <v>Weekend</v>
      </c>
      <c r="H415" s="38" t="str">
        <f t="shared" si="2"/>
        <v>Morning</v>
      </c>
      <c r="I415" s="38" t="str">
        <f>IF(dataset_A!C415=1,"Spring",IF(dataset_A!C415=2,"Summer",IF(dataset_A!C415=3,"Fail","Winter")))</f>
        <v>Spring</v>
      </c>
      <c r="J415" s="38" t="str">
        <f>IF(dataset_A!I415=1,"Clear",IF(dataset_A!I415,"Mist/Cloudy",IF(dataset_A!I415=3,"Light Rain/Snow","Heavy Rain/Snow")))</f>
        <v>Clear</v>
      </c>
      <c r="K415" s="38">
        <f>dataset_A!N415</f>
        <v>2</v>
      </c>
      <c r="L415" s="38">
        <f>dataset_A!O415</f>
        <v>57</v>
      </c>
      <c r="M415" s="38">
        <f>dataset_A!P415</f>
        <v>59</v>
      </c>
      <c r="N415" s="38" t="str">
        <f t="shared" si="3"/>
        <v>Ok</v>
      </c>
      <c r="O415" s="38" t="str">
        <f>IF(M415&gt;Analysis!$B$3*1.5,"High",IF(M415&lt;Analysis!$B$3*0.5,"Low","Medium"))</f>
        <v>Medium</v>
      </c>
      <c r="P415" s="38" t="str">
        <f>VLOOKUP(dataset_A!C415,$Q$2:$R$5,2,0)</f>
        <v>Spring</v>
      </c>
      <c r="S415" s="38" t="str">
        <f t="array" ref="S415">INDEX($R$2:$R$5,MATCH(dataset_A!C415,$Q$2:$Q$5,0))</f>
        <v>Spring</v>
      </c>
      <c r="T415" s="38" t="str">
        <f t="shared" si="4"/>
        <v>Match</v>
      </c>
    </row>
    <row r="416" ht="12.75" customHeight="1">
      <c r="A416" s="38">
        <f>dataset_A!A416</f>
        <v>429</v>
      </c>
      <c r="B416" s="39">
        <f>dataset_A!B416</f>
        <v>40562</v>
      </c>
      <c r="C416" s="38">
        <f>dataset_A!F416</f>
        <v>21</v>
      </c>
      <c r="D416" s="38">
        <f>dataset_A!H416</f>
        <v>3</v>
      </c>
      <c r="E416" s="38" t="b">
        <f>dataset_A!G416</f>
        <v>0</v>
      </c>
      <c r="F416" s="38" t="b">
        <f>dataset_A!G416</f>
        <v>0</v>
      </c>
      <c r="G416" s="38" t="str">
        <f t="shared" si="1"/>
        <v>Weekday</v>
      </c>
      <c r="H416" s="38" t="str">
        <f t="shared" si="2"/>
        <v>Evening</v>
      </c>
      <c r="I416" s="38" t="str">
        <f>IF(dataset_A!C416=1,"Spring",IF(dataset_A!C416=2,"Summer",IF(dataset_A!C416=3,"Fail","Winter")))</f>
        <v>Spring</v>
      </c>
      <c r="J416" s="38" t="str">
        <f>IF(dataset_A!I416=1,"Clear",IF(dataset_A!I416,"Mist/Cloudy",IF(dataset_A!I416=3,"Light Rain/Snow","Heavy Rain/Snow")))</f>
        <v>Clear</v>
      </c>
      <c r="K416" s="38">
        <f>dataset_A!N416</f>
        <v>4</v>
      </c>
      <c r="L416" s="38">
        <f>dataset_A!O416</f>
        <v>55</v>
      </c>
      <c r="M416" s="38">
        <f>dataset_A!P416</f>
        <v>59</v>
      </c>
      <c r="N416" s="38" t="str">
        <f t="shared" si="3"/>
        <v>Ok</v>
      </c>
      <c r="O416" s="38" t="str">
        <f>IF(M416&gt;Analysis!$B$3*1.5,"High",IF(M416&lt;Analysis!$B$3*0.5,"Low","Medium"))</f>
        <v>Medium</v>
      </c>
      <c r="P416" s="38" t="str">
        <f>VLOOKUP(dataset_A!C416,$Q$2:$R$5,2,0)</f>
        <v>Spring</v>
      </c>
      <c r="S416" s="38" t="str">
        <f t="array" ref="S416">INDEX($R$2:$R$5,MATCH(dataset_A!C416,$Q$2:$Q$5,0))</f>
        <v>Spring</v>
      </c>
      <c r="T416" s="38" t="str">
        <f t="shared" si="4"/>
        <v>Match</v>
      </c>
    </row>
    <row r="417" ht="12.75" customHeight="1">
      <c r="A417" s="38">
        <f>dataset_A!A417</f>
        <v>430</v>
      </c>
      <c r="B417" s="39">
        <f>dataset_A!B417</f>
        <v>40562</v>
      </c>
      <c r="C417" s="38">
        <f>dataset_A!F417</f>
        <v>22</v>
      </c>
      <c r="D417" s="38">
        <f>dataset_A!H417</f>
        <v>3</v>
      </c>
      <c r="E417" s="38" t="b">
        <f>dataset_A!G417</f>
        <v>0</v>
      </c>
      <c r="F417" s="38" t="b">
        <f>dataset_A!G417</f>
        <v>0</v>
      </c>
      <c r="G417" s="38" t="str">
        <f t="shared" si="1"/>
        <v>Weekday</v>
      </c>
      <c r="H417" s="38" t="str">
        <f t="shared" si="2"/>
        <v>Evening</v>
      </c>
      <c r="I417" s="38" t="str">
        <f>IF(dataset_A!C417=1,"Spring",IF(dataset_A!C417=2,"Summer",IF(dataset_A!C417=3,"Fail","Winter")))</f>
        <v>Spring</v>
      </c>
      <c r="J417" s="38" t="str">
        <f>IF(dataset_A!I417=1,"Clear",IF(dataset_A!I417,"Mist/Cloudy",IF(dataset_A!I417=3,"Light Rain/Snow","Heavy Rain/Snow")))</f>
        <v>Clear</v>
      </c>
      <c r="K417" s="38">
        <f>dataset_A!N417</f>
        <v>6</v>
      </c>
      <c r="L417" s="38">
        <f>dataset_A!O417</f>
        <v>53</v>
      </c>
      <c r="M417" s="38">
        <f>dataset_A!P417</f>
        <v>59</v>
      </c>
      <c r="N417" s="38" t="str">
        <f t="shared" si="3"/>
        <v>Ok</v>
      </c>
      <c r="O417" s="38" t="str">
        <f>IF(M417&gt;Analysis!$B$3*1.5,"High",IF(M417&lt;Analysis!$B$3*0.5,"Low","Medium"))</f>
        <v>Medium</v>
      </c>
      <c r="P417" s="38" t="str">
        <f>VLOOKUP(dataset_A!C417,$Q$2:$R$5,2,0)</f>
        <v>Spring</v>
      </c>
      <c r="S417" s="38" t="str">
        <f t="array" ref="S417">INDEX($R$2:$R$5,MATCH(dataset_A!C417,$Q$2:$Q$5,0))</f>
        <v>Spring</v>
      </c>
      <c r="T417" s="38" t="str">
        <f t="shared" si="4"/>
        <v>Match</v>
      </c>
    </row>
    <row r="418" ht="12.75" customHeight="1">
      <c r="A418" s="38">
        <f>dataset_A!A418</f>
        <v>467</v>
      </c>
      <c r="B418" s="39">
        <f>dataset_A!B418</f>
        <v>40564</v>
      </c>
      <c r="C418" s="38">
        <f>dataset_A!F418</f>
        <v>11</v>
      </c>
      <c r="D418" s="38">
        <f>dataset_A!H418</f>
        <v>5</v>
      </c>
      <c r="E418" s="38" t="b">
        <f>dataset_A!G418</f>
        <v>0</v>
      </c>
      <c r="F418" s="38" t="b">
        <f>dataset_A!G418</f>
        <v>0</v>
      </c>
      <c r="G418" s="38" t="str">
        <f t="shared" si="1"/>
        <v>Weekday</v>
      </c>
      <c r="H418" s="38" t="str">
        <f t="shared" si="2"/>
        <v>Morning</v>
      </c>
      <c r="I418" s="38" t="str">
        <f>IF(dataset_A!C418=1,"Spring",IF(dataset_A!C418=2,"Summer",IF(dataset_A!C418=3,"Fail","Winter")))</f>
        <v>Spring</v>
      </c>
      <c r="J418" s="38" t="str">
        <f>IF(dataset_A!I418=1,"Clear",IF(dataset_A!I418,"Mist/Cloudy",IF(dataset_A!I418=3,"Light Rain/Snow","Heavy Rain/Snow")))</f>
        <v>Clear</v>
      </c>
      <c r="K418" s="38">
        <f>dataset_A!N418</f>
        <v>6</v>
      </c>
      <c r="L418" s="38">
        <f>dataset_A!O418</f>
        <v>53</v>
      </c>
      <c r="M418" s="38">
        <f>dataset_A!P418</f>
        <v>59</v>
      </c>
      <c r="N418" s="38" t="str">
        <f t="shared" si="3"/>
        <v>Ok</v>
      </c>
      <c r="O418" s="38" t="str">
        <f>IF(M418&gt;Analysis!$B$3*1.5,"High",IF(M418&lt;Analysis!$B$3*0.5,"Low","Medium"))</f>
        <v>Medium</v>
      </c>
      <c r="P418" s="38" t="str">
        <f>VLOOKUP(dataset_A!C418,$Q$2:$R$5,2,0)</f>
        <v>Spring</v>
      </c>
      <c r="S418" s="38" t="str">
        <f t="array" ref="S418">INDEX($R$2:$R$5,MATCH(dataset_A!C418,$Q$2:$Q$5,0))</f>
        <v>Spring</v>
      </c>
      <c r="T418" s="38" t="str">
        <f t="shared" si="4"/>
        <v>Match</v>
      </c>
    </row>
    <row r="419" ht="12.75" customHeight="1">
      <c r="A419" s="38">
        <f>dataset_A!A419</f>
        <v>498</v>
      </c>
      <c r="B419" s="39">
        <f>dataset_A!B419</f>
        <v>40565</v>
      </c>
      <c r="C419" s="38">
        <f>dataset_A!F419</f>
        <v>19</v>
      </c>
      <c r="D419" s="38">
        <f>dataset_A!H419</f>
        <v>6</v>
      </c>
      <c r="E419" s="38" t="b">
        <f>dataset_A!G419</f>
        <v>0</v>
      </c>
      <c r="F419" s="38" t="b">
        <f>dataset_A!G419</f>
        <v>0</v>
      </c>
      <c r="G419" s="38" t="str">
        <f t="shared" si="1"/>
        <v>Weekend</v>
      </c>
      <c r="H419" s="38" t="str">
        <f t="shared" si="2"/>
        <v>Evening</v>
      </c>
      <c r="I419" s="38" t="str">
        <f>IF(dataset_A!C419=1,"Spring",IF(dataset_A!C419=2,"Summer",IF(dataset_A!C419=3,"Fail","Winter")))</f>
        <v>Spring</v>
      </c>
      <c r="J419" s="38" t="str">
        <f>IF(dataset_A!I419=1,"Clear",IF(dataset_A!I419,"Mist/Cloudy",IF(dataset_A!I419=3,"Light Rain/Snow","Heavy Rain/Snow")))</f>
        <v>Clear</v>
      </c>
      <c r="K419" s="38">
        <f>dataset_A!N419</f>
        <v>6</v>
      </c>
      <c r="L419" s="38">
        <f>dataset_A!O419</f>
        <v>53</v>
      </c>
      <c r="M419" s="38">
        <f>dataset_A!P419</f>
        <v>59</v>
      </c>
      <c r="N419" s="38" t="str">
        <f t="shared" si="3"/>
        <v>Ok</v>
      </c>
      <c r="O419" s="38" t="str">
        <f>IF(M419&gt;Analysis!$B$3*1.5,"High",IF(M419&lt;Analysis!$B$3*0.5,"Low","Medium"))</f>
        <v>Medium</v>
      </c>
      <c r="P419" s="38" t="str">
        <f>VLOOKUP(dataset_A!C419,$Q$2:$R$5,2,0)</f>
        <v>Spring</v>
      </c>
      <c r="S419" s="38" t="str">
        <f t="array" ref="S419">INDEX($R$2:$R$5,MATCH(dataset_A!C419,$Q$2:$Q$5,0))</f>
        <v>Spring</v>
      </c>
      <c r="T419" s="38" t="str">
        <f t="shared" si="4"/>
        <v>Match</v>
      </c>
    </row>
    <row r="420" ht="12.75" customHeight="1">
      <c r="A420" s="38">
        <f>dataset_A!A420</f>
        <v>546</v>
      </c>
      <c r="B420" s="39">
        <f>dataset_A!B420</f>
        <v>40567</v>
      </c>
      <c r="C420" s="38">
        <f>dataset_A!F420</f>
        <v>21</v>
      </c>
      <c r="D420" s="38">
        <f>dataset_A!H420</f>
        <v>1</v>
      </c>
      <c r="E420" s="38" t="b">
        <f>dataset_A!G420</f>
        <v>0</v>
      </c>
      <c r="F420" s="38" t="b">
        <f>dataset_A!G420</f>
        <v>0</v>
      </c>
      <c r="G420" s="38" t="str">
        <f t="shared" si="1"/>
        <v>Weekday</v>
      </c>
      <c r="H420" s="38" t="str">
        <f t="shared" si="2"/>
        <v>Evening</v>
      </c>
      <c r="I420" s="38" t="str">
        <f>IF(dataset_A!C420=1,"Spring",IF(dataset_A!C420=2,"Summer",IF(dataset_A!C420=3,"Fail","Winter")))</f>
        <v>Spring</v>
      </c>
      <c r="J420" s="38" t="str">
        <f>IF(dataset_A!I420=1,"Clear",IF(dataset_A!I420,"Mist/Cloudy",IF(dataset_A!I420=3,"Light Rain/Snow","Heavy Rain/Snow")))</f>
        <v>Clear</v>
      </c>
      <c r="K420" s="38">
        <f>dataset_A!N420</f>
        <v>6</v>
      </c>
      <c r="L420" s="38">
        <f>dataset_A!O420</f>
        <v>53</v>
      </c>
      <c r="M420" s="38">
        <f>dataset_A!P420</f>
        <v>59</v>
      </c>
      <c r="N420" s="38" t="str">
        <f t="shared" si="3"/>
        <v>Ok</v>
      </c>
      <c r="O420" s="38" t="str">
        <f>IF(M420&gt;Analysis!$B$3*1.5,"High",IF(M420&lt;Analysis!$B$3*0.5,"Low","Medium"))</f>
        <v>Medium</v>
      </c>
      <c r="P420" s="38" t="str">
        <f>VLOOKUP(dataset_A!C420,$Q$2:$R$5,2,0)</f>
        <v>Spring</v>
      </c>
      <c r="S420" s="38" t="str">
        <f t="array" ref="S420">INDEX($R$2:$R$5,MATCH(dataset_A!C420,$Q$2:$Q$5,0))</f>
        <v>Spring</v>
      </c>
      <c r="T420" s="38" t="str">
        <f t="shared" si="4"/>
        <v>Match</v>
      </c>
    </row>
    <row r="421" ht="12.75" customHeight="1">
      <c r="A421" s="38">
        <f>dataset_A!A421</f>
        <v>592</v>
      </c>
      <c r="B421" s="39">
        <f>dataset_A!B421</f>
        <v>40570</v>
      </c>
      <c r="C421" s="38">
        <f>dataset_A!F421</f>
        <v>20</v>
      </c>
      <c r="D421" s="38">
        <f>dataset_A!H421</f>
        <v>4</v>
      </c>
      <c r="E421" s="38" t="b">
        <f>dataset_A!G421</f>
        <v>0</v>
      </c>
      <c r="F421" s="38" t="b">
        <f>dataset_A!G421</f>
        <v>0</v>
      </c>
      <c r="G421" s="38" t="str">
        <f t="shared" si="1"/>
        <v>Weekday</v>
      </c>
      <c r="H421" s="38" t="str">
        <f t="shared" si="2"/>
        <v>Evening</v>
      </c>
      <c r="I421" s="38" t="str">
        <f>IF(dataset_A!C421=1,"Spring",IF(dataset_A!C421=2,"Summer",IF(dataset_A!C421=3,"Fail","Winter")))</f>
        <v>Spring</v>
      </c>
      <c r="J421" s="38" t="str">
        <f>IF(dataset_A!I421=1,"Clear",IF(dataset_A!I421,"Mist/Cloudy",IF(dataset_A!I421=3,"Light Rain/Snow","Heavy Rain/Snow")))</f>
        <v>Clear</v>
      </c>
      <c r="K421" s="38">
        <f>dataset_A!N421</f>
        <v>4</v>
      </c>
      <c r="L421" s="38">
        <f>dataset_A!O421</f>
        <v>55</v>
      </c>
      <c r="M421" s="38">
        <f>dataset_A!P421</f>
        <v>59</v>
      </c>
      <c r="N421" s="38" t="str">
        <f t="shared" si="3"/>
        <v>Ok</v>
      </c>
      <c r="O421" s="38" t="str">
        <f>IF(M421&gt;Analysis!$B$3*1.5,"High",IF(M421&lt;Analysis!$B$3*0.5,"Low","Medium"))</f>
        <v>Medium</v>
      </c>
      <c r="P421" s="38" t="str">
        <f>VLOOKUP(dataset_A!C421,$Q$2:$R$5,2,0)</f>
        <v>Spring</v>
      </c>
      <c r="S421" s="38" t="str">
        <f t="array" ref="S421">INDEX($R$2:$R$5,MATCH(dataset_A!C421,$Q$2:$Q$5,0))</f>
        <v>Spring</v>
      </c>
      <c r="T421" s="38" t="str">
        <f t="shared" si="4"/>
        <v>Match</v>
      </c>
    </row>
    <row r="422" ht="12.75" customHeight="1">
      <c r="A422" s="38">
        <f>dataset_A!A422</f>
        <v>652</v>
      </c>
      <c r="B422" s="39">
        <f>dataset_A!B422</f>
        <v>40573</v>
      </c>
      <c r="C422" s="38">
        <f>dataset_A!F422</f>
        <v>11</v>
      </c>
      <c r="D422" s="38">
        <f>dataset_A!H422</f>
        <v>0</v>
      </c>
      <c r="E422" s="38" t="b">
        <f>dataset_A!G422</f>
        <v>0</v>
      </c>
      <c r="F422" s="38" t="b">
        <f>dataset_A!G422</f>
        <v>0</v>
      </c>
      <c r="G422" s="38" t="str">
        <f t="shared" si="1"/>
        <v>Weekend</v>
      </c>
      <c r="H422" s="38" t="str">
        <f t="shared" si="2"/>
        <v>Morning</v>
      </c>
      <c r="I422" s="38" t="str">
        <f>IF(dataset_A!C422=1,"Spring",IF(dataset_A!C422=2,"Summer",IF(dataset_A!C422=3,"Fail","Winter")))</f>
        <v>Spring</v>
      </c>
      <c r="J422" s="38" t="str">
        <f>IF(dataset_A!I422=1,"Clear",IF(dataset_A!I422,"Mist/Cloudy",IF(dataset_A!I422=3,"Light Rain/Snow","Heavy Rain/Snow")))</f>
        <v>Clear</v>
      </c>
      <c r="K422" s="38">
        <f>dataset_A!N422</f>
        <v>9</v>
      </c>
      <c r="L422" s="38">
        <f>dataset_A!O422</f>
        <v>50</v>
      </c>
      <c r="M422" s="38">
        <f>dataset_A!P422</f>
        <v>59</v>
      </c>
      <c r="N422" s="38" t="str">
        <f t="shared" si="3"/>
        <v>Ok</v>
      </c>
      <c r="O422" s="38" t="str">
        <f>IF(M422&gt;Analysis!$B$3*1.5,"High",IF(M422&lt;Analysis!$B$3*0.5,"Low","Medium"))</f>
        <v>Medium</v>
      </c>
      <c r="P422" s="38" t="str">
        <f>VLOOKUP(dataset_A!C422,$Q$2:$R$5,2,0)</f>
        <v>Spring</v>
      </c>
      <c r="S422" s="38" t="str">
        <f t="array" ref="S422">INDEX($R$2:$R$5,MATCH(dataset_A!C422,$Q$2:$Q$5,0))</f>
        <v>Spring</v>
      </c>
      <c r="T422" s="38" t="str">
        <f t="shared" si="4"/>
        <v>Match</v>
      </c>
    </row>
    <row r="423" ht="12.75" customHeight="1">
      <c r="A423" s="38">
        <f>dataset_A!A423</f>
        <v>805</v>
      </c>
      <c r="B423" s="39">
        <f>dataset_A!B423</f>
        <v>40579</v>
      </c>
      <c r="C423" s="38">
        <f>dataset_A!F423</f>
        <v>23</v>
      </c>
      <c r="D423" s="38">
        <f>dataset_A!H423</f>
        <v>6</v>
      </c>
      <c r="E423" s="38" t="b">
        <f>dataset_A!G423</f>
        <v>0</v>
      </c>
      <c r="F423" s="38" t="b">
        <f>dataset_A!G423</f>
        <v>0</v>
      </c>
      <c r="G423" s="38" t="str">
        <f t="shared" si="1"/>
        <v>Weekend</v>
      </c>
      <c r="H423" s="38" t="str">
        <f t="shared" si="2"/>
        <v>Evening</v>
      </c>
      <c r="I423" s="38" t="str">
        <f>IF(dataset_A!C423=1,"Spring",IF(dataset_A!C423=2,"Summer",IF(dataset_A!C423=3,"Fail","Winter")))</f>
        <v>Spring</v>
      </c>
      <c r="J423" s="38" t="str">
        <f>IF(dataset_A!I423=1,"Clear",IF(dataset_A!I423,"Mist/Cloudy",IF(dataset_A!I423=3,"Light Rain/Snow","Heavy Rain/Snow")))</f>
        <v>Clear</v>
      </c>
      <c r="K423" s="38">
        <f>dataset_A!N423</f>
        <v>7</v>
      </c>
      <c r="L423" s="38">
        <f>dataset_A!O423</f>
        <v>52</v>
      </c>
      <c r="M423" s="38">
        <f>dataset_A!P423</f>
        <v>59</v>
      </c>
      <c r="N423" s="38" t="str">
        <f t="shared" si="3"/>
        <v>Ok</v>
      </c>
      <c r="O423" s="38" t="str">
        <f>IF(M423&gt;Analysis!$B$3*1.5,"High",IF(M423&lt;Analysis!$B$3*0.5,"Low","Medium"))</f>
        <v>Medium</v>
      </c>
      <c r="P423" s="38" t="str">
        <f>VLOOKUP(dataset_A!C423,$Q$2:$R$5,2,0)</f>
        <v>Spring</v>
      </c>
      <c r="S423" s="38" t="str">
        <f t="array" ref="S423">INDEX($R$2:$R$5,MATCH(dataset_A!C423,$Q$2:$Q$5,0))</f>
        <v>Spring</v>
      </c>
      <c r="T423" s="38" t="str">
        <f t="shared" si="4"/>
        <v>Match</v>
      </c>
    </row>
    <row r="424" ht="12.75" customHeight="1">
      <c r="A424" s="38">
        <f>dataset_A!A424</f>
        <v>887</v>
      </c>
      <c r="B424" s="39">
        <f>dataset_A!B424</f>
        <v>40583</v>
      </c>
      <c r="C424" s="38">
        <f>dataset_A!F424</f>
        <v>10</v>
      </c>
      <c r="D424" s="38">
        <f>dataset_A!H424</f>
        <v>3</v>
      </c>
      <c r="E424" s="38" t="b">
        <f>dataset_A!G424</f>
        <v>0</v>
      </c>
      <c r="F424" s="38" t="b">
        <f>dataset_A!G424</f>
        <v>0</v>
      </c>
      <c r="G424" s="38" t="str">
        <f t="shared" si="1"/>
        <v>Weekday</v>
      </c>
      <c r="H424" s="38" t="str">
        <f t="shared" si="2"/>
        <v>Morning</v>
      </c>
      <c r="I424" s="38" t="str">
        <f>IF(dataset_A!C424=1,"Spring",IF(dataset_A!C424=2,"Summer",IF(dataset_A!C424=3,"Fail","Winter")))</f>
        <v>Spring</v>
      </c>
      <c r="J424" s="38" t="str">
        <f>IF(dataset_A!I424=1,"Clear",IF(dataset_A!I424,"Mist/Cloudy",IF(dataset_A!I424=3,"Light Rain/Snow","Heavy Rain/Snow")))</f>
        <v>Clear</v>
      </c>
      <c r="K424" s="38">
        <f>dataset_A!N424</f>
        <v>8</v>
      </c>
      <c r="L424" s="38">
        <f>dataset_A!O424</f>
        <v>51</v>
      </c>
      <c r="M424" s="38">
        <f>dataset_A!P424</f>
        <v>59</v>
      </c>
      <c r="N424" s="38" t="str">
        <f t="shared" si="3"/>
        <v>Ok</v>
      </c>
      <c r="O424" s="38" t="str">
        <f>IF(M424&gt;Analysis!$B$3*1.5,"High",IF(M424&lt;Analysis!$B$3*0.5,"Low","Medium"))</f>
        <v>Medium</v>
      </c>
      <c r="P424" s="38" t="str">
        <f>VLOOKUP(dataset_A!C424,$Q$2:$R$5,2,0)</f>
        <v>Spring</v>
      </c>
      <c r="S424" s="38" t="str">
        <f t="array" ref="S424">INDEX($R$2:$R$5,MATCH(dataset_A!C424,$Q$2:$Q$5,0))</f>
        <v>Spring</v>
      </c>
      <c r="T424" s="38" t="str">
        <f t="shared" si="4"/>
        <v>Match</v>
      </c>
    </row>
    <row r="425" ht="12.75" customHeight="1">
      <c r="A425" s="38">
        <f>dataset_A!A425</f>
        <v>512</v>
      </c>
      <c r="B425" s="39">
        <f>dataset_A!B425</f>
        <v>40566</v>
      </c>
      <c r="C425" s="38">
        <f>dataset_A!F425</f>
        <v>10</v>
      </c>
      <c r="D425" s="38">
        <f>dataset_A!H425</f>
        <v>0</v>
      </c>
      <c r="E425" s="38" t="b">
        <f>dataset_A!G425</f>
        <v>0</v>
      </c>
      <c r="F425" s="38" t="b">
        <f>dataset_A!G425</f>
        <v>0</v>
      </c>
      <c r="G425" s="38" t="str">
        <f t="shared" si="1"/>
        <v>Weekend</v>
      </c>
      <c r="H425" s="38" t="str">
        <f t="shared" si="2"/>
        <v>Morning</v>
      </c>
      <c r="I425" s="38" t="str">
        <f>IF(dataset_A!C425=1,"Spring",IF(dataset_A!C425=2,"Summer",IF(dataset_A!C425=3,"Fail","Winter")))</f>
        <v>Spring</v>
      </c>
      <c r="J425" s="38" t="str">
        <f>IF(dataset_A!I425=1,"Clear",IF(dataset_A!I425,"Mist/Cloudy",IF(dataset_A!I425=3,"Light Rain/Snow","Heavy Rain/Snow")))</f>
        <v>Clear</v>
      </c>
      <c r="K425" s="38">
        <f>dataset_A!N425</f>
        <v>7</v>
      </c>
      <c r="L425" s="38">
        <f>dataset_A!O425</f>
        <v>51</v>
      </c>
      <c r="M425" s="38">
        <f>dataset_A!P425</f>
        <v>58</v>
      </c>
      <c r="N425" s="38" t="str">
        <f t="shared" si="3"/>
        <v>Ok</v>
      </c>
      <c r="O425" s="38" t="str">
        <f>IF(M425&gt;Analysis!$B$3*1.5,"High",IF(M425&lt;Analysis!$B$3*0.5,"Low","Medium"))</f>
        <v>Medium</v>
      </c>
      <c r="P425" s="38" t="str">
        <f>VLOOKUP(dataset_A!C425,$Q$2:$R$5,2,0)</f>
        <v>Spring</v>
      </c>
      <c r="S425" s="38" t="str">
        <f t="array" ref="S425">INDEX($R$2:$R$5,MATCH(dataset_A!C425,$Q$2:$Q$5,0))</f>
        <v>Spring</v>
      </c>
      <c r="T425" s="38" t="str">
        <f t="shared" si="4"/>
        <v>Match</v>
      </c>
    </row>
    <row r="426" ht="12.75" customHeight="1">
      <c r="A426" s="38">
        <f>dataset_A!A426</f>
        <v>579</v>
      </c>
      <c r="B426" s="39">
        <f>dataset_A!B426</f>
        <v>40569</v>
      </c>
      <c r="C426" s="38">
        <f>dataset_A!F426</f>
        <v>9</v>
      </c>
      <c r="D426" s="38">
        <f>dataset_A!H426</f>
        <v>3</v>
      </c>
      <c r="E426" s="38" t="b">
        <f>dataset_A!G426</f>
        <v>0</v>
      </c>
      <c r="F426" s="38" t="b">
        <f>dataset_A!G426</f>
        <v>0</v>
      </c>
      <c r="G426" s="38" t="str">
        <f t="shared" si="1"/>
        <v>Weekday</v>
      </c>
      <c r="H426" s="38" t="str">
        <f t="shared" si="2"/>
        <v>Morning</v>
      </c>
      <c r="I426" s="38" t="str">
        <f>IF(dataset_A!C426=1,"Spring",IF(dataset_A!C426=2,"Summer",IF(dataset_A!C426=3,"Fail","Winter")))</f>
        <v>Spring</v>
      </c>
      <c r="J426" s="38" t="str">
        <f>IF(dataset_A!I426=1,"Clear",IF(dataset_A!I426,"Mist/Cloudy",IF(dataset_A!I426=3,"Light Rain/Snow","Heavy Rain/Snow")))</f>
        <v>Mist/Cloudy</v>
      </c>
      <c r="K426" s="38">
        <f>dataset_A!N426</f>
        <v>3</v>
      </c>
      <c r="L426" s="38">
        <f>dataset_A!O426</f>
        <v>55</v>
      </c>
      <c r="M426" s="38">
        <f>dataset_A!P426</f>
        <v>58</v>
      </c>
      <c r="N426" s="38" t="str">
        <f t="shared" si="3"/>
        <v>Ok</v>
      </c>
      <c r="O426" s="38" t="str">
        <f>IF(M426&gt;Analysis!$B$3*1.5,"High",IF(M426&lt;Analysis!$B$3*0.5,"Low","Medium"))</f>
        <v>Medium</v>
      </c>
      <c r="P426" s="38" t="str">
        <f>VLOOKUP(dataset_A!C426,$Q$2:$R$5,2,0)</f>
        <v>Spring</v>
      </c>
      <c r="S426" s="38" t="str">
        <f t="array" ref="S426">INDEX($R$2:$R$5,MATCH(dataset_A!C426,$Q$2:$Q$5,0))</f>
        <v>Spring</v>
      </c>
      <c r="T426" s="38" t="str">
        <f t="shared" si="4"/>
        <v>Match</v>
      </c>
    </row>
    <row r="427" ht="12.75" customHeight="1">
      <c r="A427" s="38">
        <f>dataset_A!A427</f>
        <v>616</v>
      </c>
      <c r="B427" s="39">
        <f>dataset_A!B427</f>
        <v>40571</v>
      </c>
      <c r="C427" s="38">
        <f>dataset_A!F427</f>
        <v>21</v>
      </c>
      <c r="D427" s="38">
        <f>dataset_A!H427</f>
        <v>5</v>
      </c>
      <c r="E427" s="38" t="b">
        <f>dataset_A!G427</f>
        <v>0</v>
      </c>
      <c r="F427" s="38" t="b">
        <f>dataset_A!G427</f>
        <v>0</v>
      </c>
      <c r="G427" s="38" t="str">
        <f t="shared" si="1"/>
        <v>Weekday</v>
      </c>
      <c r="H427" s="38" t="str">
        <f t="shared" si="2"/>
        <v>Evening</v>
      </c>
      <c r="I427" s="38" t="str">
        <f>IF(dataset_A!C427=1,"Spring",IF(dataset_A!C427=2,"Summer",IF(dataset_A!C427=3,"Fail","Winter")))</f>
        <v>Spring</v>
      </c>
      <c r="J427" s="38" t="str">
        <f>IF(dataset_A!I427=1,"Clear",IF(dataset_A!I427,"Mist/Cloudy",IF(dataset_A!I427=3,"Light Rain/Snow","Heavy Rain/Snow")))</f>
        <v>Mist/Cloudy</v>
      </c>
      <c r="K427" s="38">
        <f>dataset_A!N427</f>
        <v>1</v>
      </c>
      <c r="L427" s="38">
        <f>dataset_A!O427</f>
        <v>57</v>
      </c>
      <c r="M427" s="38">
        <f>dataset_A!P427</f>
        <v>58</v>
      </c>
      <c r="N427" s="38" t="str">
        <f t="shared" si="3"/>
        <v>Ok</v>
      </c>
      <c r="O427" s="38" t="str">
        <f>IF(M427&gt;Analysis!$B$3*1.5,"High",IF(M427&lt;Analysis!$B$3*0.5,"Low","Medium"))</f>
        <v>Medium</v>
      </c>
      <c r="P427" s="38" t="str">
        <f>VLOOKUP(dataset_A!C427,$Q$2:$R$5,2,0)</f>
        <v>Spring</v>
      </c>
      <c r="S427" s="38" t="str">
        <f t="array" ref="S427">INDEX($R$2:$R$5,MATCH(dataset_A!C427,$Q$2:$Q$5,0))</f>
        <v>Spring</v>
      </c>
      <c r="T427" s="38" t="str">
        <f t="shared" si="4"/>
        <v>Match</v>
      </c>
    </row>
    <row r="428" ht="12.75" customHeight="1">
      <c r="A428" s="38">
        <f>dataset_A!A428</f>
        <v>637</v>
      </c>
      <c r="B428" s="39">
        <f>dataset_A!B428</f>
        <v>40572</v>
      </c>
      <c r="C428" s="38">
        <f>dataset_A!F428</f>
        <v>19</v>
      </c>
      <c r="D428" s="38">
        <f>dataset_A!H428</f>
        <v>6</v>
      </c>
      <c r="E428" s="38" t="b">
        <f>dataset_A!G428</f>
        <v>0</v>
      </c>
      <c r="F428" s="38" t="b">
        <f>dataset_A!G428</f>
        <v>0</v>
      </c>
      <c r="G428" s="38" t="str">
        <f t="shared" si="1"/>
        <v>Weekend</v>
      </c>
      <c r="H428" s="38" t="str">
        <f t="shared" si="2"/>
        <v>Evening</v>
      </c>
      <c r="I428" s="38" t="str">
        <f>IF(dataset_A!C428=1,"Spring",IF(dataset_A!C428=2,"Summer",IF(dataset_A!C428=3,"Fail","Winter")))</f>
        <v>Spring</v>
      </c>
      <c r="J428" s="38" t="str">
        <f>IF(dataset_A!I428=1,"Clear",IF(dataset_A!I428,"Mist/Cloudy",IF(dataset_A!I428=3,"Light Rain/Snow","Heavy Rain/Snow")))</f>
        <v>Mist/Cloudy</v>
      </c>
      <c r="K428" s="38">
        <f>dataset_A!N428</f>
        <v>6</v>
      </c>
      <c r="L428" s="38">
        <f>dataset_A!O428</f>
        <v>52</v>
      </c>
      <c r="M428" s="38">
        <f>dataset_A!P428</f>
        <v>58</v>
      </c>
      <c r="N428" s="38" t="str">
        <f t="shared" si="3"/>
        <v>Ok</v>
      </c>
      <c r="O428" s="38" t="str">
        <f>IF(M428&gt;Analysis!$B$3*1.5,"High",IF(M428&lt;Analysis!$B$3*0.5,"Low","Medium"))</f>
        <v>Medium</v>
      </c>
      <c r="P428" s="38" t="str">
        <f>VLOOKUP(dataset_A!C428,$Q$2:$R$5,2,0)</f>
        <v>Spring</v>
      </c>
      <c r="S428" s="38" t="str">
        <f t="array" ref="S428">INDEX($R$2:$R$5,MATCH(dataset_A!C428,$Q$2:$Q$5,0))</f>
        <v>Spring</v>
      </c>
      <c r="T428" s="38" t="str">
        <f t="shared" si="4"/>
        <v>Match</v>
      </c>
    </row>
    <row r="429" ht="12.75" customHeight="1">
      <c r="A429" s="38">
        <f>dataset_A!A429</f>
        <v>891</v>
      </c>
      <c r="B429" s="39">
        <f>dataset_A!B429</f>
        <v>40583</v>
      </c>
      <c r="C429" s="38">
        <f>dataset_A!F429</f>
        <v>14</v>
      </c>
      <c r="D429" s="38">
        <f>dataset_A!H429</f>
        <v>3</v>
      </c>
      <c r="E429" s="38" t="b">
        <f>dataset_A!G429</f>
        <v>0</v>
      </c>
      <c r="F429" s="38" t="b">
        <f>dataset_A!G429</f>
        <v>0</v>
      </c>
      <c r="G429" s="38" t="str">
        <f t="shared" si="1"/>
        <v>Weekday</v>
      </c>
      <c r="H429" s="38" t="str">
        <f t="shared" si="2"/>
        <v>Afternoon</v>
      </c>
      <c r="I429" s="38" t="str">
        <f>IF(dataset_A!C429=1,"Spring",IF(dataset_A!C429=2,"Summer",IF(dataset_A!C429=3,"Fail","Winter")))</f>
        <v>Spring</v>
      </c>
      <c r="J429" s="38" t="str">
        <f>IF(dataset_A!I429=1,"Clear",IF(dataset_A!I429,"Mist/Cloudy",IF(dataset_A!I429=3,"Light Rain/Snow","Heavy Rain/Snow")))</f>
        <v>Clear</v>
      </c>
      <c r="K429" s="38">
        <f>dataset_A!N429</f>
        <v>2</v>
      </c>
      <c r="L429" s="38">
        <f>dataset_A!O429</f>
        <v>56</v>
      </c>
      <c r="M429" s="38">
        <f>dataset_A!P429</f>
        <v>58</v>
      </c>
      <c r="N429" s="38" t="str">
        <f t="shared" si="3"/>
        <v>Ok</v>
      </c>
      <c r="O429" s="38" t="str">
        <f>IF(M429&gt;Analysis!$B$3*1.5,"High",IF(M429&lt;Analysis!$B$3*0.5,"Low","Medium"))</f>
        <v>Medium</v>
      </c>
      <c r="P429" s="38" t="str">
        <f>VLOOKUP(dataset_A!C429,$Q$2:$R$5,2,0)</f>
        <v>Spring</v>
      </c>
      <c r="S429" s="38" t="str">
        <f t="array" ref="S429">INDEX($R$2:$R$5,MATCH(dataset_A!C429,$Q$2:$Q$5,0))</f>
        <v>Spring</v>
      </c>
      <c r="T429" s="38" t="str">
        <f t="shared" si="4"/>
        <v>Match</v>
      </c>
    </row>
    <row r="430" ht="12.75" customHeight="1">
      <c r="A430" s="38">
        <f>dataset_A!A430</f>
        <v>80</v>
      </c>
      <c r="B430" s="39">
        <f>dataset_A!B430</f>
        <v>40547</v>
      </c>
      <c r="C430" s="38">
        <f>dataset_A!F430</f>
        <v>11</v>
      </c>
      <c r="D430" s="38">
        <f>dataset_A!H430</f>
        <v>2</v>
      </c>
      <c r="E430" s="38" t="b">
        <f>dataset_A!G430</f>
        <v>0</v>
      </c>
      <c r="F430" s="38" t="b">
        <f>dataset_A!G430</f>
        <v>0</v>
      </c>
      <c r="G430" s="38" t="str">
        <f t="shared" si="1"/>
        <v>Weekday</v>
      </c>
      <c r="H430" s="38" t="str">
        <f t="shared" si="2"/>
        <v>Morning</v>
      </c>
      <c r="I430" s="38" t="str">
        <f>IF(dataset_A!C430=1,"Spring",IF(dataset_A!C430=2,"Summer",IF(dataset_A!C430=3,"Fail","Winter")))</f>
        <v>Spring</v>
      </c>
      <c r="J430" s="38" t="str">
        <f>IF(dataset_A!I430=1,"Clear",IF(dataset_A!I430,"Mist/Cloudy",IF(dataset_A!I430=3,"Light Rain/Snow","Heavy Rain/Snow")))</f>
        <v>Clear</v>
      </c>
      <c r="K430" s="38">
        <f>dataset_A!N430</f>
        <v>7</v>
      </c>
      <c r="L430" s="38">
        <f>dataset_A!O430</f>
        <v>50</v>
      </c>
      <c r="M430" s="38">
        <f>dataset_A!P430</f>
        <v>57</v>
      </c>
      <c r="N430" s="38" t="str">
        <f t="shared" si="3"/>
        <v>Ok</v>
      </c>
      <c r="O430" s="38" t="str">
        <f>IF(M430&gt;Analysis!$B$3*1.5,"High",IF(M430&lt;Analysis!$B$3*0.5,"Low","Medium"))</f>
        <v>Medium</v>
      </c>
      <c r="P430" s="38" t="str">
        <f>VLOOKUP(dataset_A!C430,$Q$2:$R$5,2,0)</f>
        <v>Spring</v>
      </c>
      <c r="S430" s="38" t="str">
        <f t="array" ref="S430">INDEX($R$2:$R$5,MATCH(dataset_A!C430,$Q$2:$Q$5,0))</f>
        <v>Spring</v>
      </c>
      <c r="T430" s="38" t="str">
        <f t="shared" si="4"/>
        <v>Match</v>
      </c>
    </row>
    <row r="431" ht="12.75" customHeight="1">
      <c r="A431" s="38">
        <f>dataset_A!A431</f>
        <v>102</v>
      </c>
      <c r="B431" s="39">
        <f>dataset_A!B431</f>
        <v>40548</v>
      </c>
      <c r="C431" s="38">
        <f>dataset_A!F431</f>
        <v>10</v>
      </c>
      <c r="D431" s="38">
        <f>dataset_A!H431</f>
        <v>3</v>
      </c>
      <c r="E431" s="38" t="b">
        <f>dataset_A!G431</f>
        <v>0</v>
      </c>
      <c r="F431" s="38" t="b">
        <f>dataset_A!G431</f>
        <v>0</v>
      </c>
      <c r="G431" s="38" t="str">
        <f t="shared" si="1"/>
        <v>Weekday</v>
      </c>
      <c r="H431" s="38" t="str">
        <f t="shared" si="2"/>
        <v>Morning</v>
      </c>
      <c r="I431" s="38" t="str">
        <f>IF(dataset_A!C431=1,"Spring",IF(dataset_A!C431=2,"Summer",IF(dataset_A!C431=3,"Fail","Winter")))</f>
        <v>Spring</v>
      </c>
      <c r="J431" s="38" t="str">
        <f>IF(dataset_A!I431=1,"Clear",IF(dataset_A!I431,"Mist/Cloudy",IF(dataset_A!I431=3,"Light Rain/Snow","Heavy Rain/Snow")))</f>
        <v>Clear</v>
      </c>
      <c r="K431" s="38">
        <f>dataset_A!N431</f>
        <v>4</v>
      </c>
      <c r="L431" s="38">
        <f>dataset_A!O431</f>
        <v>53</v>
      </c>
      <c r="M431" s="38">
        <f>dataset_A!P431</f>
        <v>57</v>
      </c>
      <c r="N431" s="38" t="str">
        <f t="shared" si="3"/>
        <v>Ok</v>
      </c>
      <c r="O431" s="38" t="str">
        <f>IF(M431&gt;Analysis!$B$3*1.5,"High",IF(M431&lt;Analysis!$B$3*0.5,"Low","Medium"))</f>
        <v>Medium</v>
      </c>
      <c r="P431" s="38" t="str">
        <f>VLOOKUP(dataset_A!C431,$Q$2:$R$5,2,0)</f>
        <v>Spring</v>
      </c>
      <c r="S431" s="38" t="str">
        <f t="array" ref="S431">INDEX($R$2:$R$5,MATCH(dataset_A!C431,$Q$2:$Q$5,0))</f>
        <v>Spring</v>
      </c>
      <c r="T431" s="38" t="str">
        <f t="shared" si="4"/>
        <v>Match</v>
      </c>
    </row>
    <row r="432" ht="12.75" customHeight="1">
      <c r="A432" s="38">
        <f>dataset_A!A432</f>
        <v>244</v>
      </c>
      <c r="B432" s="39">
        <f>dataset_A!B432</f>
        <v>40554</v>
      </c>
      <c r="C432" s="38">
        <f>dataset_A!F432</f>
        <v>12</v>
      </c>
      <c r="D432" s="38">
        <f>dataset_A!H432</f>
        <v>2</v>
      </c>
      <c r="E432" s="38" t="b">
        <f>dataset_A!G432</f>
        <v>0</v>
      </c>
      <c r="F432" s="38" t="b">
        <f>dataset_A!G432</f>
        <v>0</v>
      </c>
      <c r="G432" s="38" t="str">
        <f t="shared" si="1"/>
        <v>Weekday</v>
      </c>
      <c r="H432" s="38" t="str">
        <f t="shared" si="2"/>
        <v>Afternoon</v>
      </c>
      <c r="I432" s="38" t="str">
        <f>IF(dataset_A!C432=1,"Spring",IF(dataset_A!C432=2,"Summer",IF(dataset_A!C432=3,"Fail","Winter")))</f>
        <v>Spring</v>
      </c>
      <c r="J432" s="38" t="str">
        <f>IF(dataset_A!I432=1,"Clear",IF(dataset_A!I432,"Mist/Cloudy",IF(dataset_A!I432=3,"Light Rain/Snow","Heavy Rain/Snow")))</f>
        <v>Mist/Cloudy</v>
      </c>
      <c r="K432" s="38">
        <f>dataset_A!N432</f>
        <v>2</v>
      </c>
      <c r="L432" s="38">
        <f>dataset_A!O432</f>
        <v>55</v>
      </c>
      <c r="M432" s="38">
        <f>dataset_A!P432</f>
        <v>57</v>
      </c>
      <c r="N432" s="38" t="str">
        <f t="shared" si="3"/>
        <v>Ok</v>
      </c>
      <c r="O432" s="38" t="str">
        <f>IF(M432&gt;Analysis!$B$3*1.5,"High",IF(M432&lt;Analysis!$B$3*0.5,"Low","Medium"))</f>
        <v>Medium</v>
      </c>
      <c r="P432" s="38" t="str">
        <f>VLOOKUP(dataset_A!C432,$Q$2:$R$5,2,0)</f>
        <v>Spring</v>
      </c>
      <c r="S432" s="38" t="str">
        <f t="array" ref="S432">INDEX($R$2:$R$5,MATCH(dataset_A!C432,$Q$2:$Q$5,0))</f>
        <v>Spring</v>
      </c>
      <c r="T432" s="38" t="str">
        <f t="shared" si="4"/>
        <v>Match</v>
      </c>
    </row>
    <row r="433" ht="12.75" customHeight="1">
      <c r="A433" s="38">
        <f>dataset_A!A433</f>
        <v>275</v>
      </c>
      <c r="B433" s="39">
        <f>dataset_A!B433</f>
        <v>40555</v>
      </c>
      <c r="C433" s="38">
        <f>dataset_A!F433</f>
        <v>21</v>
      </c>
      <c r="D433" s="38">
        <f>dataset_A!H433</f>
        <v>3</v>
      </c>
      <c r="E433" s="38" t="b">
        <f>dataset_A!G433</f>
        <v>0</v>
      </c>
      <c r="F433" s="38" t="b">
        <f>dataset_A!G433</f>
        <v>0</v>
      </c>
      <c r="G433" s="38" t="str">
        <f t="shared" si="1"/>
        <v>Weekday</v>
      </c>
      <c r="H433" s="38" t="str">
        <f t="shared" si="2"/>
        <v>Evening</v>
      </c>
      <c r="I433" s="38" t="str">
        <f>IF(dataset_A!C433=1,"Spring",IF(dataset_A!C433=2,"Summer",IF(dataset_A!C433=3,"Fail","Winter")))</f>
        <v>Spring</v>
      </c>
      <c r="J433" s="38" t="str">
        <f>IF(dataset_A!I433=1,"Clear",IF(dataset_A!I433,"Mist/Cloudy",IF(dataset_A!I433=3,"Light Rain/Snow","Heavy Rain/Snow")))</f>
        <v>Clear</v>
      </c>
      <c r="K433" s="38">
        <f>dataset_A!N433</f>
        <v>0</v>
      </c>
      <c r="L433" s="38">
        <f>dataset_A!O433</f>
        <v>57</v>
      </c>
      <c r="M433" s="38">
        <f>dataset_A!P433</f>
        <v>57</v>
      </c>
      <c r="N433" s="38" t="str">
        <f t="shared" si="3"/>
        <v>Ok</v>
      </c>
      <c r="O433" s="38" t="str">
        <f>IF(M433&gt;Analysis!$B$3*1.5,"High",IF(M433&lt;Analysis!$B$3*0.5,"Low","Medium"))</f>
        <v>Medium</v>
      </c>
      <c r="P433" s="38" t="str">
        <f>VLOOKUP(dataset_A!C433,$Q$2:$R$5,2,0)</f>
        <v>Spring</v>
      </c>
      <c r="S433" s="38" t="str">
        <f t="array" ref="S433">INDEX($R$2:$R$5,MATCH(dataset_A!C433,$Q$2:$Q$5,0))</f>
        <v>Spring</v>
      </c>
      <c r="T433" s="38" t="str">
        <f t="shared" si="4"/>
        <v>Match</v>
      </c>
    </row>
    <row r="434" ht="12.75" customHeight="1">
      <c r="A434" s="38">
        <f>dataset_A!A434</f>
        <v>346</v>
      </c>
      <c r="B434" s="39">
        <f>dataset_A!B434</f>
        <v>40558</v>
      </c>
      <c r="C434" s="38">
        <f>dataset_A!F434</f>
        <v>21</v>
      </c>
      <c r="D434" s="38">
        <f>dataset_A!H434</f>
        <v>6</v>
      </c>
      <c r="E434" s="38" t="b">
        <f>dataset_A!G434</f>
        <v>0</v>
      </c>
      <c r="F434" s="38" t="b">
        <f>dataset_A!G434</f>
        <v>0</v>
      </c>
      <c r="G434" s="38" t="str">
        <f t="shared" si="1"/>
        <v>Weekend</v>
      </c>
      <c r="H434" s="38" t="str">
        <f t="shared" si="2"/>
        <v>Evening</v>
      </c>
      <c r="I434" s="38" t="str">
        <f>IF(dataset_A!C434=1,"Spring",IF(dataset_A!C434=2,"Summer",IF(dataset_A!C434=3,"Fail","Winter")))</f>
        <v>Spring</v>
      </c>
      <c r="J434" s="38" t="str">
        <f>IF(dataset_A!I434=1,"Clear",IF(dataset_A!I434,"Mist/Cloudy",IF(dataset_A!I434=3,"Light Rain/Snow","Heavy Rain/Snow")))</f>
        <v>Mist/Cloudy</v>
      </c>
      <c r="K434" s="38">
        <f>dataset_A!N434</f>
        <v>6</v>
      </c>
      <c r="L434" s="38">
        <f>dataset_A!O434</f>
        <v>51</v>
      </c>
      <c r="M434" s="38">
        <f>dataset_A!P434</f>
        <v>57</v>
      </c>
      <c r="N434" s="38" t="str">
        <f t="shared" si="3"/>
        <v>Ok</v>
      </c>
      <c r="O434" s="38" t="str">
        <f>IF(M434&gt;Analysis!$B$3*1.5,"High",IF(M434&lt;Analysis!$B$3*0.5,"Low","Medium"))</f>
        <v>Medium</v>
      </c>
      <c r="P434" s="38" t="str">
        <f>VLOOKUP(dataset_A!C434,$Q$2:$R$5,2,0)</f>
        <v>Spring</v>
      </c>
      <c r="S434" s="38" t="str">
        <f t="array" ref="S434">INDEX($R$2:$R$5,MATCH(dataset_A!C434,$Q$2:$Q$5,0))</f>
        <v>Spring</v>
      </c>
      <c r="T434" s="38" t="str">
        <f t="shared" si="4"/>
        <v>Match</v>
      </c>
    </row>
    <row r="435" ht="12.75" customHeight="1">
      <c r="A435" s="38">
        <f>dataset_A!A435</f>
        <v>369</v>
      </c>
      <c r="B435" s="39">
        <f>dataset_A!B435</f>
        <v>40559</v>
      </c>
      <c r="C435" s="38">
        <f>dataset_A!F435</f>
        <v>20</v>
      </c>
      <c r="D435" s="38">
        <f>dataset_A!H435</f>
        <v>0</v>
      </c>
      <c r="E435" s="38" t="b">
        <f>dataset_A!G435</f>
        <v>0</v>
      </c>
      <c r="F435" s="38" t="b">
        <f>dataset_A!G435</f>
        <v>0</v>
      </c>
      <c r="G435" s="38" t="str">
        <f t="shared" si="1"/>
        <v>Weekend</v>
      </c>
      <c r="H435" s="38" t="str">
        <f t="shared" si="2"/>
        <v>Evening</v>
      </c>
      <c r="I435" s="38" t="str">
        <f>IF(dataset_A!C435=1,"Spring",IF(dataset_A!C435=2,"Summer",IF(dataset_A!C435=3,"Fail","Winter")))</f>
        <v>Spring</v>
      </c>
      <c r="J435" s="38" t="str">
        <f>IF(dataset_A!I435=1,"Clear",IF(dataset_A!I435,"Mist/Cloudy",IF(dataset_A!I435=3,"Light Rain/Snow","Heavy Rain/Snow")))</f>
        <v>Clear</v>
      </c>
      <c r="K435" s="38">
        <f>dataset_A!N435</f>
        <v>7</v>
      </c>
      <c r="L435" s="38">
        <f>dataset_A!O435</f>
        <v>50</v>
      </c>
      <c r="M435" s="38">
        <f>dataset_A!P435</f>
        <v>57</v>
      </c>
      <c r="N435" s="38" t="str">
        <f t="shared" si="3"/>
        <v>Ok</v>
      </c>
      <c r="O435" s="38" t="str">
        <f>IF(M435&gt;Analysis!$B$3*1.5,"High",IF(M435&lt;Analysis!$B$3*0.5,"Low","Medium"))</f>
        <v>Medium</v>
      </c>
      <c r="P435" s="38" t="str">
        <f>VLOOKUP(dataset_A!C435,$Q$2:$R$5,2,0)</f>
        <v>Spring</v>
      </c>
      <c r="S435" s="38" t="str">
        <f t="array" ref="S435">INDEX($R$2:$R$5,MATCH(dataset_A!C435,$Q$2:$Q$5,0))</f>
        <v>Spring</v>
      </c>
      <c r="T435" s="38" t="str">
        <f t="shared" si="4"/>
        <v>Match</v>
      </c>
    </row>
    <row r="436" ht="12.75" customHeight="1">
      <c r="A436" s="38">
        <f>dataset_A!A436</f>
        <v>383</v>
      </c>
      <c r="B436" s="39">
        <f>dataset_A!B436</f>
        <v>40560</v>
      </c>
      <c r="C436" s="38">
        <f>dataset_A!F436</f>
        <v>10</v>
      </c>
      <c r="D436" s="38">
        <f>dataset_A!H436</f>
        <v>1</v>
      </c>
      <c r="E436" s="38" t="b">
        <f>dataset_A!G436</f>
        <v>1</v>
      </c>
      <c r="F436" s="38" t="b">
        <f>dataset_A!G436</f>
        <v>1</v>
      </c>
      <c r="G436" s="38" t="str">
        <f t="shared" si="1"/>
        <v>Weekday</v>
      </c>
      <c r="H436" s="38" t="str">
        <f t="shared" si="2"/>
        <v>Morning</v>
      </c>
      <c r="I436" s="38" t="str">
        <f>IF(dataset_A!C436=1,"Spring",IF(dataset_A!C436=2,"Summer",IF(dataset_A!C436=3,"Fail","Winter")))</f>
        <v>Spring</v>
      </c>
      <c r="J436" s="38" t="str">
        <f>IF(dataset_A!I436=1,"Clear",IF(dataset_A!I436,"Mist/Cloudy",IF(dataset_A!I436=3,"Light Rain/Snow","Heavy Rain/Snow")))</f>
        <v>Mist/Cloudy</v>
      </c>
      <c r="K436" s="38">
        <f>dataset_A!N436</f>
        <v>7</v>
      </c>
      <c r="L436" s="38">
        <f>dataset_A!O436</f>
        <v>50</v>
      </c>
      <c r="M436" s="38">
        <f>dataset_A!P436</f>
        <v>57</v>
      </c>
      <c r="N436" s="38" t="str">
        <f t="shared" si="3"/>
        <v>Ok</v>
      </c>
      <c r="O436" s="38" t="str">
        <f>IF(M436&gt;Analysis!$B$3*1.5,"High",IF(M436&lt;Analysis!$B$3*0.5,"Low","Medium"))</f>
        <v>Medium</v>
      </c>
      <c r="P436" s="38" t="str">
        <f>VLOOKUP(dataset_A!C436,$Q$2:$R$5,2,0)</f>
        <v>Spring</v>
      </c>
      <c r="S436" s="38" t="str">
        <f t="array" ref="S436">INDEX($R$2:$R$5,MATCH(dataset_A!C436,$Q$2:$Q$5,0))</f>
        <v>Spring</v>
      </c>
      <c r="T436" s="38" t="str">
        <f t="shared" si="4"/>
        <v>Match</v>
      </c>
    </row>
    <row r="437" ht="12.75" customHeight="1">
      <c r="A437" s="38">
        <f>dataset_A!A437</f>
        <v>442</v>
      </c>
      <c r="B437" s="39">
        <f>dataset_A!B437</f>
        <v>40563</v>
      </c>
      <c r="C437" s="38">
        <f>dataset_A!F437</f>
        <v>10</v>
      </c>
      <c r="D437" s="38">
        <f>dataset_A!H437</f>
        <v>4</v>
      </c>
      <c r="E437" s="38" t="b">
        <f>dataset_A!G437</f>
        <v>0</v>
      </c>
      <c r="F437" s="38" t="b">
        <f>dataset_A!G437</f>
        <v>0</v>
      </c>
      <c r="G437" s="38" t="str">
        <f t="shared" si="1"/>
        <v>Weekday</v>
      </c>
      <c r="H437" s="38" t="str">
        <f t="shared" si="2"/>
        <v>Morning</v>
      </c>
      <c r="I437" s="38" t="str">
        <f>IF(dataset_A!C437=1,"Spring",IF(dataset_A!C437=2,"Summer",IF(dataset_A!C437=3,"Fail","Winter")))</f>
        <v>Spring</v>
      </c>
      <c r="J437" s="38" t="str">
        <f>IF(dataset_A!I437=1,"Clear",IF(dataset_A!I437,"Mist/Cloudy",IF(dataset_A!I437=3,"Light Rain/Snow","Heavy Rain/Snow")))</f>
        <v>Clear</v>
      </c>
      <c r="K437" s="38">
        <f>dataset_A!N437</f>
        <v>1</v>
      </c>
      <c r="L437" s="38">
        <f>dataset_A!O437</f>
        <v>56</v>
      </c>
      <c r="M437" s="38">
        <f>dataset_A!P437</f>
        <v>57</v>
      </c>
      <c r="N437" s="38" t="str">
        <f t="shared" si="3"/>
        <v>Ok</v>
      </c>
      <c r="O437" s="38" t="str">
        <f>IF(M437&gt;Analysis!$B$3*1.5,"High",IF(M437&lt;Analysis!$B$3*0.5,"Low","Medium"))</f>
        <v>Medium</v>
      </c>
      <c r="P437" s="38" t="str">
        <f>VLOOKUP(dataset_A!C437,$Q$2:$R$5,2,0)</f>
        <v>Spring</v>
      </c>
      <c r="S437" s="38" t="str">
        <f t="array" ref="S437">INDEX($R$2:$R$5,MATCH(dataset_A!C437,$Q$2:$Q$5,0))</f>
        <v>Spring</v>
      </c>
      <c r="T437" s="38" t="str">
        <f t="shared" si="4"/>
        <v>Match</v>
      </c>
    </row>
    <row r="438" ht="12.75" customHeight="1">
      <c r="A438" s="38">
        <f>dataset_A!A438</f>
        <v>453</v>
      </c>
      <c r="B438" s="39">
        <f>dataset_A!B438</f>
        <v>40563</v>
      </c>
      <c r="C438" s="38">
        <f>dataset_A!F438</f>
        <v>21</v>
      </c>
      <c r="D438" s="38">
        <f>dataset_A!H438</f>
        <v>4</v>
      </c>
      <c r="E438" s="38" t="b">
        <f>dataset_A!G438</f>
        <v>0</v>
      </c>
      <c r="F438" s="38" t="b">
        <f>dataset_A!G438</f>
        <v>0</v>
      </c>
      <c r="G438" s="38" t="str">
        <f t="shared" si="1"/>
        <v>Weekday</v>
      </c>
      <c r="H438" s="38" t="str">
        <f t="shared" si="2"/>
        <v>Evening</v>
      </c>
      <c r="I438" s="38" t="str">
        <f>IF(dataset_A!C438=1,"Spring",IF(dataset_A!C438=2,"Summer",IF(dataset_A!C438=3,"Fail","Winter")))</f>
        <v>Spring</v>
      </c>
      <c r="J438" s="38" t="str">
        <f>IF(dataset_A!I438=1,"Clear",IF(dataset_A!I438,"Mist/Cloudy",IF(dataset_A!I438=3,"Light Rain/Snow","Heavy Rain/Snow")))</f>
        <v>Mist/Cloudy</v>
      </c>
      <c r="K438" s="38">
        <f>dataset_A!N438</f>
        <v>3</v>
      </c>
      <c r="L438" s="38">
        <f>dataset_A!O438</f>
        <v>54</v>
      </c>
      <c r="M438" s="38">
        <f>dataset_A!P438</f>
        <v>57</v>
      </c>
      <c r="N438" s="38" t="str">
        <f t="shared" si="3"/>
        <v>Ok</v>
      </c>
      <c r="O438" s="38" t="str">
        <f>IF(M438&gt;Analysis!$B$3*1.5,"High",IF(M438&lt;Analysis!$B$3*0.5,"Low","Medium"))</f>
        <v>Medium</v>
      </c>
      <c r="P438" s="38" t="str">
        <f>VLOOKUP(dataset_A!C438,$Q$2:$R$5,2,0)</f>
        <v>Spring</v>
      </c>
      <c r="S438" s="38" t="str">
        <f t="array" ref="S438">INDEX($R$2:$R$5,MATCH(dataset_A!C438,$Q$2:$Q$5,0))</f>
        <v>Spring</v>
      </c>
      <c r="T438" s="38" t="str">
        <f t="shared" si="4"/>
        <v>Match</v>
      </c>
    </row>
    <row r="439" ht="12.75" customHeight="1">
      <c r="A439" s="38">
        <f>dataset_A!A439</f>
        <v>540</v>
      </c>
      <c r="B439" s="39">
        <f>dataset_A!B439</f>
        <v>40567</v>
      </c>
      <c r="C439" s="38">
        <f>dataset_A!F439</f>
        <v>15</v>
      </c>
      <c r="D439" s="38">
        <f>dataset_A!H439</f>
        <v>1</v>
      </c>
      <c r="E439" s="38" t="b">
        <f>dataset_A!G439</f>
        <v>0</v>
      </c>
      <c r="F439" s="38" t="b">
        <f>dataset_A!G439</f>
        <v>0</v>
      </c>
      <c r="G439" s="38" t="str">
        <f t="shared" si="1"/>
        <v>Weekday</v>
      </c>
      <c r="H439" s="38" t="str">
        <f t="shared" si="2"/>
        <v>Afternoon</v>
      </c>
      <c r="I439" s="38" t="str">
        <f>IF(dataset_A!C439=1,"Spring",IF(dataset_A!C439=2,"Summer",IF(dataset_A!C439=3,"Fail","Winter")))</f>
        <v>Spring</v>
      </c>
      <c r="J439" s="38" t="str">
        <f>IF(dataset_A!I439=1,"Clear",IF(dataset_A!I439,"Mist/Cloudy",IF(dataset_A!I439=3,"Light Rain/Snow","Heavy Rain/Snow")))</f>
        <v>Clear</v>
      </c>
      <c r="K439" s="38">
        <f>dataset_A!N439</f>
        <v>7</v>
      </c>
      <c r="L439" s="38">
        <f>dataset_A!O439</f>
        <v>50</v>
      </c>
      <c r="M439" s="38">
        <f>dataset_A!P439</f>
        <v>57</v>
      </c>
      <c r="N439" s="38" t="str">
        <f t="shared" si="3"/>
        <v>Ok</v>
      </c>
      <c r="O439" s="38" t="str">
        <f>IF(M439&gt;Analysis!$B$3*1.5,"High",IF(M439&lt;Analysis!$B$3*0.5,"Low","Medium"))</f>
        <v>Medium</v>
      </c>
      <c r="P439" s="38" t="str">
        <f>VLOOKUP(dataset_A!C439,$Q$2:$R$5,2,0)</f>
        <v>Spring</v>
      </c>
      <c r="S439" s="38" t="str">
        <f t="array" ref="S439">INDEX($R$2:$R$5,MATCH(dataset_A!C439,$Q$2:$Q$5,0))</f>
        <v>Spring</v>
      </c>
      <c r="T439" s="38" t="str">
        <f t="shared" si="4"/>
        <v>Match</v>
      </c>
    </row>
    <row r="440" ht="12.75" customHeight="1">
      <c r="A440" s="38">
        <f>dataset_A!A440</f>
        <v>12</v>
      </c>
      <c r="B440" s="39">
        <f>dataset_A!B440</f>
        <v>40544</v>
      </c>
      <c r="C440" s="38">
        <f>dataset_A!F440</f>
        <v>11</v>
      </c>
      <c r="D440" s="38">
        <f>dataset_A!H440</f>
        <v>6</v>
      </c>
      <c r="E440" s="38" t="b">
        <f>dataset_A!G440</f>
        <v>0</v>
      </c>
      <c r="F440" s="38" t="b">
        <f>dataset_A!G440</f>
        <v>0</v>
      </c>
      <c r="G440" s="38" t="str">
        <f t="shared" si="1"/>
        <v>Weekend</v>
      </c>
      <c r="H440" s="38" t="str">
        <f t="shared" si="2"/>
        <v>Morning</v>
      </c>
      <c r="I440" s="38" t="str">
        <f>IF(dataset_A!C440=1,"Spring",IF(dataset_A!C440=2,"Summer",IF(dataset_A!C440=3,"Fail","Winter")))</f>
        <v>Spring</v>
      </c>
      <c r="J440" s="38" t="str">
        <f>IF(dataset_A!I440=1,"Clear",IF(dataset_A!I440,"Mist/Cloudy",IF(dataset_A!I440=3,"Light Rain/Snow","Heavy Rain/Snow")))</f>
        <v>Clear</v>
      </c>
      <c r="K440" s="38">
        <f>dataset_A!N440</f>
        <v>26</v>
      </c>
      <c r="L440" s="38">
        <f>dataset_A!O440</f>
        <v>30</v>
      </c>
      <c r="M440" s="38">
        <f>dataset_A!P440</f>
        <v>56</v>
      </c>
      <c r="N440" s="38" t="str">
        <f t="shared" si="3"/>
        <v>Ok</v>
      </c>
      <c r="O440" s="38" t="str">
        <f>IF(M440&gt;Analysis!$B$3*1.5,"High",IF(M440&lt;Analysis!$B$3*0.5,"Low","Medium"))</f>
        <v>Medium</v>
      </c>
      <c r="P440" s="38" t="str">
        <f>VLOOKUP(dataset_A!C440,$Q$2:$R$5,2,0)</f>
        <v>Spring</v>
      </c>
      <c r="S440" s="38" t="str">
        <f t="array" ref="S440">INDEX($R$2:$R$5,MATCH(dataset_A!C440,$Q$2:$Q$5,0))</f>
        <v>Spring</v>
      </c>
      <c r="T440" s="38" t="str">
        <f t="shared" si="4"/>
        <v>Match</v>
      </c>
    </row>
    <row r="441" ht="12.75" customHeight="1">
      <c r="A441" s="38">
        <f>dataset_A!A441</f>
        <v>274</v>
      </c>
      <c r="B441" s="39">
        <f>dataset_A!B441</f>
        <v>40555</v>
      </c>
      <c r="C441" s="38">
        <f>dataset_A!F441</f>
        <v>20</v>
      </c>
      <c r="D441" s="38">
        <f>dataset_A!H441</f>
        <v>3</v>
      </c>
      <c r="E441" s="38" t="b">
        <f>dataset_A!G441</f>
        <v>0</v>
      </c>
      <c r="F441" s="38" t="b">
        <f>dataset_A!G441</f>
        <v>0</v>
      </c>
      <c r="G441" s="38" t="str">
        <f t="shared" si="1"/>
        <v>Weekday</v>
      </c>
      <c r="H441" s="38" t="str">
        <f t="shared" si="2"/>
        <v>Evening</v>
      </c>
      <c r="I441" s="38" t="str">
        <f>IF(dataset_A!C441=1,"Spring",IF(dataset_A!C441=2,"Summer",IF(dataset_A!C441=3,"Fail","Winter")))</f>
        <v>Spring</v>
      </c>
      <c r="J441" s="38" t="str">
        <f>IF(dataset_A!I441=1,"Clear",IF(dataset_A!I441,"Mist/Cloudy",IF(dataset_A!I441=3,"Light Rain/Snow","Heavy Rain/Snow")))</f>
        <v>Clear</v>
      </c>
      <c r="K441" s="38">
        <f>dataset_A!N441</f>
        <v>2</v>
      </c>
      <c r="L441" s="38">
        <f>dataset_A!O441</f>
        <v>54</v>
      </c>
      <c r="M441" s="38">
        <f>dataset_A!P441</f>
        <v>56</v>
      </c>
      <c r="N441" s="38" t="str">
        <f t="shared" si="3"/>
        <v>Ok</v>
      </c>
      <c r="O441" s="38" t="str">
        <f>IF(M441&gt;Analysis!$B$3*1.5,"High",IF(M441&lt;Analysis!$B$3*0.5,"Low","Medium"))</f>
        <v>Medium</v>
      </c>
      <c r="P441" s="38" t="str">
        <f>VLOOKUP(dataset_A!C441,$Q$2:$R$5,2,0)</f>
        <v>Spring</v>
      </c>
      <c r="S441" s="38" t="str">
        <f t="array" ref="S441">INDEX($R$2:$R$5,MATCH(dataset_A!C441,$Q$2:$Q$5,0))</f>
        <v>Spring</v>
      </c>
      <c r="T441" s="38" t="str">
        <f t="shared" si="4"/>
        <v>Match</v>
      </c>
    </row>
    <row r="442" ht="12.75" customHeight="1">
      <c r="A442" s="38">
        <f>dataset_A!A442</f>
        <v>454</v>
      </c>
      <c r="B442" s="39">
        <f>dataset_A!B442</f>
        <v>40563</v>
      </c>
      <c r="C442" s="38">
        <f>dataset_A!F442</f>
        <v>22</v>
      </c>
      <c r="D442" s="38">
        <f>dataset_A!H442</f>
        <v>4</v>
      </c>
      <c r="E442" s="38" t="b">
        <f>dataset_A!G442</f>
        <v>0</v>
      </c>
      <c r="F442" s="38" t="b">
        <f>dataset_A!G442</f>
        <v>0</v>
      </c>
      <c r="G442" s="38" t="str">
        <f t="shared" si="1"/>
        <v>Weekday</v>
      </c>
      <c r="H442" s="38" t="str">
        <f t="shared" si="2"/>
        <v>Evening</v>
      </c>
      <c r="I442" s="38" t="str">
        <f>IF(dataset_A!C442=1,"Spring",IF(dataset_A!C442=2,"Summer",IF(dataset_A!C442=3,"Fail","Winter")))</f>
        <v>Spring</v>
      </c>
      <c r="J442" s="38" t="str">
        <f>IF(dataset_A!I442=1,"Clear",IF(dataset_A!I442,"Mist/Cloudy",IF(dataset_A!I442=3,"Light Rain/Snow","Heavy Rain/Snow")))</f>
        <v>Mist/Cloudy</v>
      </c>
      <c r="K442" s="38">
        <f>dataset_A!N442</f>
        <v>0</v>
      </c>
      <c r="L442" s="38">
        <f>dataset_A!O442</f>
        <v>56</v>
      </c>
      <c r="M442" s="38">
        <f>dataset_A!P442</f>
        <v>56</v>
      </c>
      <c r="N442" s="38" t="str">
        <f t="shared" si="3"/>
        <v>Ok</v>
      </c>
      <c r="O442" s="38" t="str">
        <f>IF(M442&gt;Analysis!$B$3*1.5,"High",IF(M442&lt;Analysis!$B$3*0.5,"Low","Medium"))</f>
        <v>Medium</v>
      </c>
      <c r="P442" s="38" t="str">
        <f>VLOOKUP(dataset_A!C442,$Q$2:$R$5,2,0)</f>
        <v>Spring</v>
      </c>
      <c r="S442" s="38" t="str">
        <f t="array" ref="S442">INDEX($R$2:$R$5,MATCH(dataset_A!C442,$Q$2:$Q$5,0))</f>
        <v>Spring</v>
      </c>
      <c r="T442" s="38" t="str">
        <f t="shared" si="4"/>
        <v>Match</v>
      </c>
    </row>
    <row r="443" ht="12.75" customHeight="1">
      <c r="A443" s="38">
        <f>dataset_A!A443</f>
        <v>686</v>
      </c>
      <c r="B443" s="39">
        <f>dataset_A!B443</f>
        <v>40574</v>
      </c>
      <c r="C443" s="38">
        <f>dataset_A!F443</f>
        <v>21</v>
      </c>
      <c r="D443" s="38">
        <f>dataset_A!H443</f>
        <v>1</v>
      </c>
      <c r="E443" s="38" t="b">
        <f>dataset_A!G443</f>
        <v>0</v>
      </c>
      <c r="F443" s="38" t="b">
        <f>dataset_A!G443</f>
        <v>0</v>
      </c>
      <c r="G443" s="38" t="str">
        <f t="shared" si="1"/>
        <v>Weekday</v>
      </c>
      <c r="H443" s="38" t="str">
        <f t="shared" si="2"/>
        <v>Evening</v>
      </c>
      <c r="I443" s="38" t="str">
        <f>IF(dataset_A!C443=1,"Spring",IF(dataset_A!C443=2,"Summer",IF(dataset_A!C443=3,"Fail","Winter")))</f>
        <v>Spring</v>
      </c>
      <c r="J443" s="38" t="str">
        <f>IF(dataset_A!I443=1,"Clear",IF(dataset_A!I443,"Mist/Cloudy",IF(dataset_A!I443=3,"Light Rain/Snow","Heavy Rain/Snow")))</f>
        <v>Mist/Cloudy</v>
      </c>
      <c r="K443" s="38">
        <f>dataset_A!N443</f>
        <v>3</v>
      </c>
      <c r="L443" s="38">
        <f>dataset_A!O443</f>
        <v>53</v>
      </c>
      <c r="M443" s="38">
        <f>dataset_A!P443</f>
        <v>56</v>
      </c>
      <c r="N443" s="38" t="str">
        <f t="shared" si="3"/>
        <v>Ok</v>
      </c>
      <c r="O443" s="38" t="str">
        <f>IF(M443&gt;Analysis!$B$3*1.5,"High",IF(M443&lt;Analysis!$B$3*0.5,"Low","Medium"))</f>
        <v>Medium</v>
      </c>
      <c r="P443" s="38" t="str">
        <f>VLOOKUP(dataset_A!C443,$Q$2:$R$5,2,0)</f>
        <v>Spring</v>
      </c>
      <c r="S443" s="38" t="str">
        <f t="array" ref="S443">INDEX($R$2:$R$5,MATCH(dataset_A!C443,$Q$2:$Q$5,0))</f>
        <v>Spring</v>
      </c>
      <c r="T443" s="38" t="str">
        <f t="shared" si="4"/>
        <v>Match</v>
      </c>
    </row>
    <row r="444" ht="12.75" customHeight="1">
      <c r="A444" s="38">
        <f>dataset_A!A444</f>
        <v>803</v>
      </c>
      <c r="B444" s="39">
        <f>dataset_A!B444</f>
        <v>40579</v>
      </c>
      <c r="C444" s="38">
        <f>dataset_A!F444</f>
        <v>21</v>
      </c>
      <c r="D444" s="38">
        <f>dataset_A!H444</f>
        <v>6</v>
      </c>
      <c r="E444" s="38" t="b">
        <f>dataset_A!G444</f>
        <v>0</v>
      </c>
      <c r="F444" s="38" t="b">
        <f>dataset_A!G444</f>
        <v>0</v>
      </c>
      <c r="G444" s="38" t="str">
        <f t="shared" si="1"/>
        <v>Weekend</v>
      </c>
      <c r="H444" s="38" t="str">
        <f t="shared" si="2"/>
        <v>Evening</v>
      </c>
      <c r="I444" s="38" t="str">
        <f>IF(dataset_A!C444=1,"Spring",IF(dataset_A!C444=2,"Summer",IF(dataset_A!C444=3,"Fail","Winter")))</f>
        <v>Spring</v>
      </c>
      <c r="J444" s="38" t="str">
        <f>IF(dataset_A!I444=1,"Clear",IF(dataset_A!I444,"Mist/Cloudy",IF(dataset_A!I444=3,"Light Rain/Snow","Heavy Rain/Snow")))</f>
        <v>Clear</v>
      </c>
      <c r="K444" s="38">
        <f>dataset_A!N444</f>
        <v>3</v>
      </c>
      <c r="L444" s="38">
        <f>dataset_A!O444</f>
        <v>53</v>
      </c>
      <c r="M444" s="38">
        <f>dataset_A!P444</f>
        <v>56</v>
      </c>
      <c r="N444" s="38" t="str">
        <f t="shared" si="3"/>
        <v>Ok</v>
      </c>
      <c r="O444" s="38" t="str">
        <f>IF(M444&gt;Analysis!$B$3*1.5,"High",IF(M444&lt;Analysis!$B$3*0.5,"Low","Medium"))</f>
        <v>Medium</v>
      </c>
      <c r="P444" s="38" t="str">
        <f>VLOOKUP(dataset_A!C444,$Q$2:$R$5,2,0)</f>
        <v>Spring</v>
      </c>
      <c r="S444" s="38" t="str">
        <f t="array" ref="S444">INDEX($R$2:$R$5,MATCH(dataset_A!C444,$Q$2:$Q$5,0))</f>
        <v>Spring</v>
      </c>
      <c r="T444" s="38" t="str">
        <f t="shared" si="4"/>
        <v>Match</v>
      </c>
    </row>
    <row r="445" ht="12.75" customHeight="1">
      <c r="A445" s="38">
        <f>dataset_A!A445</f>
        <v>874</v>
      </c>
      <c r="B445" s="39">
        <f>dataset_A!B445</f>
        <v>40582</v>
      </c>
      <c r="C445" s="38">
        <f>dataset_A!F445</f>
        <v>20</v>
      </c>
      <c r="D445" s="38">
        <f>dataset_A!H445</f>
        <v>2</v>
      </c>
      <c r="E445" s="38" t="b">
        <f>dataset_A!G445</f>
        <v>0</v>
      </c>
      <c r="F445" s="38" t="b">
        <f>dataset_A!G445</f>
        <v>0</v>
      </c>
      <c r="G445" s="38" t="str">
        <f t="shared" si="1"/>
        <v>Weekday</v>
      </c>
      <c r="H445" s="38" t="str">
        <f t="shared" si="2"/>
        <v>Evening</v>
      </c>
      <c r="I445" s="38" t="str">
        <f>IF(dataset_A!C445=1,"Spring",IF(dataset_A!C445=2,"Summer",IF(dataset_A!C445=3,"Fail","Winter")))</f>
        <v>Spring</v>
      </c>
      <c r="J445" s="38" t="str">
        <f>IF(dataset_A!I445=1,"Clear",IF(dataset_A!I445,"Mist/Cloudy",IF(dataset_A!I445=3,"Light Rain/Snow","Heavy Rain/Snow")))</f>
        <v>Clear</v>
      </c>
      <c r="K445" s="38">
        <f>dataset_A!N445</f>
        <v>3</v>
      </c>
      <c r="L445" s="38">
        <f>dataset_A!O445</f>
        <v>53</v>
      </c>
      <c r="M445" s="38">
        <f>dataset_A!P445</f>
        <v>56</v>
      </c>
      <c r="N445" s="38" t="str">
        <f t="shared" si="3"/>
        <v>Ok</v>
      </c>
      <c r="O445" s="38" t="str">
        <f>IF(M445&gt;Analysis!$B$3*1.5,"High",IF(M445&lt;Analysis!$B$3*0.5,"Low","Medium"))</f>
        <v>Medium</v>
      </c>
      <c r="P445" s="38" t="str">
        <f>VLOOKUP(dataset_A!C445,$Q$2:$R$5,2,0)</f>
        <v>Spring</v>
      </c>
      <c r="S445" s="38" t="str">
        <f t="array" ref="S445">INDEX($R$2:$R$5,MATCH(dataset_A!C445,$Q$2:$Q$5,0))</f>
        <v>Spring</v>
      </c>
      <c r="T445" s="38" t="str">
        <f t="shared" si="4"/>
        <v>Match</v>
      </c>
    </row>
    <row r="446" ht="12.75" customHeight="1">
      <c r="A446" s="38">
        <f>dataset_A!A446</f>
        <v>180</v>
      </c>
      <c r="B446" s="39">
        <f>dataset_A!B446</f>
        <v>40551</v>
      </c>
      <c r="C446" s="38">
        <f>dataset_A!F446</f>
        <v>18</v>
      </c>
      <c r="D446" s="38">
        <f>dataset_A!H446</f>
        <v>6</v>
      </c>
      <c r="E446" s="38" t="b">
        <f>dataset_A!G446</f>
        <v>0</v>
      </c>
      <c r="F446" s="38" t="b">
        <f>dataset_A!G446</f>
        <v>0</v>
      </c>
      <c r="G446" s="38" t="str">
        <f t="shared" si="1"/>
        <v>Weekend</v>
      </c>
      <c r="H446" s="38" t="str">
        <f t="shared" si="2"/>
        <v>Evening</v>
      </c>
      <c r="I446" s="38" t="str">
        <f>IF(dataset_A!C446=1,"Spring",IF(dataset_A!C446=2,"Summer",IF(dataset_A!C446=3,"Fail","Winter")))</f>
        <v>Spring</v>
      </c>
      <c r="J446" s="38" t="str">
        <f>IF(dataset_A!I446=1,"Clear",IF(dataset_A!I446,"Mist/Cloudy",IF(dataset_A!I446=3,"Light Rain/Snow","Heavy Rain/Snow")))</f>
        <v>Clear</v>
      </c>
      <c r="K446" s="38">
        <f>dataset_A!N446</f>
        <v>3</v>
      </c>
      <c r="L446" s="38">
        <f>dataset_A!O446</f>
        <v>52</v>
      </c>
      <c r="M446" s="38">
        <f>dataset_A!P446</f>
        <v>55</v>
      </c>
      <c r="N446" s="38" t="str">
        <f t="shared" si="3"/>
        <v>Ok</v>
      </c>
      <c r="O446" s="38" t="str">
        <f>IF(M446&gt;Analysis!$B$3*1.5,"High",IF(M446&lt;Analysis!$B$3*0.5,"Low","Medium"))</f>
        <v>Medium</v>
      </c>
      <c r="P446" s="38" t="str">
        <f>VLOOKUP(dataset_A!C446,$Q$2:$R$5,2,0)</f>
        <v>Spring</v>
      </c>
      <c r="S446" s="38" t="str">
        <f t="array" ref="S446">INDEX($R$2:$R$5,MATCH(dataset_A!C446,$Q$2:$Q$5,0))</f>
        <v>Spring</v>
      </c>
      <c r="T446" s="38" t="str">
        <f t="shared" si="4"/>
        <v>Match</v>
      </c>
    </row>
    <row r="447" ht="12.75" customHeight="1">
      <c r="A447" s="38">
        <f>dataset_A!A447</f>
        <v>266</v>
      </c>
      <c r="B447" s="39">
        <f>dataset_A!B447</f>
        <v>40555</v>
      </c>
      <c r="C447" s="38">
        <f>dataset_A!F447</f>
        <v>12</v>
      </c>
      <c r="D447" s="38">
        <f>dataset_A!H447</f>
        <v>3</v>
      </c>
      <c r="E447" s="38" t="b">
        <f>dataset_A!G447</f>
        <v>0</v>
      </c>
      <c r="F447" s="38" t="b">
        <f>dataset_A!G447</f>
        <v>0</v>
      </c>
      <c r="G447" s="38" t="str">
        <f t="shared" si="1"/>
        <v>Weekday</v>
      </c>
      <c r="H447" s="38" t="str">
        <f t="shared" si="2"/>
        <v>Afternoon</v>
      </c>
      <c r="I447" s="38" t="str">
        <f>IF(dataset_A!C447=1,"Spring",IF(dataset_A!C447=2,"Summer",IF(dataset_A!C447=3,"Fail","Winter")))</f>
        <v>Spring</v>
      </c>
      <c r="J447" s="38" t="str">
        <f>IF(dataset_A!I447=1,"Clear",IF(dataset_A!I447,"Mist/Cloudy",IF(dataset_A!I447=3,"Light Rain/Snow","Heavy Rain/Snow")))</f>
        <v>Clear</v>
      </c>
      <c r="K447" s="38">
        <f>dataset_A!N447</f>
        <v>3</v>
      </c>
      <c r="L447" s="38">
        <f>dataset_A!O447</f>
        <v>52</v>
      </c>
      <c r="M447" s="38">
        <f>dataset_A!P447</f>
        <v>55</v>
      </c>
      <c r="N447" s="38" t="str">
        <f t="shared" si="3"/>
        <v>Ok</v>
      </c>
      <c r="O447" s="38" t="str">
        <f>IF(M447&gt;Analysis!$B$3*1.5,"High",IF(M447&lt;Analysis!$B$3*0.5,"Low","Medium"))</f>
        <v>Medium</v>
      </c>
      <c r="P447" s="38" t="str">
        <f>VLOOKUP(dataset_A!C447,$Q$2:$R$5,2,0)</f>
        <v>Spring</v>
      </c>
      <c r="S447" s="38" t="str">
        <f t="array" ref="S447">INDEX($R$2:$R$5,MATCH(dataset_A!C447,$Q$2:$Q$5,0))</f>
        <v>Spring</v>
      </c>
      <c r="T447" s="38" t="str">
        <f t="shared" si="4"/>
        <v>Match</v>
      </c>
    </row>
    <row r="448" ht="12.75" customHeight="1">
      <c r="A448" s="38">
        <f>dataset_A!A448</f>
        <v>519</v>
      </c>
      <c r="B448" s="39">
        <f>dataset_A!B448</f>
        <v>40566</v>
      </c>
      <c r="C448" s="38">
        <f>dataset_A!F448</f>
        <v>17</v>
      </c>
      <c r="D448" s="38">
        <f>dataset_A!H448</f>
        <v>0</v>
      </c>
      <c r="E448" s="38" t="b">
        <f>dataset_A!G448</f>
        <v>0</v>
      </c>
      <c r="F448" s="38" t="b">
        <f>dataset_A!G448</f>
        <v>0</v>
      </c>
      <c r="G448" s="38" t="str">
        <f t="shared" si="1"/>
        <v>Weekend</v>
      </c>
      <c r="H448" s="38" t="str">
        <f t="shared" si="2"/>
        <v>Afternoon</v>
      </c>
      <c r="I448" s="38" t="str">
        <f>IF(dataset_A!C448=1,"Spring",IF(dataset_A!C448=2,"Summer",IF(dataset_A!C448=3,"Fail","Winter")))</f>
        <v>Spring</v>
      </c>
      <c r="J448" s="38" t="str">
        <f>IF(dataset_A!I448=1,"Clear",IF(dataset_A!I448,"Mist/Cloudy",IF(dataset_A!I448=3,"Light Rain/Snow","Heavy Rain/Snow")))</f>
        <v>Clear</v>
      </c>
      <c r="K448" s="38">
        <f>dataset_A!N448</f>
        <v>5</v>
      </c>
      <c r="L448" s="38">
        <f>dataset_A!O448</f>
        <v>50</v>
      </c>
      <c r="M448" s="38">
        <f>dataset_A!P448</f>
        <v>55</v>
      </c>
      <c r="N448" s="38" t="str">
        <f t="shared" si="3"/>
        <v>Ok</v>
      </c>
      <c r="O448" s="38" t="str">
        <f>IF(M448&gt;Analysis!$B$3*1.5,"High",IF(M448&lt;Analysis!$B$3*0.5,"Low","Medium"))</f>
        <v>Medium</v>
      </c>
      <c r="P448" s="38" t="str">
        <f>VLOOKUP(dataset_A!C448,$Q$2:$R$5,2,0)</f>
        <v>Spring</v>
      </c>
      <c r="S448" s="38" t="str">
        <f t="array" ref="S448">INDEX($R$2:$R$5,MATCH(dataset_A!C448,$Q$2:$Q$5,0))</f>
        <v>Spring</v>
      </c>
      <c r="T448" s="38" t="str">
        <f t="shared" si="4"/>
        <v>Match</v>
      </c>
    </row>
    <row r="449" ht="12.75" customHeight="1">
      <c r="A449" s="38">
        <f>dataset_A!A449</f>
        <v>558</v>
      </c>
      <c r="B449" s="39">
        <f>dataset_A!B449</f>
        <v>40568</v>
      </c>
      <c r="C449" s="38">
        <f>dataset_A!F449</f>
        <v>10</v>
      </c>
      <c r="D449" s="38">
        <f>dataset_A!H449</f>
        <v>2</v>
      </c>
      <c r="E449" s="38" t="b">
        <f>dataset_A!G449</f>
        <v>0</v>
      </c>
      <c r="F449" s="38" t="b">
        <f>dataset_A!G449</f>
        <v>0</v>
      </c>
      <c r="G449" s="38" t="str">
        <f t="shared" si="1"/>
        <v>Weekday</v>
      </c>
      <c r="H449" s="38" t="str">
        <f t="shared" si="2"/>
        <v>Morning</v>
      </c>
      <c r="I449" s="38" t="str">
        <f>IF(dataset_A!C449=1,"Spring",IF(dataset_A!C449=2,"Summer",IF(dataset_A!C449=3,"Fail","Winter")))</f>
        <v>Spring</v>
      </c>
      <c r="J449" s="38" t="str">
        <f>IF(dataset_A!I449=1,"Clear",IF(dataset_A!I449,"Mist/Cloudy",IF(dataset_A!I449=3,"Light Rain/Snow","Heavy Rain/Snow")))</f>
        <v>Mist/Cloudy</v>
      </c>
      <c r="K449" s="38">
        <f>dataset_A!N449</f>
        <v>6</v>
      </c>
      <c r="L449" s="38">
        <f>dataset_A!O449</f>
        <v>49</v>
      </c>
      <c r="M449" s="38">
        <f>dataset_A!P449</f>
        <v>55</v>
      </c>
      <c r="N449" s="38" t="str">
        <f t="shared" si="3"/>
        <v>Ok</v>
      </c>
      <c r="O449" s="38" t="str">
        <f>IF(M449&gt;Analysis!$B$3*1.5,"High",IF(M449&lt;Analysis!$B$3*0.5,"Low","Medium"))</f>
        <v>Medium</v>
      </c>
      <c r="P449" s="38" t="str">
        <f>VLOOKUP(dataset_A!C449,$Q$2:$R$5,2,0)</f>
        <v>Spring</v>
      </c>
      <c r="S449" s="38" t="str">
        <f t="array" ref="S449">INDEX($R$2:$R$5,MATCH(dataset_A!C449,$Q$2:$Q$5,0))</f>
        <v>Spring</v>
      </c>
      <c r="T449" s="38" t="str">
        <f t="shared" si="4"/>
        <v>Match</v>
      </c>
    </row>
    <row r="450" ht="12.75" customHeight="1">
      <c r="A450" s="38">
        <f>dataset_A!A450</f>
        <v>628</v>
      </c>
      <c r="B450" s="39">
        <f>dataset_A!B450</f>
        <v>40572</v>
      </c>
      <c r="C450" s="38">
        <f>dataset_A!F450</f>
        <v>10</v>
      </c>
      <c r="D450" s="38">
        <f>dataset_A!H450</f>
        <v>6</v>
      </c>
      <c r="E450" s="38" t="b">
        <f>dataset_A!G450</f>
        <v>0</v>
      </c>
      <c r="F450" s="38" t="b">
        <f>dataset_A!G450</f>
        <v>0</v>
      </c>
      <c r="G450" s="38" t="str">
        <f t="shared" si="1"/>
        <v>Weekend</v>
      </c>
      <c r="H450" s="38" t="str">
        <f t="shared" si="2"/>
        <v>Morning</v>
      </c>
      <c r="I450" s="38" t="str">
        <f>IF(dataset_A!C450=1,"Spring",IF(dataset_A!C450=2,"Summer",IF(dataset_A!C450=3,"Fail","Winter")))</f>
        <v>Spring</v>
      </c>
      <c r="J450" s="38" t="str">
        <f>IF(dataset_A!I450=1,"Clear",IF(dataset_A!I450,"Mist/Cloudy",IF(dataset_A!I450=3,"Light Rain/Snow","Heavy Rain/Snow")))</f>
        <v>Mist/Cloudy</v>
      </c>
      <c r="K450" s="38">
        <f>dataset_A!N450</f>
        <v>4</v>
      </c>
      <c r="L450" s="38">
        <f>dataset_A!O450</f>
        <v>51</v>
      </c>
      <c r="M450" s="38">
        <f>dataset_A!P450</f>
        <v>55</v>
      </c>
      <c r="N450" s="38" t="str">
        <f t="shared" si="3"/>
        <v>Ok</v>
      </c>
      <c r="O450" s="38" t="str">
        <f>IF(M450&gt;Analysis!$B$3*1.5,"High",IF(M450&lt;Analysis!$B$3*0.5,"Low","Medium"))</f>
        <v>Medium</v>
      </c>
      <c r="P450" s="38" t="str">
        <f>VLOOKUP(dataset_A!C450,$Q$2:$R$5,2,0)</f>
        <v>Spring</v>
      </c>
      <c r="S450" s="38" t="str">
        <f t="array" ref="S450">INDEX($R$2:$R$5,MATCH(dataset_A!C450,$Q$2:$Q$5,0))</f>
        <v>Spring</v>
      </c>
      <c r="T450" s="38" t="str">
        <f t="shared" si="4"/>
        <v>Match</v>
      </c>
    </row>
    <row r="451" ht="12.75" customHeight="1">
      <c r="A451" s="38">
        <f>dataset_A!A451</f>
        <v>660</v>
      </c>
      <c r="B451" s="39">
        <f>dataset_A!B451</f>
        <v>40573</v>
      </c>
      <c r="C451" s="38">
        <f>dataset_A!F451</f>
        <v>19</v>
      </c>
      <c r="D451" s="38">
        <f>dataset_A!H451</f>
        <v>0</v>
      </c>
      <c r="E451" s="38" t="b">
        <f>dataset_A!G451</f>
        <v>0</v>
      </c>
      <c r="F451" s="38" t="b">
        <f>dataset_A!G451</f>
        <v>0</v>
      </c>
      <c r="G451" s="38" t="str">
        <f t="shared" si="1"/>
        <v>Weekend</v>
      </c>
      <c r="H451" s="38" t="str">
        <f t="shared" si="2"/>
        <v>Evening</v>
      </c>
      <c r="I451" s="38" t="str">
        <f>IF(dataset_A!C451=1,"Spring",IF(dataset_A!C451=2,"Summer",IF(dataset_A!C451=3,"Fail","Winter")))</f>
        <v>Spring</v>
      </c>
      <c r="J451" s="38" t="str">
        <f>IF(dataset_A!I451=1,"Clear",IF(dataset_A!I451,"Mist/Cloudy",IF(dataset_A!I451=3,"Light Rain/Snow","Heavy Rain/Snow")))</f>
        <v>Clear</v>
      </c>
      <c r="K451" s="38">
        <f>dataset_A!N451</f>
        <v>9</v>
      </c>
      <c r="L451" s="38">
        <f>dataset_A!O451</f>
        <v>46</v>
      </c>
      <c r="M451" s="38">
        <f>dataset_A!P451</f>
        <v>55</v>
      </c>
      <c r="N451" s="38" t="str">
        <f t="shared" si="3"/>
        <v>Ok</v>
      </c>
      <c r="O451" s="38" t="str">
        <f>IF(M451&gt;Analysis!$B$3*1.5,"High",IF(M451&lt;Analysis!$B$3*0.5,"Low","Medium"))</f>
        <v>Medium</v>
      </c>
      <c r="P451" s="38" t="str">
        <f>VLOOKUP(dataset_A!C451,$Q$2:$R$5,2,0)</f>
        <v>Spring</v>
      </c>
      <c r="S451" s="38" t="str">
        <f t="array" ref="S451">INDEX($R$2:$R$5,MATCH(dataset_A!C451,$Q$2:$Q$5,0))</f>
        <v>Spring</v>
      </c>
      <c r="T451" s="38" t="str">
        <f t="shared" si="4"/>
        <v>Match</v>
      </c>
    </row>
    <row r="452" ht="12.75" customHeight="1">
      <c r="A452" s="38">
        <f>dataset_A!A452</f>
        <v>700</v>
      </c>
      <c r="B452" s="39">
        <f>dataset_A!B452</f>
        <v>40575</v>
      </c>
      <c r="C452" s="38">
        <f>dataset_A!F452</f>
        <v>12</v>
      </c>
      <c r="D452" s="38">
        <f>dataset_A!H452</f>
        <v>2</v>
      </c>
      <c r="E452" s="38" t="b">
        <f>dataset_A!G452</f>
        <v>0</v>
      </c>
      <c r="F452" s="38" t="b">
        <f>dataset_A!G452</f>
        <v>0</v>
      </c>
      <c r="G452" s="38" t="str">
        <f t="shared" si="1"/>
        <v>Weekday</v>
      </c>
      <c r="H452" s="38" t="str">
        <f t="shared" si="2"/>
        <v>Afternoon</v>
      </c>
      <c r="I452" s="38" t="str">
        <f>IF(dataset_A!C452=1,"Spring",IF(dataset_A!C452=2,"Summer",IF(dataset_A!C452=3,"Fail","Winter")))</f>
        <v>Spring</v>
      </c>
      <c r="J452" s="38" t="str">
        <f>IF(dataset_A!I452=1,"Clear",IF(dataset_A!I452,"Mist/Cloudy",IF(dataset_A!I452=3,"Light Rain/Snow","Heavy Rain/Snow")))</f>
        <v>Mist/Cloudy</v>
      </c>
      <c r="K452" s="38">
        <f>dataset_A!N452</f>
        <v>2</v>
      </c>
      <c r="L452" s="38">
        <f>dataset_A!O452</f>
        <v>53</v>
      </c>
      <c r="M452" s="38">
        <f>dataset_A!P452</f>
        <v>55</v>
      </c>
      <c r="N452" s="38" t="str">
        <f t="shared" si="3"/>
        <v>Ok</v>
      </c>
      <c r="O452" s="38" t="str">
        <f>IF(M452&gt;Analysis!$B$3*1.5,"High",IF(M452&lt;Analysis!$B$3*0.5,"Low","Medium"))</f>
        <v>Medium</v>
      </c>
      <c r="P452" s="38" t="str">
        <f>VLOOKUP(dataset_A!C452,$Q$2:$R$5,2,0)</f>
        <v>Spring</v>
      </c>
      <c r="S452" s="38" t="str">
        <f t="array" ref="S452">INDEX($R$2:$R$5,MATCH(dataset_A!C452,$Q$2:$Q$5,0))</f>
        <v>Spring</v>
      </c>
      <c r="T452" s="38" t="str">
        <f t="shared" si="4"/>
        <v>Match</v>
      </c>
    </row>
    <row r="453" ht="12.75" customHeight="1">
      <c r="A453" s="38">
        <f>dataset_A!A453</f>
        <v>796</v>
      </c>
      <c r="B453" s="39">
        <f>dataset_A!B453</f>
        <v>40579</v>
      </c>
      <c r="C453" s="38">
        <f>dataset_A!F453</f>
        <v>14</v>
      </c>
      <c r="D453" s="38">
        <f>dataset_A!H453</f>
        <v>6</v>
      </c>
      <c r="E453" s="38" t="b">
        <f>dataset_A!G453</f>
        <v>0</v>
      </c>
      <c r="F453" s="38" t="b">
        <f>dataset_A!G453</f>
        <v>0</v>
      </c>
      <c r="G453" s="38" t="str">
        <f t="shared" si="1"/>
        <v>Weekend</v>
      </c>
      <c r="H453" s="38" t="str">
        <f t="shared" si="2"/>
        <v>Afternoon</v>
      </c>
      <c r="I453" s="38" t="str">
        <f>IF(dataset_A!C453=1,"Spring",IF(dataset_A!C453=2,"Summer",IF(dataset_A!C453=3,"Fail","Winter")))</f>
        <v>Spring</v>
      </c>
      <c r="J453" s="38" t="str">
        <f>IF(dataset_A!I453=1,"Clear",IF(dataset_A!I453,"Mist/Cloudy",IF(dataset_A!I453=3,"Light Rain/Snow","Heavy Rain/Snow")))</f>
        <v>Mist/Cloudy</v>
      </c>
      <c r="K453" s="38">
        <f>dataset_A!N453</f>
        <v>5</v>
      </c>
      <c r="L453" s="38">
        <f>dataset_A!O453</f>
        <v>50</v>
      </c>
      <c r="M453" s="38">
        <f>dataset_A!P453</f>
        <v>55</v>
      </c>
      <c r="N453" s="38" t="str">
        <f t="shared" si="3"/>
        <v>Ok</v>
      </c>
      <c r="O453" s="38" t="str">
        <f>IF(M453&gt;Analysis!$B$3*1.5,"High",IF(M453&lt;Analysis!$B$3*0.5,"Low","Medium"))</f>
        <v>Medium</v>
      </c>
      <c r="P453" s="38" t="str">
        <f>VLOOKUP(dataset_A!C453,$Q$2:$R$5,2,0)</f>
        <v>Spring</v>
      </c>
      <c r="S453" s="38" t="str">
        <f t="array" ref="S453">INDEX($R$2:$R$5,MATCH(dataset_A!C453,$Q$2:$Q$5,0))</f>
        <v>Spring</v>
      </c>
      <c r="T453" s="38" t="str">
        <f t="shared" si="4"/>
        <v>Match</v>
      </c>
    </row>
    <row r="454" ht="12.75" customHeight="1">
      <c r="A454" s="38">
        <f>dataset_A!A454</f>
        <v>840</v>
      </c>
      <c r="B454" s="39">
        <f>dataset_A!B454</f>
        <v>40581</v>
      </c>
      <c r="C454" s="38">
        <f>dataset_A!F454</f>
        <v>10</v>
      </c>
      <c r="D454" s="38">
        <f>dataset_A!H454</f>
        <v>1</v>
      </c>
      <c r="E454" s="38" t="b">
        <f>dataset_A!G454</f>
        <v>0</v>
      </c>
      <c r="F454" s="38" t="b">
        <f>dataset_A!G454</f>
        <v>0</v>
      </c>
      <c r="G454" s="38" t="str">
        <f t="shared" si="1"/>
        <v>Weekday</v>
      </c>
      <c r="H454" s="38" t="str">
        <f t="shared" si="2"/>
        <v>Morning</v>
      </c>
      <c r="I454" s="38" t="str">
        <f>IF(dataset_A!C454=1,"Spring",IF(dataset_A!C454=2,"Summer",IF(dataset_A!C454=3,"Fail","Winter")))</f>
        <v>Spring</v>
      </c>
      <c r="J454" s="38" t="str">
        <f>IF(dataset_A!I454=1,"Clear",IF(dataset_A!I454,"Mist/Cloudy",IF(dataset_A!I454=3,"Light Rain/Snow","Heavy Rain/Snow")))</f>
        <v>Clear</v>
      </c>
      <c r="K454" s="38">
        <f>dataset_A!N454</f>
        <v>6</v>
      </c>
      <c r="L454" s="38">
        <f>dataset_A!O454</f>
        <v>49</v>
      </c>
      <c r="M454" s="38">
        <f>dataset_A!P454</f>
        <v>55</v>
      </c>
      <c r="N454" s="38" t="str">
        <f t="shared" si="3"/>
        <v>Ok</v>
      </c>
      <c r="O454" s="38" t="str">
        <f>IF(M454&gt;Analysis!$B$3*1.5,"High",IF(M454&lt;Analysis!$B$3*0.5,"Low","Medium"))</f>
        <v>Medium</v>
      </c>
      <c r="P454" s="38" t="str">
        <f>VLOOKUP(dataset_A!C454,$Q$2:$R$5,2,0)</f>
        <v>Spring</v>
      </c>
      <c r="S454" s="38" t="str">
        <f t="array" ref="S454">INDEX($R$2:$R$5,MATCH(dataset_A!C454,$Q$2:$Q$5,0))</f>
        <v>Spring</v>
      </c>
      <c r="T454" s="38" t="str">
        <f t="shared" si="4"/>
        <v>Match</v>
      </c>
    </row>
    <row r="455" ht="12.75" customHeight="1">
      <c r="A455" s="38">
        <f>dataset_A!A455</f>
        <v>89</v>
      </c>
      <c r="B455" s="39">
        <f>dataset_A!B455</f>
        <v>40547</v>
      </c>
      <c r="C455" s="38">
        <f>dataset_A!F455</f>
        <v>20</v>
      </c>
      <c r="D455" s="38">
        <f>dataset_A!H455</f>
        <v>2</v>
      </c>
      <c r="E455" s="38" t="b">
        <f>dataset_A!G455</f>
        <v>0</v>
      </c>
      <c r="F455" s="38" t="b">
        <f>dataset_A!G455</f>
        <v>0</v>
      </c>
      <c r="G455" s="38" t="str">
        <f t="shared" si="1"/>
        <v>Weekday</v>
      </c>
      <c r="H455" s="38" t="str">
        <f t="shared" si="2"/>
        <v>Evening</v>
      </c>
      <c r="I455" s="38" t="str">
        <f>IF(dataset_A!C455=1,"Spring",IF(dataset_A!C455=2,"Summer",IF(dataset_A!C455=3,"Fail","Winter")))</f>
        <v>Spring</v>
      </c>
      <c r="J455" s="38" t="str">
        <f>IF(dataset_A!I455=1,"Clear",IF(dataset_A!I455,"Mist/Cloudy",IF(dataset_A!I455=3,"Light Rain/Snow","Heavy Rain/Snow")))</f>
        <v>Clear</v>
      </c>
      <c r="K455" s="38">
        <f>dataset_A!N455</f>
        <v>1</v>
      </c>
      <c r="L455" s="38">
        <f>dataset_A!O455</f>
        <v>53</v>
      </c>
      <c r="M455" s="38">
        <f>dataset_A!P455</f>
        <v>54</v>
      </c>
      <c r="N455" s="38" t="str">
        <f t="shared" si="3"/>
        <v>Ok</v>
      </c>
      <c r="O455" s="38" t="str">
        <f>IF(M455&gt;Analysis!$B$3*1.5,"High",IF(M455&lt;Analysis!$B$3*0.5,"Low","Medium"))</f>
        <v>Medium</v>
      </c>
      <c r="P455" s="38" t="str">
        <f>VLOOKUP(dataset_A!C455,$Q$2:$R$5,2,0)</f>
        <v>Spring</v>
      </c>
      <c r="S455" s="38" t="str">
        <f t="array" ref="S455">INDEX($R$2:$R$5,MATCH(dataset_A!C455,$Q$2:$Q$5,0))</f>
        <v>Spring</v>
      </c>
      <c r="T455" s="38" t="str">
        <f t="shared" si="4"/>
        <v>Match</v>
      </c>
    </row>
    <row r="456" ht="12.75" customHeight="1">
      <c r="A456" s="38">
        <f>dataset_A!A456</f>
        <v>223</v>
      </c>
      <c r="B456" s="39">
        <f>dataset_A!B456</f>
        <v>40553</v>
      </c>
      <c r="C456" s="38">
        <f>dataset_A!F456</f>
        <v>13</v>
      </c>
      <c r="D456" s="38">
        <f>dataset_A!H456</f>
        <v>1</v>
      </c>
      <c r="E456" s="38" t="b">
        <f>dataset_A!G456</f>
        <v>0</v>
      </c>
      <c r="F456" s="38" t="b">
        <f>dataset_A!G456</f>
        <v>0</v>
      </c>
      <c r="G456" s="38" t="str">
        <f t="shared" si="1"/>
        <v>Weekday</v>
      </c>
      <c r="H456" s="38" t="str">
        <f t="shared" si="2"/>
        <v>Afternoon</v>
      </c>
      <c r="I456" s="38" t="str">
        <f>IF(dataset_A!C456=1,"Spring",IF(dataset_A!C456=2,"Summer",IF(dataset_A!C456=3,"Fail","Winter")))</f>
        <v>Spring</v>
      </c>
      <c r="J456" s="38" t="str">
        <f>IF(dataset_A!I456=1,"Clear",IF(dataset_A!I456,"Mist/Cloudy",IF(dataset_A!I456=3,"Light Rain/Snow","Heavy Rain/Snow")))</f>
        <v>Mist/Cloudy</v>
      </c>
      <c r="K456" s="38">
        <f>dataset_A!N456</f>
        <v>4</v>
      </c>
      <c r="L456" s="38">
        <f>dataset_A!O456</f>
        <v>50</v>
      </c>
      <c r="M456" s="38">
        <f>dataset_A!P456</f>
        <v>54</v>
      </c>
      <c r="N456" s="38" t="str">
        <f t="shared" si="3"/>
        <v>Ok</v>
      </c>
      <c r="O456" s="38" t="str">
        <f>IF(M456&gt;Analysis!$B$3*1.5,"High",IF(M456&lt;Analysis!$B$3*0.5,"Low","Medium"))</f>
        <v>Medium</v>
      </c>
      <c r="P456" s="38" t="str">
        <f>VLOOKUP(dataset_A!C456,$Q$2:$R$5,2,0)</f>
        <v>Spring</v>
      </c>
      <c r="S456" s="38" t="str">
        <f t="array" ref="S456">INDEX($R$2:$R$5,MATCH(dataset_A!C456,$Q$2:$Q$5,0))</f>
        <v>Spring</v>
      </c>
      <c r="T456" s="38" t="str">
        <f t="shared" si="4"/>
        <v>Match</v>
      </c>
    </row>
    <row r="457" ht="12.75" customHeight="1">
      <c r="A457" s="38">
        <f>dataset_A!A457</f>
        <v>242</v>
      </c>
      <c r="B457" s="39">
        <f>dataset_A!B457</f>
        <v>40554</v>
      </c>
      <c r="C457" s="38">
        <f>dataset_A!F457</f>
        <v>10</v>
      </c>
      <c r="D457" s="38">
        <f>dataset_A!H457</f>
        <v>2</v>
      </c>
      <c r="E457" s="38" t="b">
        <f>dataset_A!G457</f>
        <v>0</v>
      </c>
      <c r="F457" s="38" t="b">
        <f>dataset_A!G457</f>
        <v>0</v>
      </c>
      <c r="G457" s="38" t="str">
        <f t="shared" si="1"/>
        <v>Weekday</v>
      </c>
      <c r="H457" s="38" t="str">
        <f t="shared" si="2"/>
        <v>Morning</v>
      </c>
      <c r="I457" s="38" t="str">
        <f>IF(dataset_A!C457=1,"Spring",IF(dataset_A!C457=2,"Summer",IF(dataset_A!C457=3,"Fail","Winter")))</f>
        <v>Spring</v>
      </c>
      <c r="J457" s="38" t="str">
        <f>IF(dataset_A!I457=1,"Clear",IF(dataset_A!I457,"Mist/Cloudy",IF(dataset_A!I457=3,"Light Rain/Snow","Heavy Rain/Snow")))</f>
        <v>Mist/Cloudy</v>
      </c>
      <c r="K457" s="38">
        <f>dataset_A!N457</f>
        <v>3</v>
      </c>
      <c r="L457" s="38">
        <f>dataset_A!O457</f>
        <v>51</v>
      </c>
      <c r="M457" s="38">
        <f>dataset_A!P457</f>
        <v>54</v>
      </c>
      <c r="N457" s="38" t="str">
        <f t="shared" si="3"/>
        <v>Ok</v>
      </c>
      <c r="O457" s="38" t="str">
        <f>IF(M457&gt;Analysis!$B$3*1.5,"High",IF(M457&lt;Analysis!$B$3*0.5,"Low","Medium"))</f>
        <v>Medium</v>
      </c>
      <c r="P457" s="38" t="str">
        <f>VLOOKUP(dataset_A!C457,$Q$2:$R$5,2,0)</f>
        <v>Spring</v>
      </c>
      <c r="S457" s="38" t="str">
        <f t="array" ref="S457">INDEX($R$2:$R$5,MATCH(dataset_A!C457,$Q$2:$Q$5,0))</f>
        <v>Spring</v>
      </c>
      <c r="T457" s="38" t="str">
        <f t="shared" si="4"/>
        <v>Match</v>
      </c>
    </row>
    <row r="458" ht="12.75" customHeight="1">
      <c r="A458" s="38">
        <f>dataset_A!A458</f>
        <v>261</v>
      </c>
      <c r="B458" s="39">
        <f>dataset_A!B458</f>
        <v>40555</v>
      </c>
      <c r="C458" s="38">
        <f>dataset_A!F458</f>
        <v>7</v>
      </c>
      <c r="D458" s="38">
        <f>dataset_A!H458</f>
        <v>3</v>
      </c>
      <c r="E458" s="38" t="b">
        <f>dataset_A!G458</f>
        <v>0</v>
      </c>
      <c r="F458" s="38" t="b">
        <f>dataset_A!G458</f>
        <v>0</v>
      </c>
      <c r="G458" s="38" t="str">
        <f t="shared" si="1"/>
        <v>Weekday</v>
      </c>
      <c r="H458" s="38" t="str">
        <f t="shared" si="2"/>
        <v>Morning</v>
      </c>
      <c r="I458" s="38" t="str">
        <f>IF(dataset_A!C458=1,"Spring",IF(dataset_A!C458=2,"Summer",IF(dataset_A!C458=3,"Fail","Winter")))</f>
        <v>Spring</v>
      </c>
      <c r="J458" s="38" t="str">
        <f>IF(dataset_A!I458=1,"Clear",IF(dataset_A!I458,"Mist/Cloudy",IF(dataset_A!I458=3,"Light Rain/Snow","Heavy Rain/Snow")))</f>
        <v>Clear</v>
      </c>
      <c r="K458" s="38">
        <f>dataset_A!N458</f>
        <v>0</v>
      </c>
      <c r="L458" s="38">
        <f>dataset_A!O458</f>
        <v>54</v>
      </c>
      <c r="M458" s="38">
        <f>dataset_A!P458</f>
        <v>54</v>
      </c>
      <c r="N458" s="38" t="str">
        <f t="shared" si="3"/>
        <v>Ok</v>
      </c>
      <c r="O458" s="38" t="str">
        <f>IF(M458&gt;Analysis!$B$3*1.5,"High",IF(M458&lt;Analysis!$B$3*0.5,"Low","Medium"))</f>
        <v>Medium</v>
      </c>
      <c r="P458" s="38" t="str">
        <f>VLOOKUP(dataset_A!C458,$Q$2:$R$5,2,0)</f>
        <v>Spring</v>
      </c>
      <c r="S458" s="38" t="str">
        <f t="array" ref="S458">INDEX($R$2:$R$5,MATCH(dataset_A!C458,$Q$2:$Q$5,0))</f>
        <v>Spring</v>
      </c>
      <c r="T458" s="38" t="str">
        <f t="shared" si="4"/>
        <v>Match</v>
      </c>
    </row>
    <row r="459" ht="12.75" customHeight="1">
      <c r="A459" s="38">
        <f>dataset_A!A459</f>
        <v>497</v>
      </c>
      <c r="B459" s="39">
        <f>dataset_A!B459</f>
        <v>40565</v>
      </c>
      <c r="C459" s="38">
        <f>dataset_A!F459</f>
        <v>18</v>
      </c>
      <c r="D459" s="38">
        <f>dataset_A!H459</f>
        <v>6</v>
      </c>
      <c r="E459" s="38" t="b">
        <f>dataset_A!G459</f>
        <v>0</v>
      </c>
      <c r="F459" s="38" t="b">
        <f>dataset_A!G459</f>
        <v>0</v>
      </c>
      <c r="G459" s="38" t="str">
        <f t="shared" si="1"/>
        <v>Weekend</v>
      </c>
      <c r="H459" s="38" t="str">
        <f t="shared" si="2"/>
        <v>Evening</v>
      </c>
      <c r="I459" s="38" t="str">
        <f>IF(dataset_A!C459=1,"Spring",IF(dataset_A!C459=2,"Summer",IF(dataset_A!C459=3,"Fail","Winter")))</f>
        <v>Spring</v>
      </c>
      <c r="J459" s="38" t="str">
        <f>IF(dataset_A!I459=1,"Clear",IF(dataset_A!I459,"Mist/Cloudy",IF(dataset_A!I459=3,"Light Rain/Snow","Heavy Rain/Snow")))</f>
        <v>Clear</v>
      </c>
      <c r="K459" s="38">
        <f>dataset_A!N459</f>
        <v>0</v>
      </c>
      <c r="L459" s="38">
        <f>dataset_A!O459</f>
        <v>54</v>
      </c>
      <c r="M459" s="38">
        <f>dataset_A!P459</f>
        <v>54</v>
      </c>
      <c r="N459" s="38" t="str">
        <f t="shared" si="3"/>
        <v>Ok</v>
      </c>
      <c r="O459" s="38" t="str">
        <f>IF(M459&gt;Analysis!$B$3*1.5,"High",IF(M459&lt;Analysis!$B$3*0.5,"Low","Medium"))</f>
        <v>Medium</v>
      </c>
      <c r="P459" s="38" t="str">
        <f>VLOOKUP(dataset_A!C459,$Q$2:$R$5,2,0)</f>
        <v>Spring</v>
      </c>
      <c r="S459" s="38" t="str">
        <f t="array" ref="S459">INDEX($R$2:$R$5,MATCH(dataset_A!C459,$Q$2:$Q$5,0))</f>
        <v>Spring</v>
      </c>
      <c r="T459" s="38" t="str">
        <f t="shared" si="4"/>
        <v>Match</v>
      </c>
    </row>
    <row r="460" ht="12.75" customHeight="1">
      <c r="A460" s="38">
        <f>dataset_A!A460</f>
        <v>678</v>
      </c>
      <c r="B460" s="39">
        <f>dataset_A!B460</f>
        <v>40574</v>
      </c>
      <c r="C460" s="38">
        <f>dataset_A!F460</f>
        <v>13</v>
      </c>
      <c r="D460" s="38">
        <f>dataset_A!H460</f>
        <v>1</v>
      </c>
      <c r="E460" s="38" t="b">
        <f>dataset_A!G460</f>
        <v>0</v>
      </c>
      <c r="F460" s="38" t="b">
        <f>dataset_A!G460</f>
        <v>0</v>
      </c>
      <c r="G460" s="38" t="str">
        <f t="shared" si="1"/>
        <v>Weekday</v>
      </c>
      <c r="H460" s="38" t="str">
        <f t="shared" si="2"/>
        <v>Afternoon</v>
      </c>
      <c r="I460" s="38" t="str">
        <f>IF(dataset_A!C460=1,"Spring",IF(dataset_A!C460=2,"Summer",IF(dataset_A!C460=3,"Fail","Winter")))</f>
        <v>Spring</v>
      </c>
      <c r="J460" s="38" t="str">
        <f>IF(dataset_A!I460=1,"Clear",IF(dataset_A!I460,"Mist/Cloudy",IF(dataset_A!I460=3,"Light Rain/Snow","Heavy Rain/Snow")))</f>
        <v>Mist/Cloudy</v>
      </c>
      <c r="K460" s="38">
        <f>dataset_A!N460</f>
        <v>2</v>
      </c>
      <c r="L460" s="38">
        <f>dataset_A!O460</f>
        <v>52</v>
      </c>
      <c r="M460" s="38">
        <f>dataset_A!P460</f>
        <v>54</v>
      </c>
      <c r="N460" s="38" t="str">
        <f t="shared" si="3"/>
        <v>Ok</v>
      </c>
      <c r="O460" s="38" t="str">
        <f>IF(M460&gt;Analysis!$B$3*1.5,"High",IF(M460&lt;Analysis!$B$3*0.5,"Low","Medium"))</f>
        <v>Medium</v>
      </c>
      <c r="P460" s="38" t="str">
        <f>VLOOKUP(dataset_A!C460,$Q$2:$R$5,2,0)</f>
        <v>Spring</v>
      </c>
      <c r="S460" s="38" t="str">
        <f t="array" ref="S460">INDEX($R$2:$R$5,MATCH(dataset_A!C460,$Q$2:$Q$5,0))</f>
        <v>Spring</v>
      </c>
      <c r="T460" s="38" t="str">
        <f t="shared" si="4"/>
        <v>Match</v>
      </c>
    </row>
    <row r="461" ht="12.75" customHeight="1">
      <c r="A461" s="38">
        <f>dataset_A!A461</f>
        <v>702</v>
      </c>
      <c r="B461" s="39">
        <f>dataset_A!B461</f>
        <v>40575</v>
      </c>
      <c r="C461" s="38">
        <f>dataset_A!F461</f>
        <v>14</v>
      </c>
      <c r="D461" s="38">
        <f>dataset_A!H461</f>
        <v>2</v>
      </c>
      <c r="E461" s="38" t="b">
        <f>dataset_A!G461</f>
        <v>0</v>
      </c>
      <c r="F461" s="38" t="b">
        <f>dataset_A!G461</f>
        <v>0</v>
      </c>
      <c r="G461" s="38" t="str">
        <f t="shared" si="1"/>
        <v>Weekday</v>
      </c>
      <c r="H461" s="38" t="str">
        <f t="shared" si="2"/>
        <v>Afternoon</v>
      </c>
      <c r="I461" s="38" t="str">
        <f>IF(dataset_A!C461=1,"Spring",IF(dataset_A!C461=2,"Summer",IF(dataset_A!C461=3,"Fail","Winter")))</f>
        <v>Spring</v>
      </c>
      <c r="J461" s="38" t="str">
        <f>IF(dataset_A!I461=1,"Clear",IF(dataset_A!I461,"Mist/Cloudy",IF(dataset_A!I461=3,"Light Rain/Snow","Heavy Rain/Snow")))</f>
        <v>Mist/Cloudy</v>
      </c>
      <c r="K461" s="38">
        <f>dataset_A!N461</f>
        <v>5</v>
      </c>
      <c r="L461" s="38">
        <f>dataset_A!O461</f>
        <v>49</v>
      </c>
      <c r="M461" s="38">
        <f>dataset_A!P461</f>
        <v>54</v>
      </c>
      <c r="N461" s="38" t="str">
        <f t="shared" si="3"/>
        <v>Ok</v>
      </c>
      <c r="O461" s="38" t="str">
        <f>IF(M461&gt;Analysis!$B$3*1.5,"High",IF(M461&lt;Analysis!$B$3*0.5,"Low","Medium"))</f>
        <v>Medium</v>
      </c>
      <c r="P461" s="38" t="str">
        <f>VLOOKUP(dataset_A!C461,$Q$2:$R$5,2,0)</f>
        <v>Spring</v>
      </c>
      <c r="S461" s="38" t="str">
        <f t="array" ref="S461">INDEX($R$2:$R$5,MATCH(dataset_A!C461,$Q$2:$Q$5,0))</f>
        <v>Spring</v>
      </c>
      <c r="T461" s="38" t="str">
        <f t="shared" si="4"/>
        <v>Match</v>
      </c>
    </row>
    <row r="462" ht="12.75" customHeight="1">
      <c r="A462" s="38">
        <f>dataset_A!A462</f>
        <v>756</v>
      </c>
      <c r="B462" s="39">
        <f>dataset_A!B462</f>
        <v>40577</v>
      </c>
      <c r="C462" s="38">
        <f>dataset_A!F462</f>
        <v>21</v>
      </c>
      <c r="D462" s="38">
        <f>dataset_A!H462</f>
        <v>4</v>
      </c>
      <c r="E462" s="38" t="b">
        <f>dataset_A!G462</f>
        <v>0</v>
      </c>
      <c r="F462" s="38" t="b">
        <f>dataset_A!G462</f>
        <v>0</v>
      </c>
      <c r="G462" s="38" t="str">
        <f t="shared" si="1"/>
        <v>Weekday</v>
      </c>
      <c r="H462" s="38" t="str">
        <f t="shared" si="2"/>
        <v>Evening</v>
      </c>
      <c r="I462" s="38" t="str">
        <f>IF(dataset_A!C462=1,"Spring",IF(dataset_A!C462=2,"Summer",IF(dataset_A!C462=3,"Fail","Winter")))</f>
        <v>Spring</v>
      </c>
      <c r="J462" s="38" t="str">
        <f>IF(dataset_A!I462=1,"Clear",IF(dataset_A!I462,"Mist/Cloudy",IF(dataset_A!I462=3,"Light Rain/Snow","Heavy Rain/Snow")))</f>
        <v>Clear</v>
      </c>
      <c r="K462" s="38">
        <f>dataset_A!N462</f>
        <v>1</v>
      </c>
      <c r="L462" s="38">
        <f>dataset_A!O462</f>
        <v>53</v>
      </c>
      <c r="M462" s="38">
        <f>dataset_A!P462</f>
        <v>54</v>
      </c>
      <c r="N462" s="38" t="str">
        <f t="shared" si="3"/>
        <v>Ok</v>
      </c>
      <c r="O462" s="38" t="str">
        <f>IF(M462&gt;Analysis!$B$3*1.5,"High",IF(M462&lt;Analysis!$B$3*0.5,"Low","Medium"))</f>
        <v>Medium</v>
      </c>
      <c r="P462" s="38" t="str">
        <f>VLOOKUP(dataset_A!C462,$Q$2:$R$5,2,0)</f>
        <v>Spring</v>
      </c>
      <c r="S462" s="38" t="str">
        <f t="array" ref="S462">INDEX($R$2:$R$5,MATCH(dataset_A!C462,$Q$2:$Q$5,0))</f>
        <v>Spring</v>
      </c>
      <c r="T462" s="38" t="str">
        <f t="shared" si="4"/>
        <v>Match</v>
      </c>
    </row>
    <row r="463" ht="12.75" customHeight="1">
      <c r="A463" s="38">
        <f>dataset_A!A463</f>
        <v>875</v>
      </c>
      <c r="B463" s="39">
        <f>dataset_A!B463</f>
        <v>40582</v>
      </c>
      <c r="C463" s="38">
        <f>dataset_A!F463</f>
        <v>21</v>
      </c>
      <c r="D463" s="38">
        <f>dataset_A!H463</f>
        <v>2</v>
      </c>
      <c r="E463" s="38" t="b">
        <f>dataset_A!G463</f>
        <v>0</v>
      </c>
      <c r="F463" s="38" t="b">
        <f>dataset_A!G463</f>
        <v>0</v>
      </c>
      <c r="G463" s="38" t="str">
        <f t="shared" si="1"/>
        <v>Weekday</v>
      </c>
      <c r="H463" s="38" t="str">
        <f t="shared" si="2"/>
        <v>Evening</v>
      </c>
      <c r="I463" s="38" t="str">
        <f>IF(dataset_A!C463=1,"Spring",IF(dataset_A!C463=2,"Summer",IF(dataset_A!C463=3,"Fail","Winter")))</f>
        <v>Spring</v>
      </c>
      <c r="J463" s="38" t="str">
        <f>IF(dataset_A!I463=1,"Clear",IF(dataset_A!I463,"Mist/Cloudy",IF(dataset_A!I463=3,"Light Rain/Snow","Heavy Rain/Snow")))</f>
        <v>Clear</v>
      </c>
      <c r="K463" s="38">
        <f>dataset_A!N463</f>
        <v>8</v>
      </c>
      <c r="L463" s="38">
        <f>dataset_A!O463</f>
        <v>46</v>
      </c>
      <c r="M463" s="38">
        <f>dataset_A!P463</f>
        <v>54</v>
      </c>
      <c r="N463" s="38" t="str">
        <f t="shared" si="3"/>
        <v>Ok</v>
      </c>
      <c r="O463" s="38" t="str">
        <f>IF(M463&gt;Analysis!$B$3*1.5,"High",IF(M463&lt;Analysis!$B$3*0.5,"Low","Medium"))</f>
        <v>Medium</v>
      </c>
      <c r="P463" s="38" t="str">
        <f>VLOOKUP(dataset_A!C463,$Q$2:$R$5,2,0)</f>
        <v>Spring</v>
      </c>
      <c r="S463" s="38" t="str">
        <f t="array" ref="S463">INDEX($R$2:$R$5,MATCH(dataset_A!C463,$Q$2:$Q$5,0))</f>
        <v>Spring</v>
      </c>
      <c r="T463" s="38" t="str">
        <f t="shared" si="4"/>
        <v>Match</v>
      </c>
    </row>
    <row r="464" ht="12.75" customHeight="1">
      <c r="A464" s="38">
        <f>dataset_A!A464</f>
        <v>34</v>
      </c>
      <c r="B464" s="39">
        <f>dataset_A!B464</f>
        <v>40545</v>
      </c>
      <c r="C464" s="38">
        <f>dataset_A!F464</f>
        <v>10</v>
      </c>
      <c r="D464" s="38">
        <f>dataset_A!H464</f>
        <v>0</v>
      </c>
      <c r="E464" s="38" t="b">
        <f>dataset_A!G464</f>
        <v>0</v>
      </c>
      <c r="F464" s="38" t="b">
        <f>dataset_A!G464</f>
        <v>0</v>
      </c>
      <c r="G464" s="38" t="str">
        <f t="shared" si="1"/>
        <v>Weekend</v>
      </c>
      <c r="H464" s="38" t="str">
        <f t="shared" si="2"/>
        <v>Morning</v>
      </c>
      <c r="I464" s="38" t="str">
        <f>IF(dataset_A!C464=1,"Spring",IF(dataset_A!C464=2,"Summer",IF(dataset_A!C464=3,"Fail","Winter")))</f>
        <v>Spring</v>
      </c>
      <c r="J464" s="38" t="str">
        <f>IF(dataset_A!I464=1,"Clear",IF(dataset_A!I464,"Mist/Cloudy",IF(dataset_A!I464=3,"Light Rain/Snow","Heavy Rain/Snow")))</f>
        <v>Mist/Cloudy</v>
      </c>
      <c r="K464" s="38">
        <f>dataset_A!N464</f>
        <v>7</v>
      </c>
      <c r="L464" s="38">
        <f>dataset_A!O464</f>
        <v>46</v>
      </c>
      <c r="M464" s="38">
        <f>dataset_A!P464</f>
        <v>53</v>
      </c>
      <c r="N464" s="38" t="str">
        <f t="shared" si="3"/>
        <v>Ok</v>
      </c>
      <c r="O464" s="38" t="str">
        <f>IF(M464&gt;Analysis!$B$3*1.5,"High",IF(M464&lt;Analysis!$B$3*0.5,"Low","Medium"))</f>
        <v>Medium</v>
      </c>
      <c r="P464" s="38" t="str">
        <f>VLOOKUP(dataset_A!C464,$Q$2:$R$5,2,0)</f>
        <v>Spring</v>
      </c>
      <c r="S464" s="38" t="str">
        <f t="array" ref="S464">INDEX($R$2:$R$5,MATCH(dataset_A!C464,$Q$2:$Q$5,0))</f>
        <v>Spring</v>
      </c>
      <c r="T464" s="38" t="str">
        <f t="shared" si="4"/>
        <v>Match</v>
      </c>
    </row>
    <row r="465" ht="12.75" customHeight="1">
      <c r="A465" s="38">
        <f>dataset_A!A465</f>
        <v>42</v>
      </c>
      <c r="B465" s="39">
        <f>dataset_A!B465</f>
        <v>40545</v>
      </c>
      <c r="C465" s="38">
        <f>dataset_A!F465</f>
        <v>18</v>
      </c>
      <c r="D465" s="38">
        <f>dataset_A!H465</f>
        <v>0</v>
      </c>
      <c r="E465" s="38" t="b">
        <f>dataset_A!G465</f>
        <v>0</v>
      </c>
      <c r="F465" s="38" t="b">
        <f>dataset_A!G465</f>
        <v>0</v>
      </c>
      <c r="G465" s="38" t="str">
        <f t="shared" si="1"/>
        <v>Weekend</v>
      </c>
      <c r="H465" s="38" t="str">
        <f t="shared" si="2"/>
        <v>Evening</v>
      </c>
      <c r="I465" s="38" t="str">
        <f>IF(dataset_A!C465=1,"Spring",IF(dataset_A!C465=2,"Summer",IF(dataset_A!C465=3,"Fail","Winter")))</f>
        <v>Spring</v>
      </c>
      <c r="J465" s="38" t="str">
        <f>IF(dataset_A!I465=1,"Clear",IF(dataset_A!I465,"Mist/Cloudy",IF(dataset_A!I465=3,"Light Rain/Snow","Heavy Rain/Snow")))</f>
        <v>Mist/Cloudy</v>
      </c>
      <c r="K465" s="38">
        <f>dataset_A!N465</f>
        <v>10</v>
      </c>
      <c r="L465" s="38">
        <f>dataset_A!O465</f>
        <v>43</v>
      </c>
      <c r="M465" s="38">
        <f>dataset_A!P465</f>
        <v>53</v>
      </c>
      <c r="N465" s="38" t="str">
        <f t="shared" si="3"/>
        <v>Ok</v>
      </c>
      <c r="O465" s="38" t="str">
        <f>IF(M465&gt;Analysis!$B$3*1.5,"High",IF(M465&lt;Analysis!$B$3*0.5,"Low","Medium"))</f>
        <v>Medium</v>
      </c>
      <c r="P465" s="38" t="str">
        <f>VLOOKUP(dataset_A!C465,$Q$2:$R$5,2,0)</f>
        <v>Spring</v>
      </c>
      <c r="S465" s="38" t="str">
        <f t="array" ref="S465">INDEX($R$2:$R$5,MATCH(dataset_A!C465,$Q$2:$Q$5,0))</f>
        <v>Spring</v>
      </c>
      <c r="T465" s="38" t="str">
        <f t="shared" si="4"/>
        <v>Match</v>
      </c>
    </row>
    <row r="466" ht="12.75" customHeight="1">
      <c r="A466" s="38">
        <f>dataset_A!A466</f>
        <v>312</v>
      </c>
      <c r="B466" s="39">
        <f>dataset_A!B466</f>
        <v>40557</v>
      </c>
      <c r="C466" s="38">
        <f>dataset_A!F466</f>
        <v>11</v>
      </c>
      <c r="D466" s="38">
        <f>dataset_A!H466</f>
        <v>5</v>
      </c>
      <c r="E466" s="38" t="b">
        <f>dataset_A!G466</f>
        <v>0</v>
      </c>
      <c r="F466" s="38" t="b">
        <f>dataset_A!G466</f>
        <v>0</v>
      </c>
      <c r="G466" s="38" t="str">
        <f t="shared" si="1"/>
        <v>Weekday</v>
      </c>
      <c r="H466" s="38" t="str">
        <f t="shared" si="2"/>
        <v>Morning</v>
      </c>
      <c r="I466" s="38" t="str">
        <f>IF(dataset_A!C466=1,"Spring",IF(dataset_A!C466=2,"Summer",IF(dataset_A!C466=3,"Fail","Winter")))</f>
        <v>Spring</v>
      </c>
      <c r="J466" s="38" t="str">
        <f>IF(dataset_A!I466=1,"Clear",IF(dataset_A!I466,"Mist/Cloudy",IF(dataset_A!I466=3,"Light Rain/Snow","Heavy Rain/Snow")))</f>
        <v>Clear</v>
      </c>
      <c r="K466" s="38">
        <f>dataset_A!N466</f>
        <v>6</v>
      </c>
      <c r="L466" s="38">
        <f>dataset_A!O466</f>
        <v>47</v>
      </c>
      <c r="M466" s="38">
        <f>dataset_A!P466</f>
        <v>53</v>
      </c>
      <c r="N466" s="38" t="str">
        <f t="shared" si="3"/>
        <v>Ok</v>
      </c>
      <c r="O466" s="38" t="str">
        <f>IF(M466&gt;Analysis!$B$3*1.5,"High",IF(M466&lt;Analysis!$B$3*0.5,"Low","Medium"))</f>
        <v>Medium</v>
      </c>
      <c r="P466" s="38" t="str">
        <f>VLOOKUP(dataset_A!C466,$Q$2:$R$5,2,0)</f>
        <v>Spring</v>
      </c>
      <c r="S466" s="38" t="str">
        <f t="array" ref="S466">INDEX($R$2:$R$5,MATCH(dataset_A!C466,$Q$2:$Q$5,0))</f>
        <v>Spring</v>
      </c>
      <c r="T466" s="38" t="str">
        <f t="shared" si="4"/>
        <v>Match</v>
      </c>
    </row>
    <row r="467" ht="12.75" customHeight="1">
      <c r="A467" s="38">
        <f>dataset_A!A467</f>
        <v>476</v>
      </c>
      <c r="B467" s="39">
        <f>dataset_A!B467</f>
        <v>40564</v>
      </c>
      <c r="C467" s="38">
        <f>dataset_A!F467</f>
        <v>20</v>
      </c>
      <c r="D467" s="38">
        <f>dataset_A!H467</f>
        <v>5</v>
      </c>
      <c r="E467" s="38" t="b">
        <f>dataset_A!G467</f>
        <v>0</v>
      </c>
      <c r="F467" s="38" t="b">
        <f>dataset_A!G467</f>
        <v>0</v>
      </c>
      <c r="G467" s="38" t="str">
        <f t="shared" si="1"/>
        <v>Weekday</v>
      </c>
      <c r="H467" s="38" t="str">
        <f t="shared" si="2"/>
        <v>Evening</v>
      </c>
      <c r="I467" s="38" t="str">
        <f>IF(dataset_A!C467=1,"Spring",IF(dataset_A!C467=2,"Summer",IF(dataset_A!C467=3,"Fail","Winter")))</f>
        <v>Spring</v>
      </c>
      <c r="J467" s="38" t="str">
        <f>IF(dataset_A!I467=1,"Clear",IF(dataset_A!I467,"Mist/Cloudy",IF(dataset_A!I467=3,"Light Rain/Snow","Heavy Rain/Snow")))</f>
        <v>Clear</v>
      </c>
      <c r="K467" s="38">
        <f>dataset_A!N467</f>
        <v>1</v>
      </c>
      <c r="L467" s="38">
        <f>dataset_A!O467</f>
        <v>52</v>
      </c>
      <c r="M467" s="38">
        <f>dataset_A!P467</f>
        <v>53</v>
      </c>
      <c r="N467" s="38" t="str">
        <f t="shared" si="3"/>
        <v>Ok</v>
      </c>
      <c r="O467" s="38" t="str">
        <f>IF(M467&gt;Analysis!$B$3*1.5,"High",IF(M467&lt;Analysis!$B$3*0.5,"Low","Medium"))</f>
        <v>Medium</v>
      </c>
      <c r="P467" s="38" t="str">
        <f>VLOOKUP(dataset_A!C467,$Q$2:$R$5,2,0)</f>
        <v>Spring</v>
      </c>
      <c r="S467" s="38" t="str">
        <f t="array" ref="S467">INDEX($R$2:$R$5,MATCH(dataset_A!C467,$Q$2:$Q$5,0))</f>
        <v>Spring</v>
      </c>
      <c r="T467" s="38" t="str">
        <f t="shared" si="4"/>
        <v>Match</v>
      </c>
    </row>
    <row r="468" ht="12.75" customHeight="1">
      <c r="A468" s="38">
        <f>dataset_A!A468</f>
        <v>489</v>
      </c>
      <c r="B468" s="39">
        <f>dataset_A!B468</f>
        <v>40565</v>
      </c>
      <c r="C468" s="38">
        <f>dataset_A!F468</f>
        <v>10</v>
      </c>
      <c r="D468" s="38">
        <f>dataset_A!H468</f>
        <v>6</v>
      </c>
      <c r="E468" s="38" t="b">
        <f>dataset_A!G468</f>
        <v>0</v>
      </c>
      <c r="F468" s="38" t="b">
        <f>dataset_A!G468</f>
        <v>0</v>
      </c>
      <c r="G468" s="38" t="str">
        <f t="shared" si="1"/>
        <v>Weekend</v>
      </c>
      <c r="H468" s="38" t="str">
        <f t="shared" si="2"/>
        <v>Morning</v>
      </c>
      <c r="I468" s="38" t="str">
        <f>IF(dataset_A!C468=1,"Spring",IF(dataset_A!C468=2,"Summer",IF(dataset_A!C468=3,"Fail","Winter")))</f>
        <v>Spring</v>
      </c>
      <c r="J468" s="38" t="str">
        <f>IF(dataset_A!I468=1,"Clear",IF(dataset_A!I468,"Mist/Cloudy",IF(dataset_A!I468=3,"Light Rain/Snow","Heavy Rain/Snow")))</f>
        <v>Mist/Cloudy</v>
      </c>
      <c r="K468" s="38">
        <f>dataset_A!N468</f>
        <v>3</v>
      </c>
      <c r="L468" s="38">
        <f>dataset_A!O468</f>
        <v>50</v>
      </c>
      <c r="M468" s="38">
        <f>dataset_A!P468</f>
        <v>53</v>
      </c>
      <c r="N468" s="38" t="str">
        <f t="shared" si="3"/>
        <v>Ok</v>
      </c>
      <c r="O468" s="38" t="str">
        <f>IF(M468&gt;Analysis!$B$3*1.5,"High",IF(M468&lt;Analysis!$B$3*0.5,"Low","Medium"))</f>
        <v>Medium</v>
      </c>
      <c r="P468" s="38" t="str">
        <f>VLOOKUP(dataset_A!C468,$Q$2:$R$5,2,0)</f>
        <v>Spring</v>
      </c>
      <c r="S468" s="38" t="str">
        <f t="array" ref="S468">INDEX($R$2:$R$5,MATCH(dataset_A!C468,$Q$2:$Q$5,0))</f>
        <v>Spring</v>
      </c>
      <c r="T468" s="38" t="str">
        <f t="shared" si="4"/>
        <v>Match</v>
      </c>
    </row>
    <row r="469" ht="12.75" customHeight="1">
      <c r="A469" s="38">
        <f>dataset_A!A469</f>
        <v>570</v>
      </c>
      <c r="B469" s="39">
        <f>dataset_A!B469</f>
        <v>40568</v>
      </c>
      <c r="C469" s="38">
        <f>dataset_A!F469</f>
        <v>22</v>
      </c>
      <c r="D469" s="38">
        <f>dataset_A!H469</f>
        <v>2</v>
      </c>
      <c r="E469" s="38" t="b">
        <f>dataset_A!G469</f>
        <v>0</v>
      </c>
      <c r="F469" s="38" t="b">
        <f>dataset_A!G469</f>
        <v>0</v>
      </c>
      <c r="G469" s="38" t="str">
        <f t="shared" si="1"/>
        <v>Weekday</v>
      </c>
      <c r="H469" s="38" t="str">
        <f t="shared" si="2"/>
        <v>Evening</v>
      </c>
      <c r="I469" s="38" t="str">
        <f>IF(dataset_A!C469=1,"Spring",IF(dataset_A!C469=2,"Summer",IF(dataset_A!C469=3,"Fail","Winter")))</f>
        <v>Spring</v>
      </c>
      <c r="J469" s="38" t="str">
        <f>IF(dataset_A!I469=1,"Clear",IF(dataset_A!I469,"Mist/Cloudy",IF(dataset_A!I469=3,"Light Rain/Snow","Heavy Rain/Snow")))</f>
        <v>Clear</v>
      </c>
      <c r="K469" s="38">
        <f>dataset_A!N469</f>
        <v>4</v>
      </c>
      <c r="L469" s="38">
        <f>dataset_A!O469</f>
        <v>49</v>
      </c>
      <c r="M469" s="38">
        <f>dataset_A!P469</f>
        <v>53</v>
      </c>
      <c r="N469" s="38" t="str">
        <f t="shared" si="3"/>
        <v>Ok</v>
      </c>
      <c r="O469" s="38" t="str">
        <f>IF(M469&gt;Analysis!$B$3*1.5,"High",IF(M469&lt;Analysis!$B$3*0.5,"Low","Medium"))</f>
        <v>Medium</v>
      </c>
      <c r="P469" s="38" t="str">
        <f>VLOOKUP(dataset_A!C469,$Q$2:$R$5,2,0)</f>
        <v>Spring</v>
      </c>
      <c r="S469" s="38" t="str">
        <f t="array" ref="S469">INDEX($R$2:$R$5,MATCH(dataset_A!C469,$Q$2:$Q$5,0))</f>
        <v>Spring</v>
      </c>
      <c r="T469" s="38" t="str">
        <f t="shared" si="4"/>
        <v>Match</v>
      </c>
    </row>
    <row r="470" ht="12.75" customHeight="1">
      <c r="A470" s="38">
        <f>dataset_A!A470</f>
        <v>945</v>
      </c>
      <c r="B470" s="39">
        <f>dataset_A!B470</f>
        <v>40585</v>
      </c>
      <c r="C470" s="38">
        <f>dataset_A!F470</f>
        <v>23</v>
      </c>
      <c r="D470" s="38">
        <f>dataset_A!H470</f>
        <v>5</v>
      </c>
      <c r="E470" s="38" t="b">
        <f>dataset_A!G470</f>
        <v>0</v>
      </c>
      <c r="F470" s="38" t="b">
        <f>dataset_A!G470</f>
        <v>0</v>
      </c>
      <c r="G470" s="38" t="str">
        <f t="shared" si="1"/>
        <v>Weekday</v>
      </c>
      <c r="H470" s="38" t="str">
        <f t="shared" si="2"/>
        <v>Evening</v>
      </c>
      <c r="I470" s="38" t="str">
        <f>IF(dataset_A!C470=1,"Spring",IF(dataset_A!C470=2,"Summer",IF(dataset_A!C470=3,"Fail","Winter")))</f>
        <v>Spring</v>
      </c>
      <c r="J470" s="38" t="str">
        <f>IF(dataset_A!I470=1,"Clear",IF(dataset_A!I470,"Mist/Cloudy",IF(dataset_A!I470=3,"Light Rain/Snow","Heavy Rain/Snow")))</f>
        <v>Clear</v>
      </c>
      <c r="K470" s="38">
        <f>dataset_A!N470</f>
        <v>5</v>
      </c>
      <c r="L470" s="38">
        <f>dataset_A!O470</f>
        <v>48</v>
      </c>
      <c r="M470" s="38">
        <f>dataset_A!P470</f>
        <v>53</v>
      </c>
      <c r="N470" s="38" t="str">
        <f t="shared" si="3"/>
        <v>Ok</v>
      </c>
      <c r="O470" s="38" t="str">
        <f>IF(M470&gt;Analysis!$B$3*1.5,"High",IF(M470&lt;Analysis!$B$3*0.5,"Low","Medium"))</f>
        <v>Medium</v>
      </c>
      <c r="P470" s="38" t="str">
        <f>VLOOKUP(dataset_A!C470,$Q$2:$R$5,2,0)</f>
        <v>Spring</v>
      </c>
      <c r="S470" s="38" t="str">
        <f t="array" ref="S470">INDEX($R$2:$R$5,MATCH(dataset_A!C470,$Q$2:$Q$5,0))</f>
        <v>Spring</v>
      </c>
      <c r="T470" s="38" t="str">
        <f t="shared" si="4"/>
        <v>Match</v>
      </c>
    </row>
    <row r="471" ht="12.75" customHeight="1">
      <c r="A471" s="38">
        <f>dataset_A!A471</f>
        <v>66</v>
      </c>
      <c r="B471" s="39">
        <f>dataset_A!B471</f>
        <v>40546</v>
      </c>
      <c r="C471" s="38">
        <f>dataset_A!F471</f>
        <v>20</v>
      </c>
      <c r="D471" s="38">
        <f>dataset_A!H471</f>
        <v>1</v>
      </c>
      <c r="E471" s="38" t="b">
        <f>dataset_A!G471</f>
        <v>0</v>
      </c>
      <c r="F471" s="38" t="b">
        <f>dataset_A!G471</f>
        <v>0</v>
      </c>
      <c r="G471" s="38" t="str">
        <f t="shared" si="1"/>
        <v>Weekday</v>
      </c>
      <c r="H471" s="38" t="str">
        <f t="shared" si="2"/>
        <v>Evening</v>
      </c>
      <c r="I471" s="38" t="str">
        <f>IF(dataset_A!C471=1,"Spring",IF(dataset_A!C471=2,"Summer",IF(dataset_A!C471=3,"Fail","Winter")))</f>
        <v>Spring</v>
      </c>
      <c r="J471" s="38" t="str">
        <f>IF(dataset_A!I471=1,"Clear",IF(dataset_A!I471,"Mist/Cloudy",IF(dataset_A!I471=3,"Light Rain/Snow","Heavy Rain/Snow")))</f>
        <v>Clear</v>
      </c>
      <c r="K471" s="38">
        <f>dataset_A!N471</f>
        <v>3</v>
      </c>
      <c r="L471" s="38">
        <f>dataset_A!O471</f>
        <v>49</v>
      </c>
      <c r="M471" s="38">
        <f>dataset_A!P471</f>
        <v>52</v>
      </c>
      <c r="N471" s="38" t="str">
        <f t="shared" si="3"/>
        <v>Ok</v>
      </c>
      <c r="O471" s="38" t="str">
        <f>IF(M471&gt;Analysis!$B$3*1.5,"High",IF(M471&lt;Analysis!$B$3*0.5,"Low","Medium"))</f>
        <v>Medium</v>
      </c>
      <c r="P471" s="38" t="str">
        <f>VLOOKUP(dataset_A!C471,$Q$2:$R$5,2,0)</f>
        <v>Spring</v>
      </c>
      <c r="S471" s="38" t="str">
        <f t="array" ref="S471">INDEX($R$2:$R$5,MATCH(dataset_A!C471,$Q$2:$Q$5,0))</f>
        <v>Spring</v>
      </c>
      <c r="T471" s="38" t="str">
        <f t="shared" si="4"/>
        <v>Match</v>
      </c>
    </row>
    <row r="472" ht="12.75" customHeight="1">
      <c r="A472" s="38">
        <f>dataset_A!A472</f>
        <v>67</v>
      </c>
      <c r="B472" s="39">
        <f>dataset_A!B472</f>
        <v>40546</v>
      </c>
      <c r="C472" s="38">
        <f>dataset_A!F472</f>
        <v>21</v>
      </c>
      <c r="D472" s="38">
        <f>dataset_A!H472</f>
        <v>1</v>
      </c>
      <c r="E472" s="38" t="b">
        <f>dataset_A!G472</f>
        <v>0</v>
      </c>
      <c r="F472" s="38" t="b">
        <f>dataset_A!G472</f>
        <v>0</v>
      </c>
      <c r="G472" s="38" t="str">
        <f t="shared" si="1"/>
        <v>Weekday</v>
      </c>
      <c r="H472" s="38" t="str">
        <f t="shared" si="2"/>
        <v>Evening</v>
      </c>
      <c r="I472" s="38" t="str">
        <f>IF(dataset_A!C472=1,"Spring",IF(dataset_A!C472=2,"Summer",IF(dataset_A!C472=3,"Fail","Winter")))</f>
        <v>Spring</v>
      </c>
      <c r="J472" s="38" t="str">
        <f>IF(dataset_A!I472=1,"Clear",IF(dataset_A!I472,"Mist/Cloudy",IF(dataset_A!I472=3,"Light Rain/Snow","Heavy Rain/Snow")))</f>
        <v>Clear</v>
      </c>
      <c r="K472" s="38">
        <f>dataset_A!N472</f>
        <v>3</v>
      </c>
      <c r="L472" s="38">
        <f>dataset_A!O472</f>
        <v>49</v>
      </c>
      <c r="M472" s="38">
        <f>dataset_A!P472</f>
        <v>52</v>
      </c>
      <c r="N472" s="38" t="str">
        <f t="shared" si="3"/>
        <v>Ok</v>
      </c>
      <c r="O472" s="38" t="str">
        <f>IF(M472&gt;Analysis!$B$3*1.5,"High",IF(M472&lt;Analysis!$B$3*0.5,"Low","Medium"))</f>
        <v>Medium</v>
      </c>
      <c r="P472" s="38" t="str">
        <f>VLOOKUP(dataset_A!C472,$Q$2:$R$5,2,0)</f>
        <v>Spring</v>
      </c>
      <c r="S472" s="38" t="str">
        <f t="array" ref="S472">INDEX($R$2:$R$5,MATCH(dataset_A!C472,$Q$2:$Q$5,0))</f>
        <v>Spring</v>
      </c>
      <c r="T472" s="38" t="str">
        <f t="shared" si="4"/>
        <v>Match</v>
      </c>
    </row>
    <row r="473" ht="12.75" customHeight="1">
      <c r="A473" s="38">
        <f>dataset_A!A473</f>
        <v>137</v>
      </c>
      <c r="B473" s="39">
        <f>dataset_A!B473</f>
        <v>40549</v>
      </c>
      <c r="C473" s="38">
        <f>dataset_A!F473</f>
        <v>22</v>
      </c>
      <c r="D473" s="38">
        <f>dataset_A!H473</f>
        <v>4</v>
      </c>
      <c r="E473" s="38" t="b">
        <f>dataset_A!G473</f>
        <v>0</v>
      </c>
      <c r="F473" s="38" t="b">
        <f>dataset_A!G473</f>
        <v>0</v>
      </c>
      <c r="G473" s="38" t="str">
        <f t="shared" si="1"/>
        <v>Weekday</v>
      </c>
      <c r="H473" s="38" t="str">
        <f t="shared" si="2"/>
        <v>Evening</v>
      </c>
      <c r="I473" s="38" t="str">
        <f>IF(dataset_A!C473=1,"Spring",IF(dataset_A!C473=2,"Summer",IF(dataset_A!C473=3,"Fail","Winter")))</f>
        <v>Spring</v>
      </c>
      <c r="J473" s="38" t="str">
        <f>IF(dataset_A!I473=1,"Clear",IF(dataset_A!I473,"Mist/Cloudy",IF(dataset_A!I473=3,"Light Rain/Snow","Heavy Rain/Snow")))</f>
        <v>Mist/Cloudy</v>
      </c>
      <c r="K473" s="38">
        <f>dataset_A!N473</f>
        <v>1</v>
      </c>
      <c r="L473" s="38">
        <f>dataset_A!O473</f>
        <v>51</v>
      </c>
      <c r="M473" s="38">
        <f>dataset_A!P473</f>
        <v>52</v>
      </c>
      <c r="N473" s="38" t="str">
        <f t="shared" si="3"/>
        <v>Ok</v>
      </c>
      <c r="O473" s="38" t="str">
        <f>IF(M473&gt;Analysis!$B$3*1.5,"High",IF(M473&lt;Analysis!$B$3*0.5,"Low","Medium"))</f>
        <v>Medium</v>
      </c>
      <c r="P473" s="38" t="str">
        <f>VLOOKUP(dataset_A!C473,$Q$2:$R$5,2,0)</f>
        <v>Spring</v>
      </c>
      <c r="S473" s="38" t="str">
        <f t="array" ref="S473">INDEX($R$2:$R$5,MATCH(dataset_A!C473,$Q$2:$Q$5,0))</f>
        <v>Spring</v>
      </c>
      <c r="T473" s="38" t="str">
        <f t="shared" si="4"/>
        <v>Match</v>
      </c>
    </row>
    <row r="474" ht="12.75" customHeight="1">
      <c r="A474" s="38">
        <f>dataset_A!A474</f>
        <v>222</v>
      </c>
      <c r="B474" s="39">
        <f>dataset_A!B474</f>
        <v>40553</v>
      </c>
      <c r="C474" s="38">
        <f>dataset_A!F474</f>
        <v>12</v>
      </c>
      <c r="D474" s="38">
        <f>dataset_A!H474</f>
        <v>1</v>
      </c>
      <c r="E474" s="38" t="b">
        <f>dataset_A!G474</f>
        <v>0</v>
      </c>
      <c r="F474" s="38" t="b">
        <f>dataset_A!G474</f>
        <v>0</v>
      </c>
      <c r="G474" s="38" t="str">
        <f t="shared" si="1"/>
        <v>Weekday</v>
      </c>
      <c r="H474" s="38" t="str">
        <f t="shared" si="2"/>
        <v>Afternoon</v>
      </c>
      <c r="I474" s="38" t="str">
        <f>IF(dataset_A!C474=1,"Spring",IF(dataset_A!C474=2,"Summer",IF(dataset_A!C474=3,"Fail","Winter")))</f>
        <v>Spring</v>
      </c>
      <c r="J474" s="38" t="str">
        <f>IF(dataset_A!I474=1,"Clear",IF(dataset_A!I474,"Mist/Cloudy",IF(dataset_A!I474=3,"Light Rain/Snow","Heavy Rain/Snow")))</f>
        <v>Mist/Cloudy</v>
      </c>
      <c r="K474" s="38">
        <f>dataset_A!N474</f>
        <v>5</v>
      </c>
      <c r="L474" s="38">
        <f>dataset_A!O474</f>
        <v>47</v>
      </c>
      <c r="M474" s="38">
        <f>dataset_A!P474</f>
        <v>52</v>
      </c>
      <c r="N474" s="38" t="str">
        <f t="shared" si="3"/>
        <v>Ok</v>
      </c>
      <c r="O474" s="38" t="str">
        <f>IF(M474&gt;Analysis!$B$3*1.5,"High",IF(M474&lt;Analysis!$B$3*0.5,"Low","Medium"))</f>
        <v>Medium</v>
      </c>
      <c r="P474" s="38" t="str">
        <f>VLOOKUP(dataset_A!C474,$Q$2:$R$5,2,0)</f>
        <v>Spring</v>
      </c>
      <c r="S474" s="38" t="str">
        <f t="array" ref="S474">INDEX($R$2:$R$5,MATCH(dataset_A!C474,$Q$2:$Q$5,0))</f>
        <v>Spring</v>
      </c>
      <c r="T474" s="38" t="str">
        <f t="shared" si="4"/>
        <v>Match</v>
      </c>
    </row>
    <row r="475" ht="12.75" customHeight="1">
      <c r="A475" s="38">
        <f>dataset_A!A475</f>
        <v>245</v>
      </c>
      <c r="B475" s="39">
        <f>dataset_A!B475</f>
        <v>40554</v>
      </c>
      <c r="C475" s="38">
        <f>dataset_A!F475</f>
        <v>13</v>
      </c>
      <c r="D475" s="38">
        <f>dataset_A!H475</f>
        <v>2</v>
      </c>
      <c r="E475" s="38" t="b">
        <f>dataset_A!G475</f>
        <v>0</v>
      </c>
      <c r="F475" s="38" t="b">
        <f>dataset_A!G475</f>
        <v>0</v>
      </c>
      <c r="G475" s="38" t="str">
        <f t="shared" si="1"/>
        <v>Weekday</v>
      </c>
      <c r="H475" s="38" t="str">
        <f t="shared" si="2"/>
        <v>Afternoon</v>
      </c>
      <c r="I475" s="38" t="str">
        <f>IF(dataset_A!C475=1,"Spring",IF(dataset_A!C475=2,"Summer",IF(dataset_A!C475=3,"Fail","Winter")))</f>
        <v>Spring</v>
      </c>
      <c r="J475" s="38" t="str">
        <f>IF(dataset_A!I475=1,"Clear",IF(dataset_A!I475,"Mist/Cloudy",IF(dataset_A!I475=3,"Light Rain/Snow","Heavy Rain/Snow")))</f>
        <v>Mist/Cloudy</v>
      </c>
      <c r="K475" s="38">
        <f>dataset_A!N475</f>
        <v>6</v>
      </c>
      <c r="L475" s="38">
        <f>dataset_A!O475</f>
        <v>46</v>
      </c>
      <c r="M475" s="38">
        <f>dataset_A!P475</f>
        <v>52</v>
      </c>
      <c r="N475" s="38" t="str">
        <f t="shared" si="3"/>
        <v>Ok</v>
      </c>
      <c r="O475" s="38" t="str">
        <f>IF(M475&gt;Analysis!$B$3*1.5,"High",IF(M475&lt;Analysis!$B$3*0.5,"Low","Medium"))</f>
        <v>Medium</v>
      </c>
      <c r="P475" s="38" t="str">
        <f>VLOOKUP(dataset_A!C475,$Q$2:$R$5,2,0)</f>
        <v>Spring</v>
      </c>
      <c r="S475" s="38" t="str">
        <f t="array" ref="S475">INDEX($R$2:$R$5,MATCH(dataset_A!C475,$Q$2:$Q$5,0))</f>
        <v>Spring</v>
      </c>
      <c r="T475" s="38" t="str">
        <f t="shared" si="4"/>
        <v>Match</v>
      </c>
    </row>
    <row r="476" ht="12.75" customHeight="1">
      <c r="A476" s="38">
        <f>dataset_A!A476</f>
        <v>290</v>
      </c>
      <c r="B476" s="39">
        <f>dataset_A!B476</f>
        <v>40556</v>
      </c>
      <c r="C476" s="38">
        <f>dataset_A!F476</f>
        <v>12</v>
      </c>
      <c r="D476" s="38">
        <f>dataset_A!H476</f>
        <v>4</v>
      </c>
      <c r="E476" s="38" t="b">
        <f>dataset_A!G476</f>
        <v>0</v>
      </c>
      <c r="F476" s="38" t="b">
        <f>dataset_A!G476</f>
        <v>0</v>
      </c>
      <c r="G476" s="38" t="str">
        <f t="shared" si="1"/>
        <v>Weekday</v>
      </c>
      <c r="H476" s="38" t="str">
        <f t="shared" si="2"/>
        <v>Afternoon</v>
      </c>
      <c r="I476" s="38" t="str">
        <f>IF(dataset_A!C476=1,"Spring",IF(dataset_A!C476=2,"Summer",IF(dataset_A!C476=3,"Fail","Winter")))</f>
        <v>Spring</v>
      </c>
      <c r="J476" s="38" t="str">
        <f>IF(dataset_A!I476=1,"Clear",IF(dataset_A!I476,"Mist/Cloudy",IF(dataset_A!I476=3,"Light Rain/Snow","Heavy Rain/Snow")))</f>
        <v>Clear</v>
      </c>
      <c r="K476" s="38">
        <f>dataset_A!N476</f>
        <v>3</v>
      </c>
      <c r="L476" s="38">
        <f>dataset_A!O476</f>
        <v>49</v>
      </c>
      <c r="M476" s="38">
        <f>dataset_A!P476</f>
        <v>52</v>
      </c>
      <c r="N476" s="38" t="str">
        <f t="shared" si="3"/>
        <v>Ok</v>
      </c>
      <c r="O476" s="38" t="str">
        <f>IF(M476&gt;Analysis!$B$3*1.5,"High",IF(M476&lt;Analysis!$B$3*0.5,"Low","Medium"))</f>
        <v>Medium</v>
      </c>
      <c r="P476" s="38" t="str">
        <f>VLOOKUP(dataset_A!C476,$Q$2:$R$5,2,0)</f>
        <v>Spring</v>
      </c>
      <c r="S476" s="38" t="str">
        <f t="array" ref="S476">INDEX($R$2:$R$5,MATCH(dataset_A!C476,$Q$2:$Q$5,0))</f>
        <v>Spring</v>
      </c>
      <c r="T476" s="38" t="str">
        <f t="shared" si="4"/>
        <v>Match</v>
      </c>
    </row>
    <row r="477" ht="12.75" customHeight="1">
      <c r="A477" s="38">
        <f>dataset_A!A477</f>
        <v>322</v>
      </c>
      <c r="B477" s="39">
        <f>dataset_A!B477</f>
        <v>40557</v>
      </c>
      <c r="C477" s="38">
        <f>dataset_A!F477</f>
        <v>21</v>
      </c>
      <c r="D477" s="38">
        <f>dataset_A!H477</f>
        <v>5</v>
      </c>
      <c r="E477" s="38" t="b">
        <f>dataset_A!G477</f>
        <v>0</v>
      </c>
      <c r="F477" s="38" t="b">
        <f>dataset_A!G477</f>
        <v>0</v>
      </c>
      <c r="G477" s="38" t="str">
        <f t="shared" si="1"/>
        <v>Weekday</v>
      </c>
      <c r="H477" s="38" t="str">
        <f t="shared" si="2"/>
        <v>Evening</v>
      </c>
      <c r="I477" s="38" t="str">
        <f>IF(dataset_A!C477=1,"Spring",IF(dataset_A!C477=2,"Summer",IF(dataset_A!C477=3,"Fail","Winter")))</f>
        <v>Spring</v>
      </c>
      <c r="J477" s="38" t="str">
        <f>IF(dataset_A!I477=1,"Clear",IF(dataset_A!I477,"Mist/Cloudy",IF(dataset_A!I477=3,"Light Rain/Snow","Heavy Rain/Snow")))</f>
        <v>Clear</v>
      </c>
      <c r="K477" s="38">
        <f>dataset_A!N477</f>
        <v>4</v>
      </c>
      <c r="L477" s="38">
        <f>dataset_A!O477</f>
        <v>48</v>
      </c>
      <c r="M477" s="38">
        <f>dataset_A!P477</f>
        <v>52</v>
      </c>
      <c r="N477" s="38" t="str">
        <f t="shared" si="3"/>
        <v>Ok</v>
      </c>
      <c r="O477" s="38" t="str">
        <f>IF(M477&gt;Analysis!$B$3*1.5,"High",IF(M477&lt;Analysis!$B$3*0.5,"Low","Medium"))</f>
        <v>Medium</v>
      </c>
      <c r="P477" s="38" t="str">
        <f>VLOOKUP(dataset_A!C477,$Q$2:$R$5,2,0)</f>
        <v>Spring</v>
      </c>
      <c r="S477" s="38" t="str">
        <f t="array" ref="S477">INDEX($R$2:$R$5,MATCH(dataset_A!C477,$Q$2:$Q$5,0))</f>
        <v>Spring</v>
      </c>
      <c r="T477" s="38" t="str">
        <f t="shared" si="4"/>
        <v>Match</v>
      </c>
    </row>
    <row r="478" ht="12.75" customHeight="1">
      <c r="A478" s="38">
        <f>dataset_A!A478</f>
        <v>419</v>
      </c>
      <c r="B478" s="39">
        <f>dataset_A!B478</f>
        <v>40562</v>
      </c>
      <c r="C478" s="38">
        <f>dataset_A!F478</f>
        <v>11</v>
      </c>
      <c r="D478" s="38">
        <f>dataset_A!H478</f>
        <v>3</v>
      </c>
      <c r="E478" s="38" t="b">
        <f>dataset_A!G478</f>
        <v>0</v>
      </c>
      <c r="F478" s="38" t="b">
        <f>dataset_A!G478</f>
        <v>0</v>
      </c>
      <c r="G478" s="38" t="str">
        <f t="shared" si="1"/>
        <v>Weekday</v>
      </c>
      <c r="H478" s="38" t="str">
        <f t="shared" si="2"/>
        <v>Morning</v>
      </c>
      <c r="I478" s="38" t="str">
        <f>IF(dataset_A!C478=1,"Spring",IF(dataset_A!C478=2,"Summer",IF(dataset_A!C478=3,"Fail","Winter")))</f>
        <v>Spring</v>
      </c>
      <c r="J478" s="38" t="str">
        <f>IF(dataset_A!I478=1,"Clear",IF(dataset_A!I478,"Mist/Cloudy",IF(dataset_A!I478=3,"Light Rain/Snow","Heavy Rain/Snow")))</f>
        <v>Mist/Cloudy</v>
      </c>
      <c r="K478" s="38">
        <f>dataset_A!N478</f>
        <v>5</v>
      </c>
      <c r="L478" s="38">
        <f>dataset_A!O478</f>
        <v>47</v>
      </c>
      <c r="M478" s="38">
        <f>dataset_A!P478</f>
        <v>52</v>
      </c>
      <c r="N478" s="38" t="str">
        <f t="shared" si="3"/>
        <v>Ok</v>
      </c>
      <c r="O478" s="38" t="str">
        <f>IF(M478&gt;Analysis!$B$3*1.5,"High",IF(M478&lt;Analysis!$B$3*0.5,"Low","Medium"))</f>
        <v>Medium</v>
      </c>
      <c r="P478" s="38" t="str">
        <f>VLOOKUP(dataset_A!C478,$Q$2:$R$5,2,0)</f>
        <v>Spring</v>
      </c>
      <c r="S478" s="38" t="str">
        <f t="array" ref="S478">INDEX($R$2:$R$5,MATCH(dataset_A!C478,$Q$2:$Q$5,0))</f>
        <v>Spring</v>
      </c>
      <c r="T478" s="38" t="str">
        <f t="shared" si="4"/>
        <v>Match</v>
      </c>
    </row>
    <row r="479" ht="12.75" customHeight="1">
      <c r="A479" s="38">
        <f>dataset_A!A479</f>
        <v>695</v>
      </c>
      <c r="B479" s="39">
        <f>dataset_A!B479</f>
        <v>40575</v>
      </c>
      <c r="C479" s="38">
        <f>dataset_A!F479</f>
        <v>7</v>
      </c>
      <c r="D479" s="38">
        <f>dataset_A!H479</f>
        <v>2</v>
      </c>
      <c r="E479" s="38" t="b">
        <f>dataset_A!G479</f>
        <v>0</v>
      </c>
      <c r="F479" s="38" t="b">
        <f>dataset_A!G479</f>
        <v>0</v>
      </c>
      <c r="G479" s="38" t="str">
        <f t="shared" si="1"/>
        <v>Weekday</v>
      </c>
      <c r="H479" s="38" t="str">
        <f t="shared" si="2"/>
        <v>Morning</v>
      </c>
      <c r="I479" s="38" t="str">
        <f>IF(dataset_A!C479=1,"Spring",IF(dataset_A!C479=2,"Summer",IF(dataset_A!C479=3,"Fail","Winter")))</f>
        <v>Spring</v>
      </c>
      <c r="J479" s="38" t="str">
        <f>IF(dataset_A!I479=1,"Clear",IF(dataset_A!I479,"Mist/Cloudy",IF(dataset_A!I479=3,"Light Rain/Snow","Heavy Rain/Snow")))</f>
        <v>Mist/Cloudy</v>
      </c>
      <c r="K479" s="38">
        <f>dataset_A!N479</f>
        <v>0</v>
      </c>
      <c r="L479" s="38">
        <f>dataset_A!O479</f>
        <v>52</v>
      </c>
      <c r="M479" s="38">
        <f>dataset_A!P479</f>
        <v>52</v>
      </c>
      <c r="N479" s="38" t="str">
        <f t="shared" si="3"/>
        <v>Ok</v>
      </c>
      <c r="O479" s="38" t="str">
        <f>IF(M479&gt;Analysis!$B$3*1.5,"High",IF(M479&lt;Analysis!$B$3*0.5,"Low","Medium"))</f>
        <v>Medium</v>
      </c>
      <c r="P479" s="38" t="str">
        <f>VLOOKUP(dataset_A!C479,$Q$2:$R$5,2,0)</f>
        <v>Spring</v>
      </c>
      <c r="S479" s="38" t="str">
        <f t="array" ref="S479">INDEX($R$2:$R$5,MATCH(dataset_A!C479,$Q$2:$Q$5,0))</f>
        <v>Spring</v>
      </c>
      <c r="T479" s="38" t="str">
        <f t="shared" si="4"/>
        <v>Match</v>
      </c>
    </row>
    <row r="480" ht="12.75" customHeight="1">
      <c r="A480" s="38">
        <f>dataset_A!A480</f>
        <v>701</v>
      </c>
      <c r="B480" s="39">
        <f>dataset_A!B480</f>
        <v>40575</v>
      </c>
      <c r="C480" s="38">
        <f>dataset_A!F480</f>
        <v>13</v>
      </c>
      <c r="D480" s="38">
        <f>dataset_A!H480</f>
        <v>2</v>
      </c>
      <c r="E480" s="38" t="b">
        <f>dataset_A!G480</f>
        <v>0</v>
      </c>
      <c r="F480" s="38" t="b">
        <f>dataset_A!G480</f>
        <v>0</v>
      </c>
      <c r="G480" s="38" t="str">
        <f t="shared" si="1"/>
        <v>Weekday</v>
      </c>
      <c r="H480" s="38" t="str">
        <f t="shared" si="2"/>
        <v>Afternoon</v>
      </c>
      <c r="I480" s="38" t="str">
        <f>IF(dataset_A!C480=1,"Spring",IF(dataset_A!C480=2,"Summer",IF(dataset_A!C480=3,"Fail","Winter")))</f>
        <v>Spring</v>
      </c>
      <c r="J480" s="38" t="str">
        <f>IF(dataset_A!I480=1,"Clear",IF(dataset_A!I480,"Mist/Cloudy",IF(dataset_A!I480=3,"Light Rain/Snow","Heavy Rain/Snow")))</f>
        <v>Mist/Cloudy</v>
      </c>
      <c r="K480" s="38">
        <f>dataset_A!N480</f>
        <v>3</v>
      </c>
      <c r="L480" s="38">
        <f>dataset_A!O480</f>
        <v>49</v>
      </c>
      <c r="M480" s="38">
        <f>dataset_A!P480</f>
        <v>52</v>
      </c>
      <c r="N480" s="38" t="str">
        <f t="shared" si="3"/>
        <v>Ok</v>
      </c>
      <c r="O480" s="38" t="str">
        <f>IF(M480&gt;Analysis!$B$3*1.5,"High",IF(M480&lt;Analysis!$B$3*0.5,"Low","Medium"))</f>
        <v>Medium</v>
      </c>
      <c r="P480" s="38" t="str">
        <f>VLOOKUP(dataset_A!C480,$Q$2:$R$5,2,0)</f>
        <v>Spring</v>
      </c>
      <c r="S480" s="38" t="str">
        <f t="array" ref="S480">INDEX($R$2:$R$5,MATCH(dataset_A!C480,$Q$2:$Q$5,0))</f>
        <v>Spring</v>
      </c>
      <c r="T480" s="38" t="str">
        <f t="shared" si="4"/>
        <v>Match</v>
      </c>
    </row>
    <row r="481" ht="12.75" customHeight="1">
      <c r="A481" s="38">
        <f>dataset_A!A481</f>
        <v>703</v>
      </c>
      <c r="B481" s="39">
        <f>dataset_A!B481</f>
        <v>40575</v>
      </c>
      <c r="C481" s="38">
        <f>dataset_A!F481</f>
        <v>15</v>
      </c>
      <c r="D481" s="38">
        <f>dataset_A!H481</f>
        <v>2</v>
      </c>
      <c r="E481" s="38" t="b">
        <f>dataset_A!G481</f>
        <v>0</v>
      </c>
      <c r="F481" s="38" t="b">
        <f>dataset_A!G481</f>
        <v>0</v>
      </c>
      <c r="G481" s="38" t="str">
        <f t="shared" si="1"/>
        <v>Weekday</v>
      </c>
      <c r="H481" s="38" t="str">
        <f t="shared" si="2"/>
        <v>Afternoon</v>
      </c>
      <c r="I481" s="38" t="str">
        <f>IF(dataset_A!C481=1,"Spring",IF(dataset_A!C481=2,"Summer",IF(dataset_A!C481=3,"Fail","Winter")))</f>
        <v>Spring</v>
      </c>
      <c r="J481" s="38" t="str">
        <f>IF(dataset_A!I481=1,"Clear",IF(dataset_A!I481,"Mist/Cloudy",IF(dataset_A!I481=3,"Light Rain/Snow","Heavy Rain/Snow")))</f>
        <v>Mist/Cloudy</v>
      </c>
      <c r="K481" s="38">
        <f>dataset_A!N481</f>
        <v>7</v>
      </c>
      <c r="L481" s="38">
        <f>dataset_A!O481</f>
        <v>45</v>
      </c>
      <c r="M481" s="38">
        <f>dataset_A!P481</f>
        <v>52</v>
      </c>
      <c r="N481" s="38" t="str">
        <f t="shared" si="3"/>
        <v>Ok</v>
      </c>
      <c r="O481" s="38" t="str">
        <f>IF(M481&gt;Analysis!$B$3*1.5,"High",IF(M481&lt;Analysis!$B$3*0.5,"Low","Medium"))</f>
        <v>Medium</v>
      </c>
      <c r="P481" s="38" t="str">
        <f>VLOOKUP(dataset_A!C481,$Q$2:$R$5,2,0)</f>
        <v>Spring</v>
      </c>
      <c r="S481" s="38" t="str">
        <f t="array" ref="S481">INDEX($R$2:$R$5,MATCH(dataset_A!C481,$Q$2:$Q$5,0))</f>
        <v>Spring</v>
      </c>
      <c r="T481" s="38" t="str">
        <f t="shared" si="4"/>
        <v>Match</v>
      </c>
    </row>
    <row r="482" ht="12.75" customHeight="1">
      <c r="A482" s="38">
        <f>dataset_A!A482</f>
        <v>723</v>
      </c>
      <c r="B482" s="39">
        <f>dataset_A!B482</f>
        <v>40576</v>
      </c>
      <c r="C482" s="38">
        <f>dataset_A!F482</f>
        <v>11</v>
      </c>
      <c r="D482" s="38">
        <f>dataset_A!H482</f>
        <v>3</v>
      </c>
      <c r="E482" s="38" t="b">
        <f>dataset_A!G482</f>
        <v>0</v>
      </c>
      <c r="F482" s="38" t="b">
        <f>dataset_A!G482</f>
        <v>0</v>
      </c>
      <c r="G482" s="38" t="str">
        <f t="shared" si="1"/>
        <v>Weekday</v>
      </c>
      <c r="H482" s="38" t="str">
        <f t="shared" si="2"/>
        <v>Morning</v>
      </c>
      <c r="I482" s="38" t="str">
        <f>IF(dataset_A!C482=1,"Spring",IF(dataset_A!C482=2,"Summer",IF(dataset_A!C482=3,"Fail","Winter")))</f>
        <v>Spring</v>
      </c>
      <c r="J482" s="38" t="str">
        <f>IF(dataset_A!I482=1,"Clear",IF(dataset_A!I482,"Mist/Cloudy",IF(dataset_A!I482=3,"Light Rain/Snow","Heavy Rain/Snow")))</f>
        <v>Mist/Cloudy</v>
      </c>
      <c r="K482" s="38">
        <f>dataset_A!N482</f>
        <v>5</v>
      </c>
      <c r="L482" s="38">
        <f>dataset_A!O482</f>
        <v>47</v>
      </c>
      <c r="M482" s="38">
        <f>dataset_A!P482</f>
        <v>52</v>
      </c>
      <c r="N482" s="38" t="str">
        <f t="shared" si="3"/>
        <v>Ok</v>
      </c>
      <c r="O482" s="38" t="str">
        <f>IF(M482&gt;Analysis!$B$3*1.5,"High",IF(M482&lt;Analysis!$B$3*0.5,"Low","Medium"))</f>
        <v>Medium</v>
      </c>
      <c r="P482" s="38" t="str">
        <f>VLOOKUP(dataset_A!C482,$Q$2:$R$5,2,0)</f>
        <v>Spring</v>
      </c>
      <c r="S482" s="38" t="str">
        <f t="array" ref="S482">INDEX($R$2:$R$5,MATCH(dataset_A!C482,$Q$2:$Q$5,0))</f>
        <v>Spring</v>
      </c>
      <c r="T482" s="38" t="str">
        <f t="shared" si="4"/>
        <v>Match</v>
      </c>
    </row>
    <row r="483" ht="12.75" customHeight="1">
      <c r="A483" s="38">
        <f>dataset_A!A483</f>
        <v>745</v>
      </c>
      <c r="B483" s="39">
        <f>dataset_A!B483</f>
        <v>40577</v>
      </c>
      <c r="C483" s="38">
        <f>dataset_A!F483</f>
        <v>10</v>
      </c>
      <c r="D483" s="38">
        <f>dataset_A!H483</f>
        <v>4</v>
      </c>
      <c r="E483" s="38" t="b">
        <f>dataset_A!G483</f>
        <v>0</v>
      </c>
      <c r="F483" s="38" t="b">
        <f>dataset_A!G483</f>
        <v>0</v>
      </c>
      <c r="G483" s="38" t="str">
        <f t="shared" si="1"/>
        <v>Weekday</v>
      </c>
      <c r="H483" s="38" t="str">
        <f t="shared" si="2"/>
        <v>Morning</v>
      </c>
      <c r="I483" s="38" t="str">
        <f>IF(dataset_A!C483=1,"Spring",IF(dataset_A!C483=2,"Summer",IF(dataset_A!C483=3,"Fail","Winter")))</f>
        <v>Spring</v>
      </c>
      <c r="J483" s="38" t="str">
        <f>IF(dataset_A!I483=1,"Clear",IF(dataset_A!I483,"Mist/Cloudy",IF(dataset_A!I483=3,"Light Rain/Snow","Heavy Rain/Snow")))</f>
        <v>Clear</v>
      </c>
      <c r="K483" s="38">
        <f>dataset_A!N483</f>
        <v>2</v>
      </c>
      <c r="L483" s="38">
        <f>dataset_A!O483</f>
        <v>50</v>
      </c>
      <c r="M483" s="38">
        <f>dataset_A!P483</f>
        <v>52</v>
      </c>
      <c r="N483" s="38" t="str">
        <f t="shared" si="3"/>
        <v>Ok</v>
      </c>
      <c r="O483" s="38" t="str">
        <f>IF(M483&gt;Analysis!$B$3*1.5,"High",IF(M483&lt;Analysis!$B$3*0.5,"Low","Medium"))</f>
        <v>Medium</v>
      </c>
      <c r="P483" s="38" t="str">
        <f>VLOOKUP(dataset_A!C483,$Q$2:$R$5,2,0)</f>
        <v>Spring</v>
      </c>
      <c r="S483" s="38" t="str">
        <f t="array" ref="S483">INDEX($R$2:$R$5,MATCH(dataset_A!C483,$Q$2:$Q$5,0))</f>
        <v>Spring</v>
      </c>
      <c r="T483" s="38" t="str">
        <f t="shared" si="4"/>
        <v>Match</v>
      </c>
    </row>
    <row r="484" ht="12.75" customHeight="1">
      <c r="A484" s="38">
        <f>dataset_A!A484</f>
        <v>794</v>
      </c>
      <c r="B484" s="39">
        <f>dataset_A!B484</f>
        <v>40579</v>
      </c>
      <c r="C484" s="38">
        <f>dataset_A!F484</f>
        <v>12</v>
      </c>
      <c r="D484" s="38">
        <f>dataset_A!H484</f>
        <v>6</v>
      </c>
      <c r="E484" s="38" t="b">
        <f>dataset_A!G484</f>
        <v>0</v>
      </c>
      <c r="F484" s="38" t="b">
        <f>dataset_A!G484</f>
        <v>0</v>
      </c>
      <c r="G484" s="38" t="str">
        <f t="shared" si="1"/>
        <v>Weekend</v>
      </c>
      <c r="H484" s="38" t="str">
        <f t="shared" si="2"/>
        <v>Afternoon</v>
      </c>
      <c r="I484" s="38" t="str">
        <f>IF(dataset_A!C484=1,"Spring",IF(dataset_A!C484=2,"Summer",IF(dataset_A!C484=3,"Fail","Winter")))</f>
        <v>Spring</v>
      </c>
      <c r="J484" s="38" t="str">
        <f>IF(dataset_A!I484=1,"Clear",IF(dataset_A!I484,"Mist/Cloudy",IF(dataset_A!I484=3,"Light Rain/Snow","Heavy Rain/Snow")))</f>
        <v>Mist/Cloudy</v>
      </c>
      <c r="K484" s="38">
        <f>dataset_A!N484</f>
        <v>10</v>
      </c>
      <c r="L484" s="38">
        <f>dataset_A!O484</f>
        <v>42</v>
      </c>
      <c r="M484" s="38">
        <f>dataset_A!P484</f>
        <v>52</v>
      </c>
      <c r="N484" s="38" t="str">
        <f t="shared" si="3"/>
        <v>Ok</v>
      </c>
      <c r="O484" s="38" t="str">
        <f>IF(M484&gt;Analysis!$B$3*1.5,"High",IF(M484&lt;Analysis!$B$3*0.5,"Low","Medium"))</f>
        <v>Medium</v>
      </c>
      <c r="P484" s="38" t="str">
        <f>VLOOKUP(dataset_A!C484,$Q$2:$R$5,2,0)</f>
        <v>Spring</v>
      </c>
      <c r="S484" s="38" t="str">
        <f t="array" ref="S484">INDEX($R$2:$R$5,MATCH(dataset_A!C484,$Q$2:$Q$5,0))</f>
        <v>Spring</v>
      </c>
      <c r="T484" s="38" t="str">
        <f t="shared" si="4"/>
        <v>Match</v>
      </c>
    </row>
    <row r="485" ht="12.75" customHeight="1">
      <c r="A485" s="38">
        <f>dataset_A!A485</f>
        <v>57</v>
      </c>
      <c r="B485" s="39">
        <f>dataset_A!B485</f>
        <v>40546</v>
      </c>
      <c r="C485" s="38">
        <f>dataset_A!F485</f>
        <v>11</v>
      </c>
      <c r="D485" s="38">
        <f>dataset_A!H485</f>
        <v>1</v>
      </c>
      <c r="E485" s="38" t="b">
        <f>dataset_A!G485</f>
        <v>0</v>
      </c>
      <c r="F485" s="38" t="b">
        <f>dataset_A!G485</f>
        <v>0</v>
      </c>
      <c r="G485" s="38" t="str">
        <f t="shared" si="1"/>
        <v>Weekday</v>
      </c>
      <c r="H485" s="38" t="str">
        <f t="shared" si="2"/>
        <v>Morning</v>
      </c>
      <c r="I485" s="38" t="str">
        <f>IF(dataset_A!C485=1,"Spring",IF(dataset_A!C485=2,"Summer",IF(dataset_A!C485=3,"Fail","Winter")))</f>
        <v>Spring</v>
      </c>
      <c r="J485" s="38" t="str">
        <f>IF(dataset_A!I485=1,"Clear",IF(dataset_A!I485,"Mist/Cloudy",IF(dataset_A!I485=3,"Light Rain/Snow","Heavy Rain/Snow")))</f>
        <v>Clear</v>
      </c>
      <c r="K485" s="38">
        <f>dataset_A!N485</f>
        <v>10</v>
      </c>
      <c r="L485" s="38">
        <f>dataset_A!O485</f>
        <v>41</v>
      </c>
      <c r="M485" s="38">
        <f>dataset_A!P485</f>
        <v>51</v>
      </c>
      <c r="N485" s="38" t="str">
        <f t="shared" si="3"/>
        <v>Ok</v>
      </c>
      <c r="O485" s="38" t="str">
        <f>IF(M485&gt;Analysis!$B$3*1.5,"High",IF(M485&lt;Analysis!$B$3*0.5,"Low","Medium"))</f>
        <v>Medium</v>
      </c>
      <c r="P485" s="38" t="str">
        <f>VLOOKUP(dataset_A!C485,$Q$2:$R$5,2,0)</f>
        <v>Spring</v>
      </c>
      <c r="S485" s="38" t="str">
        <f t="array" ref="S485">INDEX($R$2:$R$5,MATCH(dataset_A!C485,$Q$2:$Q$5,0))</f>
        <v>Spring</v>
      </c>
      <c r="T485" s="38" t="str">
        <f t="shared" si="4"/>
        <v>Match</v>
      </c>
    </row>
    <row r="486" ht="12.75" customHeight="1">
      <c r="A486" s="38">
        <f>dataset_A!A486</f>
        <v>158</v>
      </c>
      <c r="B486" s="39">
        <f>dataset_A!B486</f>
        <v>40550</v>
      </c>
      <c r="C486" s="38">
        <f>dataset_A!F486</f>
        <v>20</v>
      </c>
      <c r="D486" s="38">
        <f>dataset_A!H486</f>
        <v>5</v>
      </c>
      <c r="E486" s="38" t="b">
        <f>dataset_A!G486</f>
        <v>0</v>
      </c>
      <c r="F486" s="38" t="b">
        <f>dataset_A!G486</f>
        <v>0</v>
      </c>
      <c r="G486" s="38" t="str">
        <f t="shared" si="1"/>
        <v>Weekday</v>
      </c>
      <c r="H486" s="38" t="str">
        <f t="shared" si="2"/>
        <v>Evening</v>
      </c>
      <c r="I486" s="38" t="str">
        <f>IF(dataset_A!C486=1,"Spring",IF(dataset_A!C486=2,"Summer",IF(dataset_A!C486=3,"Fail","Winter")))</f>
        <v>Spring</v>
      </c>
      <c r="J486" s="38" t="str">
        <f>IF(dataset_A!I486=1,"Clear",IF(dataset_A!I486,"Mist/Cloudy",IF(dataset_A!I486=3,"Light Rain/Snow","Heavy Rain/Snow")))</f>
        <v>Clear</v>
      </c>
      <c r="K486" s="38">
        <f>dataset_A!N486</f>
        <v>1</v>
      </c>
      <c r="L486" s="38">
        <f>dataset_A!O486</f>
        <v>50</v>
      </c>
      <c r="M486" s="38">
        <f>dataset_A!P486</f>
        <v>51</v>
      </c>
      <c r="N486" s="38" t="str">
        <f t="shared" si="3"/>
        <v>Ok</v>
      </c>
      <c r="O486" s="38" t="str">
        <f>IF(M486&gt;Analysis!$B$3*1.5,"High",IF(M486&lt;Analysis!$B$3*0.5,"Low","Medium"))</f>
        <v>Medium</v>
      </c>
      <c r="P486" s="38" t="str">
        <f>VLOOKUP(dataset_A!C486,$Q$2:$R$5,2,0)</f>
        <v>Spring</v>
      </c>
      <c r="S486" s="38" t="str">
        <f t="array" ref="S486">INDEX($R$2:$R$5,MATCH(dataset_A!C486,$Q$2:$Q$5,0))</f>
        <v>Spring</v>
      </c>
      <c r="T486" s="38" t="str">
        <f t="shared" si="4"/>
        <v>Match</v>
      </c>
    </row>
    <row r="487" ht="12.75" customHeight="1">
      <c r="A487" s="38">
        <f>dataset_A!A487</f>
        <v>251</v>
      </c>
      <c r="B487" s="39">
        <f>dataset_A!B487</f>
        <v>40554</v>
      </c>
      <c r="C487" s="38">
        <f>dataset_A!F487</f>
        <v>19</v>
      </c>
      <c r="D487" s="38">
        <f>dataset_A!H487</f>
        <v>2</v>
      </c>
      <c r="E487" s="38" t="b">
        <f>dataset_A!G487</f>
        <v>0</v>
      </c>
      <c r="F487" s="38" t="b">
        <f>dataset_A!G487</f>
        <v>0</v>
      </c>
      <c r="G487" s="38" t="str">
        <f t="shared" si="1"/>
        <v>Weekday</v>
      </c>
      <c r="H487" s="38" t="str">
        <f t="shared" si="2"/>
        <v>Evening</v>
      </c>
      <c r="I487" s="38" t="str">
        <f>IF(dataset_A!C487=1,"Spring",IF(dataset_A!C487=2,"Summer",IF(dataset_A!C487=3,"Fail","Winter")))</f>
        <v>Spring</v>
      </c>
      <c r="J487" s="38" t="str">
        <f>IF(dataset_A!I487=1,"Clear",IF(dataset_A!I487,"Mist/Cloudy",IF(dataset_A!I487=3,"Light Rain/Snow","Heavy Rain/Snow")))</f>
        <v>Mist/Cloudy</v>
      </c>
      <c r="K487" s="38">
        <f>dataset_A!N487</f>
        <v>0</v>
      </c>
      <c r="L487" s="38">
        <f>dataset_A!O487</f>
        <v>51</v>
      </c>
      <c r="M487" s="38">
        <f>dataset_A!P487</f>
        <v>51</v>
      </c>
      <c r="N487" s="38" t="str">
        <f t="shared" si="3"/>
        <v>Ok</v>
      </c>
      <c r="O487" s="38" t="str">
        <f>IF(M487&gt;Analysis!$B$3*1.5,"High",IF(M487&lt;Analysis!$B$3*0.5,"Low","Medium"))</f>
        <v>Medium</v>
      </c>
      <c r="P487" s="38" t="str">
        <f>VLOOKUP(dataset_A!C487,$Q$2:$R$5,2,0)</f>
        <v>Spring</v>
      </c>
      <c r="S487" s="38" t="str">
        <f t="array" ref="S487">INDEX($R$2:$R$5,MATCH(dataset_A!C487,$Q$2:$Q$5,0))</f>
        <v>Spring</v>
      </c>
      <c r="T487" s="38" t="str">
        <f t="shared" si="4"/>
        <v>Match</v>
      </c>
    </row>
    <row r="488" ht="12.75" customHeight="1">
      <c r="A488" s="38">
        <f>dataset_A!A488</f>
        <v>699</v>
      </c>
      <c r="B488" s="39">
        <f>dataset_A!B488</f>
        <v>40575</v>
      </c>
      <c r="C488" s="38">
        <f>dataset_A!F488</f>
        <v>11</v>
      </c>
      <c r="D488" s="38">
        <f>dataset_A!H488</f>
        <v>2</v>
      </c>
      <c r="E488" s="38" t="b">
        <f>dataset_A!G488</f>
        <v>0</v>
      </c>
      <c r="F488" s="38" t="b">
        <f>dataset_A!G488</f>
        <v>0</v>
      </c>
      <c r="G488" s="38" t="str">
        <f t="shared" si="1"/>
        <v>Weekday</v>
      </c>
      <c r="H488" s="38" t="str">
        <f t="shared" si="2"/>
        <v>Morning</v>
      </c>
      <c r="I488" s="38" t="str">
        <f>IF(dataset_A!C488=1,"Spring",IF(dataset_A!C488=2,"Summer",IF(dataset_A!C488=3,"Fail","Winter")))</f>
        <v>Spring</v>
      </c>
      <c r="J488" s="38" t="str">
        <f>IF(dataset_A!I488=1,"Clear",IF(dataset_A!I488,"Mist/Cloudy",IF(dataset_A!I488=3,"Light Rain/Snow","Heavy Rain/Snow")))</f>
        <v>Mist/Cloudy</v>
      </c>
      <c r="K488" s="38">
        <f>dataset_A!N488</f>
        <v>2</v>
      </c>
      <c r="L488" s="38">
        <f>dataset_A!O488</f>
        <v>49</v>
      </c>
      <c r="M488" s="38">
        <f>dataset_A!P488</f>
        <v>51</v>
      </c>
      <c r="N488" s="38" t="str">
        <f t="shared" si="3"/>
        <v>Ok</v>
      </c>
      <c r="O488" s="38" t="str">
        <f>IF(M488&gt;Analysis!$B$3*1.5,"High",IF(M488&lt;Analysis!$B$3*0.5,"Low","Medium"))</f>
        <v>Medium</v>
      </c>
      <c r="P488" s="38" t="str">
        <f>VLOOKUP(dataset_A!C488,$Q$2:$R$5,2,0)</f>
        <v>Spring</v>
      </c>
      <c r="S488" s="38" t="str">
        <f t="array" ref="S488">INDEX($R$2:$R$5,MATCH(dataset_A!C488,$Q$2:$Q$5,0))</f>
        <v>Spring</v>
      </c>
      <c r="T488" s="38" t="str">
        <f t="shared" si="4"/>
        <v>Match</v>
      </c>
    </row>
    <row r="489" ht="12.75" customHeight="1">
      <c r="A489" s="38">
        <f>dataset_A!A489</f>
        <v>748</v>
      </c>
      <c r="B489" s="39">
        <f>dataset_A!B489</f>
        <v>40577</v>
      </c>
      <c r="C489" s="38">
        <f>dataset_A!F489</f>
        <v>13</v>
      </c>
      <c r="D489" s="38">
        <f>dataset_A!H489</f>
        <v>4</v>
      </c>
      <c r="E489" s="38" t="b">
        <f>dataset_A!G489</f>
        <v>0</v>
      </c>
      <c r="F489" s="38" t="b">
        <f>dataset_A!G489</f>
        <v>0</v>
      </c>
      <c r="G489" s="38" t="str">
        <f t="shared" si="1"/>
        <v>Weekday</v>
      </c>
      <c r="H489" s="38" t="str">
        <f t="shared" si="2"/>
        <v>Afternoon</v>
      </c>
      <c r="I489" s="38" t="str">
        <f>IF(dataset_A!C489=1,"Spring",IF(dataset_A!C489=2,"Summer",IF(dataset_A!C489=3,"Fail","Winter")))</f>
        <v>Spring</v>
      </c>
      <c r="J489" s="38" t="str">
        <f>IF(dataset_A!I489=1,"Clear",IF(dataset_A!I489,"Mist/Cloudy",IF(dataset_A!I489=3,"Light Rain/Snow","Heavy Rain/Snow")))</f>
        <v>Clear</v>
      </c>
      <c r="K489" s="38">
        <f>dataset_A!N489</f>
        <v>4</v>
      </c>
      <c r="L489" s="38">
        <f>dataset_A!O489</f>
        <v>47</v>
      </c>
      <c r="M489" s="38">
        <f>dataset_A!P489</f>
        <v>51</v>
      </c>
      <c r="N489" s="38" t="str">
        <f t="shared" si="3"/>
        <v>Ok</v>
      </c>
      <c r="O489" s="38" t="str">
        <f>IF(M489&gt;Analysis!$B$3*1.5,"High",IF(M489&lt;Analysis!$B$3*0.5,"Low","Medium"))</f>
        <v>Medium</v>
      </c>
      <c r="P489" s="38" t="str">
        <f>VLOOKUP(dataset_A!C489,$Q$2:$R$5,2,0)</f>
        <v>Spring</v>
      </c>
      <c r="S489" s="38" t="str">
        <f t="array" ref="S489">INDEX($R$2:$R$5,MATCH(dataset_A!C489,$Q$2:$Q$5,0))</f>
        <v>Spring</v>
      </c>
      <c r="T489" s="38" t="str">
        <f t="shared" si="4"/>
        <v>Match</v>
      </c>
    </row>
    <row r="490" ht="12.75" customHeight="1">
      <c r="A490" s="38">
        <f>dataset_A!A490</f>
        <v>768</v>
      </c>
      <c r="B490" s="39">
        <f>dataset_A!B490</f>
        <v>40578</v>
      </c>
      <c r="C490" s="38">
        <f>dataset_A!F490</f>
        <v>10</v>
      </c>
      <c r="D490" s="38">
        <f>dataset_A!H490</f>
        <v>5</v>
      </c>
      <c r="E490" s="38" t="b">
        <f>dataset_A!G490</f>
        <v>0</v>
      </c>
      <c r="F490" s="38" t="b">
        <f>dataset_A!G490</f>
        <v>0</v>
      </c>
      <c r="G490" s="38" t="str">
        <f t="shared" si="1"/>
        <v>Weekday</v>
      </c>
      <c r="H490" s="38" t="str">
        <f t="shared" si="2"/>
        <v>Morning</v>
      </c>
      <c r="I490" s="38" t="str">
        <f>IF(dataset_A!C490=1,"Spring",IF(dataset_A!C490=2,"Summer",IF(dataset_A!C490=3,"Fail","Winter")))</f>
        <v>Spring</v>
      </c>
      <c r="J490" s="38" t="str">
        <f>IF(dataset_A!I490=1,"Clear",IF(dataset_A!I490,"Mist/Cloudy",IF(dataset_A!I490=3,"Light Rain/Snow","Heavy Rain/Snow")))</f>
        <v>Mist/Cloudy</v>
      </c>
      <c r="K490" s="38">
        <f>dataset_A!N490</f>
        <v>5</v>
      </c>
      <c r="L490" s="38">
        <f>dataset_A!O490</f>
        <v>46</v>
      </c>
      <c r="M490" s="38">
        <f>dataset_A!P490</f>
        <v>51</v>
      </c>
      <c r="N490" s="38" t="str">
        <f t="shared" si="3"/>
        <v>Ok</v>
      </c>
      <c r="O490" s="38" t="str">
        <f>IF(M490&gt;Analysis!$B$3*1.5,"High",IF(M490&lt;Analysis!$B$3*0.5,"Low","Medium"))</f>
        <v>Medium</v>
      </c>
      <c r="P490" s="38" t="str">
        <f>VLOOKUP(dataset_A!C490,$Q$2:$R$5,2,0)</f>
        <v>Spring</v>
      </c>
      <c r="S490" s="38" t="str">
        <f t="array" ref="S490">INDEX($R$2:$R$5,MATCH(dataset_A!C490,$Q$2:$Q$5,0))</f>
        <v>Spring</v>
      </c>
      <c r="T490" s="38" t="str">
        <f t="shared" si="4"/>
        <v>Match</v>
      </c>
    </row>
    <row r="491" ht="12.75" customHeight="1">
      <c r="A491" s="38">
        <f>dataset_A!A491</f>
        <v>869</v>
      </c>
      <c r="B491" s="39">
        <f>dataset_A!B491</f>
        <v>40582</v>
      </c>
      <c r="C491" s="38">
        <f>dataset_A!F491</f>
        <v>15</v>
      </c>
      <c r="D491" s="38">
        <f>dataset_A!H491</f>
        <v>2</v>
      </c>
      <c r="E491" s="38" t="b">
        <f>dataset_A!G491</f>
        <v>0</v>
      </c>
      <c r="F491" s="38" t="b">
        <f>dataset_A!G491</f>
        <v>0</v>
      </c>
      <c r="G491" s="38" t="str">
        <f t="shared" si="1"/>
        <v>Weekday</v>
      </c>
      <c r="H491" s="38" t="str">
        <f t="shared" si="2"/>
        <v>Afternoon</v>
      </c>
      <c r="I491" s="38" t="str">
        <f>IF(dataset_A!C491=1,"Spring",IF(dataset_A!C491=2,"Summer",IF(dataset_A!C491=3,"Fail","Winter")))</f>
        <v>Spring</v>
      </c>
      <c r="J491" s="38" t="str">
        <f>IF(dataset_A!I491=1,"Clear",IF(dataset_A!I491,"Mist/Cloudy",IF(dataset_A!I491=3,"Light Rain/Snow","Heavy Rain/Snow")))</f>
        <v>Clear</v>
      </c>
      <c r="K491" s="38">
        <f>dataset_A!N491</f>
        <v>6</v>
      </c>
      <c r="L491" s="38">
        <f>dataset_A!O491</f>
        <v>45</v>
      </c>
      <c r="M491" s="38">
        <f>dataset_A!P491</f>
        <v>51</v>
      </c>
      <c r="N491" s="38" t="str">
        <f t="shared" si="3"/>
        <v>Ok</v>
      </c>
      <c r="O491" s="38" t="str">
        <f>IF(M491&gt;Analysis!$B$3*1.5,"High",IF(M491&lt;Analysis!$B$3*0.5,"Low","Medium"))</f>
        <v>Medium</v>
      </c>
      <c r="P491" s="38" t="str">
        <f>VLOOKUP(dataset_A!C491,$Q$2:$R$5,2,0)</f>
        <v>Spring</v>
      </c>
      <c r="S491" s="38" t="str">
        <f t="array" ref="S491">INDEX($R$2:$R$5,MATCH(dataset_A!C491,$Q$2:$Q$5,0))</f>
        <v>Spring</v>
      </c>
      <c r="T491" s="38" t="str">
        <f t="shared" si="4"/>
        <v>Match</v>
      </c>
    </row>
    <row r="492" ht="12.75" customHeight="1">
      <c r="A492" s="38">
        <f>dataset_A!A492</f>
        <v>922</v>
      </c>
      <c r="B492" s="39">
        <f>dataset_A!B492</f>
        <v>40584</v>
      </c>
      <c r="C492" s="38">
        <f>dataset_A!F492</f>
        <v>22</v>
      </c>
      <c r="D492" s="38">
        <f>dataset_A!H492</f>
        <v>4</v>
      </c>
      <c r="E492" s="38" t="b">
        <f>dataset_A!G492</f>
        <v>0</v>
      </c>
      <c r="F492" s="38" t="b">
        <f>dataset_A!G492</f>
        <v>0</v>
      </c>
      <c r="G492" s="38" t="str">
        <f t="shared" si="1"/>
        <v>Weekday</v>
      </c>
      <c r="H492" s="38" t="str">
        <f t="shared" si="2"/>
        <v>Evening</v>
      </c>
      <c r="I492" s="38" t="str">
        <f>IF(dataset_A!C492=1,"Spring",IF(dataset_A!C492=2,"Summer",IF(dataset_A!C492=3,"Fail","Winter")))</f>
        <v>Spring</v>
      </c>
      <c r="J492" s="38" t="str">
        <f>IF(dataset_A!I492=1,"Clear",IF(dataset_A!I492,"Mist/Cloudy",IF(dataset_A!I492=3,"Light Rain/Snow","Heavy Rain/Snow")))</f>
        <v>Clear</v>
      </c>
      <c r="K492" s="38">
        <f>dataset_A!N492</f>
        <v>4</v>
      </c>
      <c r="L492" s="38">
        <f>dataset_A!O492</f>
        <v>47</v>
      </c>
      <c r="M492" s="38">
        <f>dataset_A!P492</f>
        <v>51</v>
      </c>
      <c r="N492" s="38" t="str">
        <f t="shared" si="3"/>
        <v>Ok</v>
      </c>
      <c r="O492" s="38" t="str">
        <f>IF(M492&gt;Analysis!$B$3*1.5,"High",IF(M492&lt;Analysis!$B$3*0.5,"Low","Medium"))</f>
        <v>Medium</v>
      </c>
      <c r="P492" s="38" t="str">
        <f>VLOOKUP(dataset_A!C492,$Q$2:$R$5,2,0)</f>
        <v>Spring</v>
      </c>
      <c r="S492" s="38" t="str">
        <f t="array" ref="S492">INDEX($R$2:$R$5,MATCH(dataset_A!C492,$Q$2:$Q$5,0))</f>
        <v>Spring</v>
      </c>
      <c r="T492" s="38" t="str">
        <f t="shared" si="4"/>
        <v>Match</v>
      </c>
    </row>
    <row r="493" ht="12.75" customHeight="1">
      <c r="A493" s="38">
        <f>dataset_A!A493</f>
        <v>967</v>
      </c>
      <c r="B493" s="39">
        <f>dataset_A!B493</f>
        <v>40586</v>
      </c>
      <c r="C493" s="38">
        <f>dataset_A!F493</f>
        <v>21</v>
      </c>
      <c r="D493" s="38">
        <f>dataset_A!H493</f>
        <v>6</v>
      </c>
      <c r="E493" s="38" t="b">
        <f>dataset_A!G493</f>
        <v>0</v>
      </c>
      <c r="F493" s="38" t="b">
        <f>dataset_A!G493</f>
        <v>0</v>
      </c>
      <c r="G493" s="38" t="str">
        <f t="shared" si="1"/>
        <v>Weekend</v>
      </c>
      <c r="H493" s="38" t="str">
        <f t="shared" si="2"/>
        <v>Evening</v>
      </c>
      <c r="I493" s="38" t="str">
        <f>IF(dataset_A!C493=1,"Spring",IF(dataset_A!C493=2,"Summer",IF(dataset_A!C493=3,"Fail","Winter")))</f>
        <v>Spring</v>
      </c>
      <c r="J493" s="38" t="str">
        <f>IF(dataset_A!I493=1,"Clear",IF(dataset_A!I493,"Mist/Cloudy",IF(dataset_A!I493=3,"Light Rain/Snow","Heavy Rain/Snow")))</f>
        <v>Clear</v>
      </c>
      <c r="K493" s="38">
        <f>dataset_A!N493</f>
        <v>9</v>
      </c>
      <c r="L493" s="38">
        <f>dataset_A!O493</f>
        <v>42</v>
      </c>
      <c r="M493" s="38">
        <f>dataset_A!P493</f>
        <v>51</v>
      </c>
      <c r="N493" s="38" t="str">
        <f t="shared" si="3"/>
        <v>Ok</v>
      </c>
      <c r="O493" s="38" t="str">
        <f>IF(M493&gt;Analysis!$B$3*1.5,"High",IF(M493&lt;Analysis!$B$3*0.5,"Low","Medium"))</f>
        <v>Medium</v>
      </c>
      <c r="P493" s="38" t="str">
        <f>VLOOKUP(dataset_A!C493,$Q$2:$R$5,2,0)</f>
        <v>Spring</v>
      </c>
      <c r="S493" s="38" t="str">
        <f t="array" ref="S493">INDEX($R$2:$R$5,MATCH(dataset_A!C493,$Q$2:$Q$5,0))</f>
        <v>Spring</v>
      </c>
      <c r="T493" s="38" t="str">
        <f t="shared" si="4"/>
        <v>Match</v>
      </c>
    </row>
    <row r="494" ht="12.75" customHeight="1">
      <c r="A494" s="38">
        <f>dataset_A!A494</f>
        <v>990</v>
      </c>
      <c r="B494" s="39">
        <f>dataset_A!B494</f>
        <v>40587</v>
      </c>
      <c r="C494" s="38">
        <f>dataset_A!F494</f>
        <v>21</v>
      </c>
      <c r="D494" s="38">
        <f>dataset_A!H494</f>
        <v>0</v>
      </c>
      <c r="E494" s="38" t="b">
        <f>dataset_A!G494</f>
        <v>0</v>
      </c>
      <c r="F494" s="38" t="b">
        <f>dataset_A!G494</f>
        <v>0</v>
      </c>
      <c r="G494" s="38" t="str">
        <f t="shared" si="1"/>
        <v>Weekend</v>
      </c>
      <c r="H494" s="38" t="str">
        <f t="shared" si="2"/>
        <v>Evening</v>
      </c>
      <c r="I494" s="38" t="str">
        <f>IF(dataset_A!C494=1,"Spring",IF(dataset_A!C494=2,"Summer",IF(dataset_A!C494=3,"Fail","Winter")))</f>
        <v>Spring</v>
      </c>
      <c r="J494" s="38" t="str">
        <f>IF(dataset_A!I494=1,"Clear",IF(dataset_A!I494,"Mist/Cloudy",IF(dataset_A!I494=3,"Light Rain/Snow","Heavy Rain/Snow")))</f>
        <v>Clear</v>
      </c>
      <c r="K494" s="38">
        <f>dataset_A!N494</f>
        <v>6</v>
      </c>
      <c r="L494" s="38">
        <f>dataset_A!O494</f>
        <v>45</v>
      </c>
      <c r="M494" s="38">
        <f>dataset_A!P494</f>
        <v>51</v>
      </c>
      <c r="N494" s="38" t="str">
        <f t="shared" si="3"/>
        <v>Ok</v>
      </c>
      <c r="O494" s="38" t="str">
        <f>IF(M494&gt;Analysis!$B$3*1.5,"High",IF(M494&lt;Analysis!$B$3*0.5,"Low","Medium"))</f>
        <v>Medium</v>
      </c>
      <c r="P494" s="38" t="str">
        <f>VLOOKUP(dataset_A!C494,$Q$2:$R$5,2,0)</f>
        <v>Spring</v>
      </c>
      <c r="S494" s="38" t="str">
        <f t="array" ref="S494">INDEX($R$2:$R$5,MATCH(dataset_A!C494,$Q$2:$Q$5,0))</f>
        <v>Spring</v>
      </c>
      <c r="T494" s="38" t="str">
        <f t="shared" si="4"/>
        <v>Match</v>
      </c>
    </row>
    <row r="495" ht="12.75" customHeight="1">
      <c r="A495" s="38">
        <f>dataset_A!A495</f>
        <v>152</v>
      </c>
      <c r="B495" s="39">
        <f>dataset_A!B495</f>
        <v>40550</v>
      </c>
      <c r="C495" s="38">
        <f>dataset_A!F495</f>
        <v>14</v>
      </c>
      <c r="D495" s="38">
        <f>dataset_A!H495</f>
        <v>5</v>
      </c>
      <c r="E495" s="38" t="b">
        <f>dataset_A!G495</f>
        <v>0</v>
      </c>
      <c r="F495" s="38" t="b">
        <f>dataset_A!G495</f>
        <v>0</v>
      </c>
      <c r="G495" s="38" t="str">
        <f t="shared" si="1"/>
        <v>Weekday</v>
      </c>
      <c r="H495" s="38" t="str">
        <f t="shared" si="2"/>
        <v>Afternoon</v>
      </c>
      <c r="I495" s="38" t="str">
        <f>IF(dataset_A!C495=1,"Spring",IF(dataset_A!C495=2,"Summer",IF(dataset_A!C495=3,"Fail","Winter")))</f>
        <v>Spring</v>
      </c>
      <c r="J495" s="38" t="str">
        <f>IF(dataset_A!I495=1,"Clear",IF(dataset_A!I495,"Mist/Cloudy",IF(dataset_A!I495=3,"Light Rain/Snow","Heavy Rain/Snow")))</f>
        <v>Mist/Cloudy</v>
      </c>
      <c r="K495" s="38">
        <f>dataset_A!N495</f>
        <v>7</v>
      </c>
      <c r="L495" s="38">
        <f>dataset_A!O495</f>
        <v>43</v>
      </c>
      <c r="M495" s="38">
        <f>dataset_A!P495</f>
        <v>50</v>
      </c>
      <c r="N495" s="38" t="str">
        <f t="shared" si="3"/>
        <v>Ok</v>
      </c>
      <c r="O495" s="38" t="str">
        <f>IF(M495&gt;Analysis!$B$3*1.5,"High",IF(M495&lt;Analysis!$B$3*0.5,"Low","Medium"))</f>
        <v>Medium</v>
      </c>
      <c r="P495" s="38" t="str">
        <f>VLOOKUP(dataset_A!C495,$Q$2:$R$5,2,0)</f>
        <v>Spring</v>
      </c>
      <c r="S495" s="38" t="str">
        <f t="array" ref="S495">INDEX($R$2:$R$5,MATCH(dataset_A!C495,$Q$2:$Q$5,0))</f>
        <v>Spring</v>
      </c>
      <c r="T495" s="38" t="str">
        <f t="shared" si="4"/>
        <v>Match</v>
      </c>
    </row>
    <row r="496" ht="12.75" customHeight="1">
      <c r="A496" s="38">
        <f>dataset_A!A496</f>
        <v>521</v>
      </c>
      <c r="B496" s="39">
        <f>dataset_A!B496</f>
        <v>40566</v>
      </c>
      <c r="C496" s="38">
        <f>dataset_A!F496</f>
        <v>19</v>
      </c>
      <c r="D496" s="38">
        <f>dataset_A!H496</f>
        <v>0</v>
      </c>
      <c r="E496" s="38" t="b">
        <f>dataset_A!G496</f>
        <v>0</v>
      </c>
      <c r="F496" s="38" t="b">
        <f>dataset_A!G496</f>
        <v>0</v>
      </c>
      <c r="G496" s="38" t="str">
        <f t="shared" si="1"/>
        <v>Weekend</v>
      </c>
      <c r="H496" s="38" t="str">
        <f t="shared" si="2"/>
        <v>Evening</v>
      </c>
      <c r="I496" s="38" t="str">
        <f>IF(dataset_A!C496=1,"Spring",IF(dataset_A!C496=2,"Summer",IF(dataset_A!C496=3,"Fail","Winter")))</f>
        <v>Spring</v>
      </c>
      <c r="J496" s="38" t="str">
        <f>IF(dataset_A!I496=1,"Clear",IF(dataset_A!I496,"Mist/Cloudy",IF(dataset_A!I496=3,"Light Rain/Snow","Heavy Rain/Snow")))</f>
        <v>Clear</v>
      </c>
      <c r="K496" s="38">
        <f>dataset_A!N496</f>
        <v>5</v>
      </c>
      <c r="L496" s="38">
        <f>dataset_A!O496</f>
        <v>45</v>
      </c>
      <c r="M496" s="38">
        <f>dataset_A!P496</f>
        <v>50</v>
      </c>
      <c r="N496" s="38" t="str">
        <f t="shared" si="3"/>
        <v>Ok</v>
      </c>
      <c r="O496" s="38" t="str">
        <f>IF(M496&gt;Analysis!$B$3*1.5,"High",IF(M496&lt;Analysis!$B$3*0.5,"Low","Medium"))</f>
        <v>Medium</v>
      </c>
      <c r="P496" s="38" t="str">
        <f>VLOOKUP(dataset_A!C496,$Q$2:$R$5,2,0)</f>
        <v>Spring</v>
      </c>
      <c r="S496" s="38" t="str">
        <f t="array" ref="S496">INDEX($R$2:$R$5,MATCH(dataset_A!C496,$Q$2:$Q$5,0))</f>
        <v>Spring</v>
      </c>
      <c r="T496" s="38" t="str">
        <f t="shared" si="4"/>
        <v>Match</v>
      </c>
    </row>
    <row r="497" ht="12.75" customHeight="1">
      <c r="A497" s="38">
        <f>dataset_A!A497</f>
        <v>845</v>
      </c>
      <c r="B497" s="39">
        <f>dataset_A!B497</f>
        <v>40581</v>
      </c>
      <c r="C497" s="38">
        <f>dataset_A!F497</f>
        <v>15</v>
      </c>
      <c r="D497" s="38">
        <f>dataset_A!H497</f>
        <v>1</v>
      </c>
      <c r="E497" s="38" t="b">
        <f>dataset_A!G497</f>
        <v>0</v>
      </c>
      <c r="F497" s="38" t="b">
        <f>dataset_A!G497</f>
        <v>0</v>
      </c>
      <c r="G497" s="38" t="str">
        <f t="shared" si="1"/>
        <v>Weekday</v>
      </c>
      <c r="H497" s="38" t="str">
        <f t="shared" si="2"/>
        <v>Afternoon</v>
      </c>
      <c r="I497" s="38" t="str">
        <f>IF(dataset_A!C497=1,"Spring",IF(dataset_A!C497=2,"Summer",IF(dataset_A!C497=3,"Fail","Winter")))</f>
        <v>Spring</v>
      </c>
      <c r="J497" s="38" t="str">
        <f>IF(dataset_A!I497=1,"Clear",IF(dataset_A!I497,"Mist/Cloudy",IF(dataset_A!I497=3,"Light Rain/Snow","Heavy Rain/Snow")))</f>
        <v>Mist/Cloudy</v>
      </c>
      <c r="K497" s="38">
        <f>dataset_A!N497</f>
        <v>4</v>
      </c>
      <c r="L497" s="38">
        <f>dataset_A!O497</f>
        <v>46</v>
      </c>
      <c r="M497" s="38">
        <f>dataset_A!P497</f>
        <v>50</v>
      </c>
      <c r="N497" s="38" t="str">
        <f t="shared" si="3"/>
        <v>Ok</v>
      </c>
      <c r="O497" s="38" t="str">
        <f>IF(M497&gt;Analysis!$B$3*1.5,"High",IF(M497&lt;Analysis!$B$3*0.5,"Low","Medium"))</f>
        <v>Medium</v>
      </c>
      <c r="P497" s="38" t="str">
        <f>VLOOKUP(dataset_A!C497,$Q$2:$R$5,2,0)</f>
        <v>Spring</v>
      </c>
      <c r="S497" s="38" t="str">
        <f t="array" ref="S497">INDEX($R$2:$R$5,MATCH(dataset_A!C497,$Q$2:$Q$5,0))</f>
        <v>Spring</v>
      </c>
      <c r="T497" s="38" t="str">
        <f t="shared" si="4"/>
        <v>Match</v>
      </c>
    </row>
    <row r="498" ht="12.75" customHeight="1">
      <c r="A498" s="38">
        <f>dataset_A!A498</f>
        <v>865</v>
      </c>
      <c r="B498" s="39">
        <f>dataset_A!B498</f>
        <v>40582</v>
      </c>
      <c r="C498" s="38">
        <f>dataset_A!F498</f>
        <v>11</v>
      </c>
      <c r="D498" s="38">
        <f>dataset_A!H498</f>
        <v>2</v>
      </c>
      <c r="E498" s="38" t="b">
        <f>dataset_A!G498</f>
        <v>0</v>
      </c>
      <c r="F498" s="38" t="b">
        <f>dataset_A!G498</f>
        <v>0</v>
      </c>
      <c r="G498" s="38" t="str">
        <f t="shared" si="1"/>
        <v>Weekday</v>
      </c>
      <c r="H498" s="38" t="str">
        <f t="shared" si="2"/>
        <v>Morning</v>
      </c>
      <c r="I498" s="38" t="str">
        <f>IF(dataset_A!C498=1,"Spring",IF(dataset_A!C498=2,"Summer",IF(dataset_A!C498=3,"Fail","Winter")))</f>
        <v>Spring</v>
      </c>
      <c r="J498" s="38" t="str">
        <f>IF(dataset_A!I498=1,"Clear",IF(dataset_A!I498,"Mist/Cloudy",IF(dataset_A!I498=3,"Light Rain/Snow","Heavy Rain/Snow")))</f>
        <v>Clear</v>
      </c>
      <c r="K498" s="38">
        <f>dataset_A!N498</f>
        <v>1</v>
      </c>
      <c r="L498" s="38">
        <f>dataset_A!O498</f>
        <v>49</v>
      </c>
      <c r="M498" s="38">
        <f>dataset_A!P498</f>
        <v>50</v>
      </c>
      <c r="N498" s="38" t="str">
        <f t="shared" si="3"/>
        <v>Ok</v>
      </c>
      <c r="O498" s="38" t="str">
        <f>IF(M498&gt;Analysis!$B$3*1.5,"High",IF(M498&lt;Analysis!$B$3*0.5,"Low","Medium"))</f>
        <v>Medium</v>
      </c>
      <c r="P498" s="38" t="str">
        <f>VLOOKUP(dataset_A!C498,$Q$2:$R$5,2,0)</f>
        <v>Spring</v>
      </c>
      <c r="S498" s="38" t="str">
        <f t="array" ref="S498">INDEX($R$2:$R$5,MATCH(dataset_A!C498,$Q$2:$Q$5,0))</f>
        <v>Spring</v>
      </c>
      <c r="T498" s="38" t="str">
        <f t="shared" si="4"/>
        <v>Match</v>
      </c>
    </row>
    <row r="499" ht="12.75" customHeight="1">
      <c r="A499" s="38">
        <f>dataset_A!A499</f>
        <v>867</v>
      </c>
      <c r="B499" s="39">
        <f>dataset_A!B499</f>
        <v>40582</v>
      </c>
      <c r="C499" s="38">
        <f>dataset_A!F499</f>
        <v>13</v>
      </c>
      <c r="D499" s="38">
        <f>dataset_A!H499</f>
        <v>2</v>
      </c>
      <c r="E499" s="38" t="b">
        <f>dataset_A!G499</f>
        <v>0</v>
      </c>
      <c r="F499" s="38" t="b">
        <f>dataset_A!G499</f>
        <v>0</v>
      </c>
      <c r="G499" s="38" t="str">
        <f t="shared" si="1"/>
        <v>Weekday</v>
      </c>
      <c r="H499" s="38" t="str">
        <f t="shared" si="2"/>
        <v>Afternoon</v>
      </c>
      <c r="I499" s="38" t="str">
        <f>IF(dataset_A!C499=1,"Spring",IF(dataset_A!C499=2,"Summer",IF(dataset_A!C499=3,"Fail","Winter")))</f>
        <v>Spring</v>
      </c>
      <c r="J499" s="38" t="str">
        <f>IF(dataset_A!I499=1,"Clear",IF(dataset_A!I499,"Mist/Cloudy",IF(dataset_A!I499=3,"Light Rain/Snow","Heavy Rain/Snow")))</f>
        <v>Mist/Cloudy</v>
      </c>
      <c r="K499" s="38">
        <f>dataset_A!N499</f>
        <v>2</v>
      </c>
      <c r="L499" s="38">
        <f>dataset_A!O499</f>
        <v>48</v>
      </c>
      <c r="M499" s="38">
        <f>dataset_A!P499</f>
        <v>50</v>
      </c>
      <c r="N499" s="38" t="str">
        <f t="shared" si="3"/>
        <v>Ok</v>
      </c>
      <c r="O499" s="38" t="str">
        <f>IF(M499&gt;Analysis!$B$3*1.5,"High",IF(M499&lt;Analysis!$B$3*0.5,"Low","Medium"))</f>
        <v>Medium</v>
      </c>
      <c r="P499" s="38" t="str">
        <f>VLOOKUP(dataset_A!C499,$Q$2:$R$5,2,0)</f>
        <v>Spring</v>
      </c>
      <c r="S499" s="38" t="str">
        <f t="array" ref="S499">INDEX($R$2:$R$5,MATCH(dataset_A!C499,$Q$2:$Q$5,0))</f>
        <v>Spring</v>
      </c>
      <c r="T499" s="38" t="str">
        <f t="shared" si="4"/>
        <v>Match</v>
      </c>
    </row>
    <row r="500" ht="12.75" customHeight="1">
      <c r="A500" s="38">
        <f>dataset_A!A500</f>
        <v>915</v>
      </c>
      <c r="B500" s="39">
        <f>dataset_A!B500</f>
        <v>40584</v>
      </c>
      <c r="C500" s="38">
        <f>dataset_A!F500</f>
        <v>15</v>
      </c>
      <c r="D500" s="38">
        <f>dataset_A!H500</f>
        <v>4</v>
      </c>
      <c r="E500" s="38" t="b">
        <f>dataset_A!G500</f>
        <v>0</v>
      </c>
      <c r="F500" s="38" t="b">
        <f>dataset_A!G500</f>
        <v>0</v>
      </c>
      <c r="G500" s="38" t="str">
        <f t="shared" si="1"/>
        <v>Weekday</v>
      </c>
      <c r="H500" s="38" t="str">
        <f t="shared" si="2"/>
        <v>Afternoon</v>
      </c>
      <c r="I500" s="38" t="str">
        <f>IF(dataset_A!C500=1,"Spring",IF(dataset_A!C500=2,"Summer",IF(dataset_A!C500=3,"Fail","Winter")))</f>
        <v>Spring</v>
      </c>
      <c r="J500" s="38" t="str">
        <f>IF(dataset_A!I500=1,"Clear",IF(dataset_A!I500,"Mist/Cloudy",IF(dataset_A!I500=3,"Light Rain/Snow","Heavy Rain/Snow")))</f>
        <v>Clear</v>
      </c>
      <c r="K500" s="38">
        <f>dataset_A!N500</f>
        <v>0</v>
      </c>
      <c r="L500" s="38">
        <f>dataset_A!O500</f>
        <v>50</v>
      </c>
      <c r="M500" s="38">
        <f>dataset_A!P500</f>
        <v>50</v>
      </c>
      <c r="N500" s="38" t="str">
        <f t="shared" si="3"/>
        <v>Ok</v>
      </c>
      <c r="O500" s="38" t="str">
        <f>IF(M500&gt;Analysis!$B$3*1.5,"High",IF(M500&lt;Analysis!$B$3*0.5,"Low","Medium"))</f>
        <v>Medium</v>
      </c>
      <c r="P500" s="38" t="str">
        <f>VLOOKUP(dataset_A!C500,$Q$2:$R$5,2,0)</f>
        <v>Spring</v>
      </c>
      <c r="S500" s="38" t="str">
        <f t="array" ref="S500">INDEX($R$2:$R$5,MATCH(dataset_A!C500,$Q$2:$Q$5,0))</f>
        <v>Spring</v>
      </c>
      <c r="T500" s="38" t="str">
        <f t="shared" si="4"/>
        <v>Match</v>
      </c>
    </row>
    <row r="501" ht="12.75" customHeight="1">
      <c r="A501" s="38">
        <f>dataset_A!A501</f>
        <v>196</v>
      </c>
      <c r="B501" s="39">
        <f>dataset_A!B501</f>
        <v>40552</v>
      </c>
      <c r="C501" s="38">
        <f>dataset_A!F501</f>
        <v>10</v>
      </c>
      <c r="D501" s="38">
        <f>dataset_A!H501</f>
        <v>0</v>
      </c>
      <c r="E501" s="38" t="b">
        <f>dataset_A!G501</f>
        <v>0</v>
      </c>
      <c r="F501" s="38" t="b">
        <f>dataset_A!G501</f>
        <v>0</v>
      </c>
      <c r="G501" s="38" t="str">
        <f t="shared" si="1"/>
        <v>Weekend</v>
      </c>
      <c r="H501" s="38" t="str">
        <f t="shared" si="2"/>
        <v>Morning</v>
      </c>
      <c r="I501" s="38" t="str">
        <f>IF(dataset_A!C501=1,"Spring",IF(dataset_A!C501=2,"Summer",IF(dataset_A!C501=3,"Fail","Winter")))</f>
        <v>Spring</v>
      </c>
      <c r="J501" s="38" t="str">
        <f>IF(dataset_A!I501=1,"Clear",IF(dataset_A!I501,"Mist/Cloudy",IF(dataset_A!I501=3,"Light Rain/Snow","Heavy Rain/Snow")))</f>
        <v>Clear</v>
      </c>
      <c r="K501" s="38">
        <f>dataset_A!N501</f>
        <v>0</v>
      </c>
      <c r="L501" s="38">
        <f>dataset_A!O501</f>
        <v>49</v>
      </c>
      <c r="M501" s="38">
        <f>dataset_A!P501</f>
        <v>49</v>
      </c>
      <c r="N501" s="38" t="str">
        <f t="shared" si="3"/>
        <v>Ok</v>
      </c>
      <c r="O501" s="38" t="str">
        <f>IF(M501&gt;Analysis!$B$3*1.5,"High",IF(M501&lt;Analysis!$B$3*0.5,"Low","Medium"))</f>
        <v>Medium</v>
      </c>
      <c r="P501" s="38" t="str">
        <f>VLOOKUP(dataset_A!C501,$Q$2:$R$5,2,0)</f>
        <v>Spring</v>
      </c>
      <c r="S501" s="38" t="str">
        <f t="array" ref="S501">INDEX($R$2:$R$5,MATCH(dataset_A!C501,$Q$2:$Q$5,0))</f>
        <v>Spring</v>
      </c>
      <c r="T501" s="38" t="str">
        <f t="shared" si="4"/>
        <v>Match</v>
      </c>
    </row>
    <row r="502" ht="12.75" customHeight="1">
      <c r="A502" s="38">
        <f>dataset_A!A502</f>
        <v>197</v>
      </c>
      <c r="B502" s="39">
        <f>dataset_A!B502</f>
        <v>40552</v>
      </c>
      <c r="C502" s="38">
        <f>dataset_A!F502</f>
        <v>11</v>
      </c>
      <c r="D502" s="38">
        <f>dataset_A!H502</f>
        <v>0</v>
      </c>
      <c r="E502" s="38" t="b">
        <f>dataset_A!G502</f>
        <v>0</v>
      </c>
      <c r="F502" s="38" t="b">
        <f>dataset_A!G502</f>
        <v>0</v>
      </c>
      <c r="G502" s="38" t="str">
        <f t="shared" si="1"/>
        <v>Weekend</v>
      </c>
      <c r="H502" s="38" t="str">
        <f t="shared" si="2"/>
        <v>Morning</v>
      </c>
      <c r="I502" s="38" t="str">
        <f>IF(dataset_A!C502=1,"Spring",IF(dataset_A!C502=2,"Summer",IF(dataset_A!C502=3,"Fail","Winter")))</f>
        <v>Spring</v>
      </c>
      <c r="J502" s="38" t="str">
        <f>IF(dataset_A!I502=1,"Clear",IF(dataset_A!I502,"Mist/Cloudy",IF(dataset_A!I502=3,"Light Rain/Snow","Heavy Rain/Snow")))</f>
        <v>Clear</v>
      </c>
      <c r="K502" s="38">
        <f>dataset_A!N502</f>
        <v>2</v>
      </c>
      <c r="L502" s="38">
        <f>dataset_A!O502</f>
        <v>47</v>
      </c>
      <c r="M502" s="38">
        <f>dataset_A!P502</f>
        <v>49</v>
      </c>
      <c r="N502" s="38" t="str">
        <f t="shared" si="3"/>
        <v>Ok</v>
      </c>
      <c r="O502" s="38" t="str">
        <f>IF(M502&gt;Analysis!$B$3*1.5,"High",IF(M502&lt;Analysis!$B$3*0.5,"Low","Medium"))</f>
        <v>Medium</v>
      </c>
      <c r="P502" s="38" t="str">
        <f>VLOOKUP(dataset_A!C502,$Q$2:$R$5,2,0)</f>
        <v>Spring</v>
      </c>
      <c r="S502" s="38" t="str">
        <f t="array" ref="S502">INDEX($R$2:$R$5,MATCH(dataset_A!C502,$Q$2:$Q$5,0))</f>
        <v>Spring</v>
      </c>
      <c r="T502" s="38" t="str">
        <f t="shared" si="4"/>
        <v>Match</v>
      </c>
    </row>
    <row r="503" ht="12.75" customHeight="1">
      <c r="A503" s="38">
        <f>dataset_A!A503</f>
        <v>267</v>
      </c>
      <c r="B503" s="39">
        <f>dataset_A!B503</f>
        <v>40555</v>
      </c>
      <c r="C503" s="38">
        <f>dataset_A!F503</f>
        <v>13</v>
      </c>
      <c r="D503" s="38">
        <f>dataset_A!H503</f>
        <v>3</v>
      </c>
      <c r="E503" s="38" t="b">
        <f>dataset_A!G503</f>
        <v>0</v>
      </c>
      <c r="F503" s="38" t="b">
        <f>dataset_A!G503</f>
        <v>0</v>
      </c>
      <c r="G503" s="38" t="str">
        <f t="shared" si="1"/>
        <v>Weekday</v>
      </c>
      <c r="H503" s="38" t="str">
        <f t="shared" si="2"/>
        <v>Afternoon</v>
      </c>
      <c r="I503" s="38" t="str">
        <f>IF(dataset_A!C503=1,"Spring",IF(dataset_A!C503=2,"Summer",IF(dataset_A!C503=3,"Fail","Winter")))</f>
        <v>Spring</v>
      </c>
      <c r="J503" s="38" t="str">
        <f>IF(dataset_A!I503=1,"Clear",IF(dataset_A!I503,"Mist/Cloudy",IF(dataset_A!I503=3,"Light Rain/Snow","Heavy Rain/Snow")))</f>
        <v>Clear</v>
      </c>
      <c r="K503" s="38">
        <f>dataset_A!N503</f>
        <v>0</v>
      </c>
      <c r="L503" s="38">
        <f>dataset_A!O503</f>
        <v>49</v>
      </c>
      <c r="M503" s="38">
        <f>dataset_A!P503</f>
        <v>49</v>
      </c>
      <c r="N503" s="38" t="str">
        <f t="shared" si="3"/>
        <v>Ok</v>
      </c>
      <c r="O503" s="38" t="str">
        <f>IF(M503&gt;Analysis!$B$3*1.5,"High",IF(M503&lt;Analysis!$B$3*0.5,"Low","Medium"))</f>
        <v>Medium</v>
      </c>
      <c r="P503" s="38" t="str">
        <f>VLOOKUP(dataset_A!C503,$Q$2:$R$5,2,0)</f>
        <v>Spring</v>
      </c>
      <c r="S503" s="38" t="str">
        <f t="array" ref="S503">INDEX($R$2:$R$5,MATCH(dataset_A!C503,$Q$2:$Q$5,0))</f>
        <v>Spring</v>
      </c>
      <c r="T503" s="38" t="str">
        <f t="shared" si="4"/>
        <v>Match</v>
      </c>
    </row>
    <row r="504" ht="12.75" customHeight="1">
      <c r="A504" s="38">
        <f>dataset_A!A504</f>
        <v>269</v>
      </c>
      <c r="B504" s="39">
        <f>dataset_A!B504</f>
        <v>40555</v>
      </c>
      <c r="C504" s="38">
        <f>dataset_A!F504</f>
        <v>15</v>
      </c>
      <c r="D504" s="38">
        <f>dataset_A!H504</f>
        <v>3</v>
      </c>
      <c r="E504" s="38" t="b">
        <f>dataset_A!G504</f>
        <v>0</v>
      </c>
      <c r="F504" s="38" t="b">
        <f>dataset_A!G504</f>
        <v>0</v>
      </c>
      <c r="G504" s="38" t="str">
        <f t="shared" si="1"/>
        <v>Weekday</v>
      </c>
      <c r="H504" s="38" t="str">
        <f t="shared" si="2"/>
        <v>Afternoon</v>
      </c>
      <c r="I504" s="38" t="str">
        <f>IF(dataset_A!C504=1,"Spring",IF(dataset_A!C504=2,"Summer",IF(dataset_A!C504=3,"Fail","Winter")))</f>
        <v>Spring</v>
      </c>
      <c r="J504" s="38" t="str">
        <f>IF(dataset_A!I504=1,"Clear",IF(dataset_A!I504,"Mist/Cloudy",IF(dataset_A!I504=3,"Light Rain/Snow","Heavy Rain/Snow")))</f>
        <v>Clear</v>
      </c>
      <c r="K504" s="38">
        <f>dataset_A!N504</f>
        <v>1</v>
      </c>
      <c r="L504" s="38">
        <f>dataset_A!O504</f>
        <v>48</v>
      </c>
      <c r="M504" s="38">
        <f>dataset_A!P504</f>
        <v>49</v>
      </c>
      <c r="N504" s="38" t="str">
        <f t="shared" si="3"/>
        <v>Ok</v>
      </c>
      <c r="O504" s="38" t="str">
        <f>IF(M504&gt;Analysis!$B$3*1.5,"High",IF(M504&lt;Analysis!$B$3*0.5,"Low","Medium"))</f>
        <v>Medium</v>
      </c>
      <c r="P504" s="38" t="str">
        <f>VLOOKUP(dataset_A!C504,$Q$2:$R$5,2,0)</f>
        <v>Spring</v>
      </c>
      <c r="S504" s="38" t="str">
        <f t="array" ref="S504">INDEX($R$2:$R$5,MATCH(dataset_A!C504,$Q$2:$Q$5,0))</f>
        <v>Spring</v>
      </c>
      <c r="T504" s="38" t="str">
        <f t="shared" si="4"/>
        <v>Match</v>
      </c>
    </row>
    <row r="505" ht="12.75" customHeight="1">
      <c r="A505" s="38">
        <f>dataset_A!A505</f>
        <v>520</v>
      </c>
      <c r="B505" s="39">
        <f>dataset_A!B505</f>
        <v>40566</v>
      </c>
      <c r="C505" s="38">
        <f>dataset_A!F505</f>
        <v>18</v>
      </c>
      <c r="D505" s="38">
        <f>dataset_A!H505</f>
        <v>0</v>
      </c>
      <c r="E505" s="38" t="b">
        <f>dataset_A!G505</f>
        <v>0</v>
      </c>
      <c r="F505" s="38" t="b">
        <f>dataset_A!G505</f>
        <v>0</v>
      </c>
      <c r="G505" s="38" t="str">
        <f t="shared" si="1"/>
        <v>Weekend</v>
      </c>
      <c r="H505" s="38" t="str">
        <f t="shared" si="2"/>
        <v>Evening</v>
      </c>
      <c r="I505" s="38" t="str">
        <f>IF(dataset_A!C505=1,"Spring",IF(dataset_A!C505=2,"Summer",IF(dataset_A!C505=3,"Fail","Winter")))</f>
        <v>Spring</v>
      </c>
      <c r="J505" s="38" t="str">
        <f>IF(dataset_A!I505=1,"Clear",IF(dataset_A!I505,"Mist/Cloudy",IF(dataset_A!I505=3,"Light Rain/Snow","Heavy Rain/Snow")))</f>
        <v>Clear</v>
      </c>
      <c r="K505" s="38">
        <f>dataset_A!N505</f>
        <v>5</v>
      </c>
      <c r="L505" s="38">
        <f>dataset_A!O505</f>
        <v>44</v>
      </c>
      <c r="M505" s="38">
        <f>dataset_A!P505</f>
        <v>49</v>
      </c>
      <c r="N505" s="38" t="str">
        <f t="shared" si="3"/>
        <v>Ok</v>
      </c>
      <c r="O505" s="38" t="str">
        <f>IF(M505&gt;Analysis!$B$3*1.5,"High",IF(M505&lt;Analysis!$B$3*0.5,"Low","Medium"))</f>
        <v>Medium</v>
      </c>
      <c r="P505" s="38" t="str">
        <f>VLOOKUP(dataset_A!C505,$Q$2:$R$5,2,0)</f>
        <v>Spring</v>
      </c>
      <c r="S505" s="38" t="str">
        <f t="array" ref="S505">INDEX($R$2:$R$5,MATCH(dataset_A!C505,$Q$2:$Q$5,0))</f>
        <v>Spring</v>
      </c>
      <c r="T505" s="38" t="str">
        <f t="shared" si="4"/>
        <v>Match</v>
      </c>
    </row>
    <row r="506" ht="12.75" customHeight="1">
      <c r="A506" s="38">
        <f>dataset_A!A506</f>
        <v>605</v>
      </c>
      <c r="B506" s="39">
        <f>dataset_A!B506</f>
        <v>40571</v>
      </c>
      <c r="C506" s="38">
        <f>dataset_A!F506</f>
        <v>10</v>
      </c>
      <c r="D506" s="38">
        <f>dataset_A!H506</f>
        <v>5</v>
      </c>
      <c r="E506" s="38" t="b">
        <f>dataset_A!G506</f>
        <v>0</v>
      </c>
      <c r="F506" s="38" t="b">
        <f>dataset_A!G506</f>
        <v>0</v>
      </c>
      <c r="G506" s="38" t="str">
        <f t="shared" si="1"/>
        <v>Weekday</v>
      </c>
      <c r="H506" s="38" t="str">
        <f t="shared" si="2"/>
        <v>Morning</v>
      </c>
      <c r="I506" s="38" t="str">
        <f>IF(dataset_A!C506=1,"Spring",IF(dataset_A!C506=2,"Summer",IF(dataset_A!C506=3,"Fail","Winter")))</f>
        <v>Spring</v>
      </c>
      <c r="J506" s="38" t="str">
        <f>IF(dataset_A!I506=1,"Clear",IF(dataset_A!I506,"Mist/Cloudy",IF(dataset_A!I506=3,"Light Rain/Snow","Heavy Rain/Snow")))</f>
        <v>Mist/Cloudy</v>
      </c>
      <c r="K506" s="38">
        <f>dataset_A!N506</f>
        <v>0</v>
      </c>
      <c r="L506" s="38">
        <f>dataset_A!O506</f>
        <v>49</v>
      </c>
      <c r="M506" s="38">
        <f>dataset_A!P506</f>
        <v>49</v>
      </c>
      <c r="N506" s="38" t="str">
        <f t="shared" si="3"/>
        <v>Ok</v>
      </c>
      <c r="O506" s="38" t="str">
        <f>IF(M506&gt;Analysis!$B$3*1.5,"High",IF(M506&lt;Analysis!$B$3*0.5,"Low","Medium"))</f>
        <v>Medium</v>
      </c>
      <c r="P506" s="38" t="str">
        <f>VLOOKUP(dataset_A!C506,$Q$2:$R$5,2,0)</f>
        <v>Spring</v>
      </c>
      <c r="S506" s="38" t="str">
        <f t="array" ref="S506">INDEX($R$2:$R$5,MATCH(dataset_A!C506,$Q$2:$Q$5,0))</f>
        <v>Spring</v>
      </c>
      <c r="T506" s="38" t="str">
        <f t="shared" si="4"/>
        <v>Match</v>
      </c>
    </row>
    <row r="507" ht="12.75" customHeight="1">
      <c r="A507" s="38">
        <f>dataset_A!A507</f>
        <v>719</v>
      </c>
      <c r="B507" s="39">
        <f>dataset_A!B507</f>
        <v>40576</v>
      </c>
      <c r="C507" s="38">
        <f>dataset_A!F507</f>
        <v>7</v>
      </c>
      <c r="D507" s="38">
        <f>dataset_A!H507</f>
        <v>3</v>
      </c>
      <c r="E507" s="38" t="b">
        <f>dataset_A!G507</f>
        <v>0</v>
      </c>
      <c r="F507" s="38" t="b">
        <f>dataset_A!G507</f>
        <v>0</v>
      </c>
      <c r="G507" s="38" t="str">
        <f t="shared" si="1"/>
        <v>Weekday</v>
      </c>
      <c r="H507" s="38" t="str">
        <f t="shared" si="2"/>
        <v>Morning</v>
      </c>
      <c r="I507" s="38" t="str">
        <f>IF(dataset_A!C507=1,"Spring",IF(dataset_A!C507=2,"Summer",IF(dataset_A!C507=3,"Fail","Winter")))</f>
        <v>Spring</v>
      </c>
      <c r="J507" s="38" t="str">
        <f>IF(dataset_A!I507=1,"Clear",IF(dataset_A!I507,"Mist/Cloudy",IF(dataset_A!I507=3,"Light Rain/Snow","Heavy Rain/Snow")))</f>
        <v>Mist/Cloudy</v>
      </c>
      <c r="K507" s="38">
        <f>dataset_A!N507</f>
        <v>1</v>
      </c>
      <c r="L507" s="38">
        <f>dataset_A!O507</f>
        <v>48</v>
      </c>
      <c r="M507" s="38">
        <f>dataset_A!P507</f>
        <v>49</v>
      </c>
      <c r="N507" s="38" t="str">
        <f t="shared" si="3"/>
        <v>Ok</v>
      </c>
      <c r="O507" s="38" t="str">
        <f>IF(M507&gt;Analysis!$B$3*1.5,"High",IF(M507&lt;Analysis!$B$3*0.5,"Low","Medium"))</f>
        <v>Medium</v>
      </c>
      <c r="P507" s="38" t="str">
        <f>VLOOKUP(dataset_A!C507,$Q$2:$R$5,2,0)</f>
        <v>Spring</v>
      </c>
      <c r="S507" s="38" t="str">
        <f t="array" ref="S507">INDEX($R$2:$R$5,MATCH(dataset_A!C507,$Q$2:$Q$5,0))</f>
        <v>Spring</v>
      </c>
      <c r="T507" s="38" t="str">
        <f t="shared" si="4"/>
        <v>Match</v>
      </c>
    </row>
    <row r="508" ht="12.75" customHeight="1">
      <c r="A508" s="38">
        <f>dataset_A!A508</f>
        <v>90</v>
      </c>
      <c r="B508" s="39">
        <f>dataset_A!B508</f>
        <v>40547</v>
      </c>
      <c r="C508" s="38">
        <f>dataset_A!F508</f>
        <v>21</v>
      </c>
      <c r="D508" s="38">
        <f>dataset_A!H508</f>
        <v>2</v>
      </c>
      <c r="E508" s="38" t="b">
        <f>dataset_A!G508</f>
        <v>0</v>
      </c>
      <c r="F508" s="38" t="b">
        <f>dataset_A!G508</f>
        <v>0</v>
      </c>
      <c r="G508" s="38" t="str">
        <f t="shared" si="1"/>
        <v>Weekday</v>
      </c>
      <c r="H508" s="38" t="str">
        <f t="shared" si="2"/>
        <v>Evening</v>
      </c>
      <c r="I508" s="38" t="str">
        <f>IF(dataset_A!C508=1,"Spring",IF(dataset_A!C508=2,"Summer",IF(dataset_A!C508=3,"Fail","Winter")))</f>
        <v>Spring</v>
      </c>
      <c r="J508" s="38" t="str">
        <f>IF(dataset_A!I508=1,"Clear",IF(dataset_A!I508,"Mist/Cloudy",IF(dataset_A!I508=3,"Light Rain/Snow","Heavy Rain/Snow")))</f>
        <v>Clear</v>
      </c>
      <c r="K508" s="38">
        <f>dataset_A!N508</f>
        <v>0</v>
      </c>
      <c r="L508" s="38">
        <f>dataset_A!O508</f>
        <v>48</v>
      </c>
      <c r="M508" s="38">
        <f>dataset_A!P508</f>
        <v>48</v>
      </c>
      <c r="N508" s="38" t="str">
        <f t="shared" si="3"/>
        <v>Ok</v>
      </c>
      <c r="O508" s="38" t="str">
        <f>IF(M508&gt;Analysis!$B$3*1.5,"High",IF(M508&lt;Analysis!$B$3*0.5,"Low","Medium"))</f>
        <v>Medium</v>
      </c>
      <c r="P508" s="38" t="str">
        <f>VLOOKUP(dataset_A!C508,$Q$2:$R$5,2,0)</f>
        <v>Spring</v>
      </c>
      <c r="S508" s="38" t="str">
        <f t="array" ref="S508">INDEX($R$2:$R$5,MATCH(dataset_A!C508,$Q$2:$Q$5,0))</f>
        <v>Spring</v>
      </c>
      <c r="T508" s="38" t="str">
        <f t="shared" si="4"/>
        <v>Match</v>
      </c>
    </row>
    <row r="509" ht="12.75" customHeight="1">
      <c r="A509" s="38">
        <f>dataset_A!A509</f>
        <v>136</v>
      </c>
      <c r="B509" s="39">
        <f>dataset_A!B509</f>
        <v>40549</v>
      </c>
      <c r="C509" s="38">
        <f>dataset_A!F509</f>
        <v>21</v>
      </c>
      <c r="D509" s="38">
        <f>dataset_A!H509</f>
        <v>4</v>
      </c>
      <c r="E509" s="38" t="b">
        <f>dataset_A!G509</f>
        <v>0</v>
      </c>
      <c r="F509" s="38" t="b">
        <f>dataset_A!G509</f>
        <v>0</v>
      </c>
      <c r="G509" s="38" t="str">
        <f t="shared" si="1"/>
        <v>Weekday</v>
      </c>
      <c r="H509" s="38" t="str">
        <f t="shared" si="2"/>
        <v>Evening</v>
      </c>
      <c r="I509" s="38" t="str">
        <f>IF(dataset_A!C509=1,"Spring",IF(dataset_A!C509=2,"Summer",IF(dataset_A!C509=3,"Fail","Winter")))</f>
        <v>Spring</v>
      </c>
      <c r="J509" s="38" t="str">
        <f>IF(dataset_A!I509=1,"Clear",IF(dataset_A!I509,"Mist/Cloudy",IF(dataset_A!I509=3,"Light Rain/Snow","Heavy Rain/Snow")))</f>
        <v>Mist/Cloudy</v>
      </c>
      <c r="K509" s="38">
        <f>dataset_A!N509</f>
        <v>0</v>
      </c>
      <c r="L509" s="38">
        <f>dataset_A!O509</f>
        <v>48</v>
      </c>
      <c r="M509" s="38">
        <f>dataset_A!P509</f>
        <v>48</v>
      </c>
      <c r="N509" s="38" t="str">
        <f t="shared" si="3"/>
        <v>Ok</v>
      </c>
      <c r="O509" s="38" t="str">
        <f>IF(M509&gt;Analysis!$B$3*1.5,"High",IF(M509&lt;Analysis!$B$3*0.5,"Low","Medium"))</f>
        <v>Medium</v>
      </c>
      <c r="P509" s="38" t="str">
        <f>VLOOKUP(dataset_A!C509,$Q$2:$R$5,2,0)</f>
        <v>Spring</v>
      </c>
      <c r="S509" s="38" t="str">
        <f t="array" ref="S509">INDEX($R$2:$R$5,MATCH(dataset_A!C509,$Q$2:$Q$5,0))</f>
        <v>Spring</v>
      </c>
      <c r="T509" s="38" t="str">
        <f t="shared" si="4"/>
        <v>Match</v>
      </c>
    </row>
    <row r="510" ht="12.75" customHeight="1">
      <c r="A510" s="38">
        <f>dataset_A!A510</f>
        <v>204</v>
      </c>
      <c r="B510" s="39">
        <f>dataset_A!B510</f>
        <v>40552</v>
      </c>
      <c r="C510" s="38">
        <f>dataset_A!F510</f>
        <v>18</v>
      </c>
      <c r="D510" s="38">
        <f>dataset_A!H510</f>
        <v>0</v>
      </c>
      <c r="E510" s="38" t="b">
        <f>dataset_A!G510</f>
        <v>0</v>
      </c>
      <c r="F510" s="38" t="b">
        <f>dataset_A!G510</f>
        <v>0</v>
      </c>
      <c r="G510" s="38" t="str">
        <f t="shared" si="1"/>
        <v>Weekend</v>
      </c>
      <c r="H510" s="38" t="str">
        <f t="shared" si="2"/>
        <v>Evening</v>
      </c>
      <c r="I510" s="38" t="str">
        <f>IF(dataset_A!C510=1,"Spring",IF(dataset_A!C510=2,"Summer",IF(dataset_A!C510=3,"Fail","Winter")))</f>
        <v>Spring</v>
      </c>
      <c r="J510" s="38" t="str">
        <f>IF(dataset_A!I510=1,"Clear",IF(dataset_A!I510,"Mist/Cloudy",IF(dataset_A!I510=3,"Light Rain/Snow","Heavy Rain/Snow")))</f>
        <v>Clear</v>
      </c>
      <c r="K510" s="38">
        <f>dataset_A!N510</f>
        <v>4</v>
      </c>
      <c r="L510" s="38">
        <f>dataset_A!O510</f>
        <v>44</v>
      </c>
      <c r="M510" s="38">
        <f>dataset_A!P510</f>
        <v>48</v>
      </c>
      <c r="N510" s="38" t="str">
        <f t="shared" si="3"/>
        <v>Ok</v>
      </c>
      <c r="O510" s="38" t="str">
        <f>IF(M510&gt;Analysis!$B$3*1.5,"High",IF(M510&lt;Analysis!$B$3*0.5,"Low","Medium"))</f>
        <v>Medium</v>
      </c>
      <c r="P510" s="38" t="str">
        <f>VLOOKUP(dataset_A!C510,$Q$2:$R$5,2,0)</f>
        <v>Spring</v>
      </c>
      <c r="S510" s="38" t="str">
        <f t="array" ref="S510">INDEX($R$2:$R$5,MATCH(dataset_A!C510,$Q$2:$Q$5,0))</f>
        <v>Spring</v>
      </c>
      <c r="T510" s="38" t="str">
        <f t="shared" si="4"/>
        <v>Match</v>
      </c>
    </row>
    <row r="511" ht="12.75" customHeight="1">
      <c r="A511" s="38">
        <f>dataset_A!A511</f>
        <v>582</v>
      </c>
      <c r="B511" s="39">
        <f>dataset_A!B511</f>
        <v>40569</v>
      </c>
      <c r="C511" s="38">
        <f>dataset_A!F511</f>
        <v>12</v>
      </c>
      <c r="D511" s="38">
        <f>dataset_A!H511</f>
        <v>3</v>
      </c>
      <c r="E511" s="38" t="b">
        <f>dataset_A!G511</f>
        <v>0</v>
      </c>
      <c r="F511" s="38" t="b">
        <f>dataset_A!G511</f>
        <v>0</v>
      </c>
      <c r="G511" s="38" t="str">
        <f t="shared" si="1"/>
        <v>Weekday</v>
      </c>
      <c r="H511" s="38" t="str">
        <f t="shared" si="2"/>
        <v>Afternoon</v>
      </c>
      <c r="I511" s="38" t="str">
        <f>IF(dataset_A!C511=1,"Spring",IF(dataset_A!C511=2,"Summer",IF(dataset_A!C511=3,"Fail","Winter")))</f>
        <v>Spring</v>
      </c>
      <c r="J511" s="38" t="str">
        <f>IF(dataset_A!I511=1,"Clear",IF(dataset_A!I511,"Mist/Cloudy",IF(dataset_A!I511=3,"Light Rain/Snow","Heavy Rain/Snow")))</f>
        <v>Mist/Cloudy</v>
      </c>
      <c r="K511" s="38">
        <f>dataset_A!N511</f>
        <v>7</v>
      </c>
      <c r="L511" s="38">
        <f>dataset_A!O511</f>
        <v>41</v>
      </c>
      <c r="M511" s="38">
        <f>dataset_A!P511</f>
        <v>48</v>
      </c>
      <c r="N511" s="38" t="str">
        <f t="shared" si="3"/>
        <v>Ok</v>
      </c>
      <c r="O511" s="38" t="str">
        <f>IF(M511&gt;Analysis!$B$3*1.5,"High",IF(M511&lt;Analysis!$B$3*0.5,"Low","Medium"))</f>
        <v>Medium</v>
      </c>
      <c r="P511" s="38" t="str">
        <f>VLOOKUP(dataset_A!C511,$Q$2:$R$5,2,0)</f>
        <v>Spring</v>
      </c>
      <c r="S511" s="38" t="str">
        <f t="array" ref="S511">INDEX($R$2:$R$5,MATCH(dataset_A!C511,$Q$2:$Q$5,0))</f>
        <v>Spring</v>
      </c>
      <c r="T511" s="38" t="str">
        <f t="shared" si="4"/>
        <v>Match</v>
      </c>
    </row>
    <row r="512" ht="12.75" customHeight="1">
      <c r="A512" s="38">
        <f>dataset_A!A512</f>
        <v>676</v>
      </c>
      <c r="B512" s="39">
        <f>dataset_A!B512</f>
        <v>40574</v>
      </c>
      <c r="C512" s="38">
        <f>dataset_A!F512</f>
        <v>11</v>
      </c>
      <c r="D512" s="38">
        <f>dataset_A!H512</f>
        <v>1</v>
      </c>
      <c r="E512" s="38" t="b">
        <f>dataset_A!G512</f>
        <v>0</v>
      </c>
      <c r="F512" s="38" t="b">
        <f>dataset_A!G512</f>
        <v>0</v>
      </c>
      <c r="G512" s="38" t="str">
        <f t="shared" si="1"/>
        <v>Weekday</v>
      </c>
      <c r="H512" s="38" t="str">
        <f t="shared" si="2"/>
        <v>Morning</v>
      </c>
      <c r="I512" s="38" t="str">
        <f>IF(dataset_A!C512=1,"Spring",IF(dataset_A!C512=2,"Summer",IF(dataset_A!C512=3,"Fail","Winter")))</f>
        <v>Spring</v>
      </c>
      <c r="J512" s="38" t="str">
        <f>IF(dataset_A!I512=1,"Clear",IF(dataset_A!I512,"Mist/Cloudy",IF(dataset_A!I512=3,"Light Rain/Snow","Heavy Rain/Snow")))</f>
        <v>Mist/Cloudy</v>
      </c>
      <c r="K512" s="38">
        <f>dataset_A!N512</f>
        <v>2</v>
      </c>
      <c r="L512" s="38">
        <f>dataset_A!O512</f>
        <v>46</v>
      </c>
      <c r="M512" s="38">
        <f>dataset_A!P512</f>
        <v>48</v>
      </c>
      <c r="N512" s="38" t="str">
        <f t="shared" si="3"/>
        <v>Ok</v>
      </c>
      <c r="O512" s="38" t="str">
        <f>IF(M512&gt;Analysis!$B$3*1.5,"High",IF(M512&lt;Analysis!$B$3*0.5,"Low","Medium"))</f>
        <v>Medium</v>
      </c>
      <c r="P512" s="38" t="str">
        <f>VLOOKUP(dataset_A!C512,$Q$2:$R$5,2,0)</f>
        <v>Spring</v>
      </c>
      <c r="S512" s="38" t="str">
        <f t="array" ref="S512">INDEX($R$2:$R$5,MATCH(dataset_A!C512,$Q$2:$Q$5,0))</f>
        <v>Spring</v>
      </c>
      <c r="T512" s="38" t="str">
        <f t="shared" si="4"/>
        <v>Match</v>
      </c>
    </row>
    <row r="513" ht="12.75" customHeight="1">
      <c r="A513" s="38">
        <f>dataset_A!A513</f>
        <v>864</v>
      </c>
      <c r="B513" s="39">
        <f>dataset_A!B513</f>
        <v>40582</v>
      </c>
      <c r="C513" s="38">
        <f>dataset_A!F513</f>
        <v>10</v>
      </c>
      <c r="D513" s="38">
        <f>dataset_A!H513</f>
        <v>2</v>
      </c>
      <c r="E513" s="38" t="b">
        <f>dataset_A!G513</f>
        <v>0</v>
      </c>
      <c r="F513" s="38" t="b">
        <f>dataset_A!G513</f>
        <v>0</v>
      </c>
      <c r="G513" s="38" t="str">
        <f t="shared" si="1"/>
        <v>Weekday</v>
      </c>
      <c r="H513" s="38" t="str">
        <f t="shared" si="2"/>
        <v>Morning</v>
      </c>
      <c r="I513" s="38" t="str">
        <f>IF(dataset_A!C513=1,"Spring",IF(dataset_A!C513=2,"Summer",IF(dataset_A!C513=3,"Fail","Winter")))</f>
        <v>Spring</v>
      </c>
      <c r="J513" s="38" t="str">
        <f>IF(dataset_A!I513=1,"Clear",IF(dataset_A!I513,"Mist/Cloudy",IF(dataset_A!I513=3,"Light Rain/Snow","Heavy Rain/Snow")))</f>
        <v>Clear</v>
      </c>
      <c r="K513" s="38">
        <f>dataset_A!N513</f>
        <v>4</v>
      </c>
      <c r="L513" s="38">
        <f>dataset_A!O513</f>
        <v>44</v>
      </c>
      <c r="M513" s="38">
        <f>dataset_A!P513</f>
        <v>48</v>
      </c>
      <c r="N513" s="38" t="str">
        <f t="shared" si="3"/>
        <v>Ok</v>
      </c>
      <c r="O513" s="38" t="str">
        <f>IF(M513&gt;Analysis!$B$3*1.5,"High",IF(M513&lt;Analysis!$B$3*0.5,"Low","Medium"))</f>
        <v>Medium</v>
      </c>
      <c r="P513" s="38" t="str">
        <f>VLOOKUP(dataset_A!C513,$Q$2:$R$5,2,0)</f>
        <v>Spring</v>
      </c>
      <c r="S513" s="38" t="str">
        <f t="array" ref="S513">INDEX($R$2:$R$5,MATCH(dataset_A!C513,$Q$2:$Q$5,0))</f>
        <v>Spring</v>
      </c>
      <c r="T513" s="38" t="str">
        <f t="shared" si="4"/>
        <v>Match</v>
      </c>
    </row>
    <row r="514" ht="12.75" customHeight="1">
      <c r="A514" s="38">
        <f>dataset_A!A514</f>
        <v>914</v>
      </c>
      <c r="B514" s="39">
        <f>dataset_A!B514</f>
        <v>40584</v>
      </c>
      <c r="C514" s="38">
        <f>dataset_A!F514</f>
        <v>14</v>
      </c>
      <c r="D514" s="38">
        <f>dataset_A!H514</f>
        <v>4</v>
      </c>
      <c r="E514" s="38" t="b">
        <f>dataset_A!G514</f>
        <v>0</v>
      </c>
      <c r="F514" s="38" t="b">
        <f>dataset_A!G514</f>
        <v>0</v>
      </c>
      <c r="G514" s="38" t="str">
        <f t="shared" si="1"/>
        <v>Weekday</v>
      </c>
      <c r="H514" s="38" t="str">
        <f t="shared" si="2"/>
        <v>Afternoon</v>
      </c>
      <c r="I514" s="38" t="str">
        <f>IF(dataset_A!C514=1,"Spring",IF(dataset_A!C514=2,"Summer",IF(dataset_A!C514=3,"Fail","Winter")))</f>
        <v>Spring</v>
      </c>
      <c r="J514" s="38" t="str">
        <f>IF(dataset_A!I514=1,"Clear",IF(dataset_A!I514,"Mist/Cloudy",IF(dataset_A!I514=3,"Light Rain/Snow","Heavy Rain/Snow")))</f>
        <v>Clear</v>
      </c>
      <c r="K514" s="38">
        <f>dataset_A!N514</f>
        <v>6</v>
      </c>
      <c r="L514" s="38">
        <f>dataset_A!O514</f>
        <v>42</v>
      </c>
      <c r="M514" s="38">
        <f>dataset_A!P514</f>
        <v>48</v>
      </c>
      <c r="N514" s="38" t="str">
        <f t="shared" si="3"/>
        <v>Ok</v>
      </c>
      <c r="O514" s="38" t="str">
        <f>IF(M514&gt;Analysis!$B$3*1.5,"High",IF(M514&lt;Analysis!$B$3*0.5,"Low","Medium"))</f>
        <v>Medium</v>
      </c>
      <c r="P514" s="38" t="str">
        <f>VLOOKUP(dataset_A!C514,$Q$2:$R$5,2,0)</f>
        <v>Spring</v>
      </c>
      <c r="S514" s="38" t="str">
        <f t="array" ref="S514">INDEX($R$2:$R$5,MATCH(dataset_A!C514,$Q$2:$Q$5,0))</f>
        <v>Spring</v>
      </c>
      <c r="T514" s="38" t="str">
        <f t="shared" si="4"/>
        <v>Match</v>
      </c>
    </row>
    <row r="515" ht="12.75" customHeight="1">
      <c r="A515" s="38">
        <f>dataset_A!A515</f>
        <v>224</v>
      </c>
      <c r="B515" s="39">
        <f>dataset_A!B515</f>
        <v>40553</v>
      </c>
      <c r="C515" s="38">
        <f>dataset_A!F515</f>
        <v>14</v>
      </c>
      <c r="D515" s="38">
        <f>dataset_A!H515</f>
        <v>1</v>
      </c>
      <c r="E515" s="38" t="b">
        <f>dataset_A!G515</f>
        <v>0</v>
      </c>
      <c r="F515" s="38" t="b">
        <f>dataset_A!G515</f>
        <v>0</v>
      </c>
      <c r="G515" s="38" t="str">
        <f t="shared" si="1"/>
        <v>Weekday</v>
      </c>
      <c r="H515" s="38" t="str">
        <f t="shared" si="2"/>
        <v>Afternoon</v>
      </c>
      <c r="I515" s="38" t="str">
        <f>IF(dataset_A!C515=1,"Spring",IF(dataset_A!C515=2,"Summer",IF(dataset_A!C515=3,"Fail","Winter")))</f>
        <v>Spring</v>
      </c>
      <c r="J515" s="38" t="str">
        <f>IF(dataset_A!I515=1,"Clear",IF(dataset_A!I515,"Mist/Cloudy",IF(dataset_A!I515=3,"Light Rain/Snow","Heavy Rain/Snow")))</f>
        <v>Mist/Cloudy</v>
      </c>
      <c r="K515" s="38">
        <f>dataset_A!N515</f>
        <v>0</v>
      </c>
      <c r="L515" s="38">
        <f>dataset_A!O515</f>
        <v>47</v>
      </c>
      <c r="M515" s="38">
        <f>dataset_A!P515</f>
        <v>47</v>
      </c>
      <c r="N515" s="38" t="str">
        <f t="shared" si="3"/>
        <v>Ok</v>
      </c>
      <c r="O515" s="38" t="str">
        <f>IF(M515&gt;Analysis!$B$3*1.5,"High",IF(M515&lt;Analysis!$B$3*0.5,"Low","Medium"))</f>
        <v>Medium</v>
      </c>
      <c r="P515" s="38" t="str">
        <f>VLOOKUP(dataset_A!C515,$Q$2:$R$5,2,0)</f>
        <v>Spring</v>
      </c>
      <c r="S515" s="38" t="str">
        <f t="array" ref="S515">INDEX($R$2:$R$5,MATCH(dataset_A!C515,$Q$2:$Q$5,0))</f>
        <v>Spring</v>
      </c>
      <c r="T515" s="38" t="str">
        <f t="shared" si="4"/>
        <v>Match</v>
      </c>
    </row>
    <row r="516" ht="12.75" customHeight="1">
      <c r="A516" s="38">
        <f>dataset_A!A516</f>
        <v>247</v>
      </c>
      <c r="B516" s="39">
        <f>dataset_A!B516</f>
        <v>40554</v>
      </c>
      <c r="C516" s="38">
        <f>dataset_A!F516</f>
        <v>15</v>
      </c>
      <c r="D516" s="38">
        <f>dataset_A!H516</f>
        <v>2</v>
      </c>
      <c r="E516" s="38" t="b">
        <f>dataset_A!G516</f>
        <v>0</v>
      </c>
      <c r="F516" s="38" t="b">
        <f>dataset_A!G516</f>
        <v>0</v>
      </c>
      <c r="G516" s="38" t="str">
        <f t="shared" si="1"/>
        <v>Weekday</v>
      </c>
      <c r="H516" s="38" t="str">
        <f t="shared" si="2"/>
        <v>Afternoon</v>
      </c>
      <c r="I516" s="38" t="str">
        <f>IF(dataset_A!C516=1,"Spring",IF(dataset_A!C516=2,"Summer",IF(dataset_A!C516=3,"Fail","Winter")))</f>
        <v>Spring</v>
      </c>
      <c r="J516" s="38" t="str">
        <f>IF(dataset_A!I516=1,"Clear",IF(dataset_A!I516,"Mist/Cloudy",IF(dataset_A!I516=3,"Light Rain/Snow","Heavy Rain/Snow")))</f>
        <v>Mist/Cloudy</v>
      </c>
      <c r="K516" s="38">
        <f>dataset_A!N516</f>
        <v>2</v>
      </c>
      <c r="L516" s="38">
        <f>dataset_A!O516</f>
        <v>45</v>
      </c>
      <c r="M516" s="38">
        <f>dataset_A!P516</f>
        <v>47</v>
      </c>
      <c r="N516" s="38" t="str">
        <f t="shared" si="3"/>
        <v>Ok</v>
      </c>
      <c r="O516" s="38" t="str">
        <f>IF(M516&gt;Analysis!$B$3*1.5,"High",IF(M516&lt;Analysis!$B$3*0.5,"Low","Medium"))</f>
        <v>Medium</v>
      </c>
      <c r="P516" s="38" t="str">
        <f>VLOOKUP(dataset_A!C516,$Q$2:$R$5,2,0)</f>
        <v>Spring</v>
      </c>
      <c r="S516" s="38" t="str">
        <f t="array" ref="S516">INDEX($R$2:$R$5,MATCH(dataset_A!C516,$Q$2:$Q$5,0))</f>
        <v>Spring</v>
      </c>
      <c r="T516" s="38" t="str">
        <f t="shared" si="4"/>
        <v>Match</v>
      </c>
    </row>
    <row r="517" ht="12.75" customHeight="1">
      <c r="A517" s="38">
        <f>dataset_A!A517</f>
        <v>382</v>
      </c>
      <c r="B517" s="39">
        <f>dataset_A!B517</f>
        <v>40560</v>
      </c>
      <c r="C517" s="38">
        <f>dataset_A!F517</f>
        <v>9</v>
      </c>
      <c r="D517" s="38">
        <f>dataset_A!H517</f>
        <v>1</v>
      </c>
      <c r="E517" s="38" t="b">
        <f>dataset_A!G517</f>
        <v>1</v>
      </c>
      <c r="F517" s="38" t="b">
        <f>dataset_A!G517</f>
        <v>1</v>
      </c>
      <c r="G517" s="38" t="str">
        <f t="shared" si="1"/>
        <v>Weekday</v>
      </c>
      <c r="H517" s="38" t="str">
        <f t="shared" si="2"/>
        <v>Morning</v>
      </c>
      <c r="I517" s="38" t="str">
        <f>IF(dataset_A!C517=1,"Spring",IF(dataset_A!C517=2,"Summer",IF(dataset_A!C517=3,"Fail","Winter")))</f>
        <v>Spring</v>
      </c>
      <c r="J517" s="38" t="str">
        <f>IF(dataset_A!I517=1,"Clear",IF(dataset_A!I517,"Mist/Cloudy",IF(dataset_A!I517=3,"Light Rain/Snow","Heavy Rain/Snow")))</f>
        <v>Mist/Cloudy</v>
      </c>
      <c r="K517" s="38">
        <f>dataset_A!N517</f>
        <v>8</v>
      </c>
      <c r="L517" s="38">
        <f>dataset_A!O517</f>
        <v>39</v>
      </c>
      <c r="M517" s="38">
        <f>dataset_A!P517</f>
        <v>47</v>
      </c>
      <c r="N517" s="38" t="str">
        <f t="shared" si="3"/>
        <v>Ok</v>
      </c>
      <c r="O517" s="38" t="str">
        <f>IF(M517&gt;Analysis!$B$3*1.5,"High",IF(M517&lt;Analysis!$B$3*0.5,"Low","Medium"))</f>
        <v>Medium</v>
      </c>
      <c r="P517" s="38" t="str">
        <f>VLOOKUP(dataset_A!C517,$Q$2:$R$5,2,0)</f>
        <v>Spring</v>
      </c>
      <c r="S517" s="38" t="str">
        <f t="array" ref="S517">INDEX($R$2:$R$5,MATCH(dataset_A!C517,$Q$2:$Q$5,0))</f>
        <v>Spring</v>
      </c>
      <c r="T517" s="38" t="str">
        <f t="shared" si="4"/>
        <v>Match</v>
      </c>
    </row>
    <row r="518" ht="12.75" customHeight="1">
      <c r="A518" s="38">
        <f>dataset_A!A518</f>
        <v>418</v>
      </c>
      <c r="B518" s="39">
        <f>dataset_A!B518</f>
        <v>40562</v>
      </c>
      <c r="C518" s="38">
        <f>dataset_A!F518</f>
        <v>10</v>
      </c>
      <c r="D518" s="38">
        <f>dataset_A!H518</f>
        <v>3</v>
      </c>
      <c r="E518" s="38" t="b">
        <f>dataset_A!G518</f>
        <v>0</v>
      </c>
      <c r="F518" s="38" t="b">
        <f>dataset_A!G518</f>
        <v>0</v>
      </c>
      <c r="G518" s="38" t="str">
        <f t="shared" si="1"/>
        <v>Weekday</v>
      </c>
      <c r="H518" s="38" t="str">
        <f t="shared" si="2"/>
        <v>Morning</v>
      </c>
      <c r="I518" s="38" t="str">
        <f>IF(dataset_A!C518=1,"Spring",IF(dataset_A!C518=2,"Summer",IF(dataset_A!C518=3,"Fail","Winter")))</f>
        <v>Spring</v>
      </c>
      <c r="J518" s="38" t="str">
        <f>IF(dataset_A!I518=1,"Clear",IF(dataset_A!I518,"Mist/Cloudy",IF(dataset_A!I518=3,"Light Rain/Snow","Heavy Rain/Snow")))</f>
        <v>Mist/Cloudy</v>
      </c>
      <c r="K518" s="38">
        <f>dataset_A!N518</f>
        <v>1</v>
      </c>
      <c r="L518" s="38">
        <f>dataset_A!O518</f>
        <v>46</v>
      </c>
      <c r="M518" s="38">
        <f>dataset_A!P518</f>
        <v>47</v>
      </c>
      <c r="N518" s="38" t="str">
        <f t="shared" si="3"/>
        <v>Ok</v>
      </c>
      <c r="O518" s="38" t="str">
        <f>IF(M518&gt;Analysis!$B$3*1.5,"High",IF(M518&lt;Analysis!$B$3*0.5,"Low","Medium"))</f>
        <v>Medium</v>
      </c>
      <c r="P518" s="38" t="str">
        <f>VLOOKUP(dataset_A!C518,$Q$2:$R$5,2,0)</f>
        <v>Spring</v>
      </c>
      <c r="S518" s="38" t="str">
        <f t="array" ref="S518">INDEX($R$2:$R$5,MATCH(dataset_A!C518,$Q$2:$Q$5,0))</f>
        <v>Spring</v>
      </c>
      <c r="T518" s="38" t="str">
        <f t="shared" si="4"/>
        <v>Match</v>
      </c>
    </row>
    <row r="519" ht="12.75" customHeight="1">
      <c r="A519" s="38">
        <f>dataset_A!A519</f>
        <v>583</v>
      </c>
      <c r="B519" s="39">
        <f>dataset_A!B519</f>
        <v>40569</v>
      </c>
      <c r="C519" s="38">
        <f>dataset_A!F519</f>
        <v>13</v>
      </c>
      <c r="D519" s="38">
        <f>dataset_A!H519</f>
        <v>3</v>
      </c>
      <c r="E519" s="38" t="b">
        <f>dataset_A!G519</f>
        <v>0</v>
      </c>
      <c r="F519" s="38" t="b">
        <f>dataset_A!G519</f>
        <v>0</v>
      </c>
      <c r="G519" s="38" t="str">
        <f t="shared" si="1"/>
        <v>Weekday</v>
      </c>
      <c r="H519" s="38" t="str">
        <f t="shared" si="2"/>
        <v>Afternoon</v>
      </c>
      <c r="I519" s="38" t="str">
        <f>IF(dataset_A!C519=1,"Spring",IF(dataset_A!C519=2,"Summer",IF(dataset_A!C519=3,"Fail","Winter")))</f>
        <v>Spring</v>
      </c>
      <c r="J519" s="38" t="str">
        <f>IF(dataset_A!I519=1,"Clear",IF(dataset_A!I519,"Mist/Cloudy",IF(dataset_A!I519=3,"Light Rain/Snow","Heavy Rain/Snow")))</f>
        <v>Mist/Cloudy</v>
      </c>
      <c r="K519" s="38">
        <f>dataset_A!N519</f>
        <v>4</v>
      </c>
      <c r="L519" s="38">
        <f>dataset_A!O519</f>
        <v>43</v>
      </c>
      <c r="M519" s="38">
        <f>dataset_A!P519</f>
        <v>47</v>
      </c>
      <c r="N519" s="38" t="str">
        <f t="shared" si="3"/>
        <v>Ok</v>
      </c>
      <c r="O519" s="38" t="str">
        <f>IF(M519&gt;Analysis!$B$3*1.5,"High",IF(M519&lt;Analysis!$B$3*0.5,"Low","Medium"))</f>
        <v>Medium</v>
      </c>
      <c r="P519" s="38" t="str">
        <f>VLOOKUP(dataset_A!C519,$Q$2:$R$5,2,0)</f>
        <v>Spring</v>
      </c>
      <c r="S519" s="38" t="str">
        <f t="array" ref="S519">INDEX($R$2:$R$5,MATCH(dataset_A!C519,$Q$2:$Q$5,0))</f>
        <v>Spring</v>
      </c>
      <c r="T519" s="38" t="str">
        <f t="shared" si="4"/>
        <v>Match</v>
      </c>
    </row>
    <row r="520" ht="12.75" customHeight="1">
      <c r="A520" s="38">
        <f>dataset_A!A520</f>
        <v>698</v>
      </c>
      <c r="B520" s="39">
        <f>dataset_A!B520</f>
        <v>40575</v>
      </c>
      <c r="C520" s="38">
        <f>dataset_A!F520</f>
        <v>10</v>
      </c>
      <c r="D520" s="38">
        <f>dataset_A!H520</f>
        <v>2</v>
      </c>
      <c r="E520" s="38" t="b">
        <f>dataset_A!G520</f>
        <v>0</v>
      </c>
      <c r="F520" s="38" t="b">
        <f>dataset_A!G520</f>
        <v>0</v>
      </c>
      <c r="G520" s="38" t="str">
        <f t="shared" si="1"/>
        <v>Weekday</v>
      </c>
      <c r="H520" s="38" t="str">
        <f t="shared" si="2"/>
        <v>Morning</v>
      </c>
      <c r="I520" s="38" t="str">
        <f>IF(dataset_A!C520=1,"Spring",IF(dataset_A!C520=2,"Summer",IF(dataset_A!C520=3,"Fail","Winter")))</f>
        <v>Spring</v>
      </c>
      <c r="J520" s="38" t="str">
        <f>IF(dataset_A!I520=1,"Clear",IF(dataset_A!I520,"Mist/Cloudy",IF(dataset_A!I520=3,"Light Rain/Snow","Heavy Rain/Snow")))</f>
        <v>Mist/Cloudy</v>
      </c>
      <c r="K520" s="38">
        <f>dataset_A!N520</f>
        <v>0</v>
      </c>
      <c r="L520" s="38">
        <f>dataset_A!O520</f>
        <v>47</v>
      </c>
      <c r="M520" s="38">
        <f>dataset_A!P520</f>
        <v>47</v>
      </c>
      <c r="N520" s="38" t="str">
        <f t="shared" si="3"/>
        <v>Ok</v>
      </c>
      <c r="O520" s="38" t="str">
        <f>IF(M520&gt;Analysis!$B$3*1.5,"High",IF(M520&lt;Analysis!$B$3*0.5,"Low","Medium"))</f>
        <v>Medium</v>
      </c>
      <c r="P520" s="38" t="str">
        <f>VLOOKUP(dataset_A!C520,$Q$2:$R$5,2,0)</f>
        <v>Spring</v>
      </c>
      <c r="S520" s="38" t="str">
        <f t="array" ref="S520">INDEX($R$2:$R$5,MATCH(dataset_A!C520,$Q$2:$Q$5,0))</f>
        <v>Spring</v>
      </c>
      <c r="T520" s="38" t="str">
        <f t="shared" si="4"/>
        <v>Match</v>
      </c>
    </row>
    <row r="521" ht="12.75" customHeight="1">
      <c r="A521" s="38">
        <f>dataset_A!A521</f>
        <v>749</v>
      </c>
      <c r="B521" s="39">
        <f>dataset_A!B521</f>
        <v>40577</v>
      </c>
      <c r="C521" s="38">
        <f>dataset_A!F521</f>
        <v>14</v>
      </c>
      <c r="D521" s="38">
        <f>dataset_A!H521</f>
        <v>4</v>
      </c>
      <c r="E521" s="38" t="b">
        <f>dataset_A!G521</f>
        <v>0</v>
      </c>
      <c r="F521" s="38" t="b">
        <f>dataset_A!G521</f>
        <v>0</v>
      </c>
      <c r="G521" s="38" t="str">
        <f t="shared" si="1"/>
        <v>Weekday</v>
      </c>
      <c r="H521" s="38" t="str">
        <f t="shared" si="2"/>
        <v>Afternoon</v>
      </c>
      <c r="I521" s="38" t="str">
        <f>IF(dataset_A!C521=1,"Spring",IF(dataset_A!C521=2,"Summer",IF(dataset_A!C521=3,"Fail","Winter")))</f>
        <v>Spring</v>
      </c>
      <c r="J521" s="38" t="str">
        <f>IF(dataset_A!I521=1,"Clear",IF(dataset_A!I521,"Mist/Cloudy",IF(dataset_A!I521=3,"Light Rain/Snow","Heavy Rain/Snow")))</f>
        <v>Clear</v>
      </c>
      <c r="K521" s="38">
        <f>dataset_A!N521</f>
        <v>4</v>
      </c>
      <c r="L521" s="38">
        <f>dataset_A!O521</f>
        <v>43</v>
      </c>
      <c r="M521" s="38">
        <f>dataset_A!P521</f>
        <v>47</v>
      </c>
      <c r="N521" s="38" t="str">
        <f t="shared" si="3"/>
        <v>Ok</v>
      </c>
      <c r="O521" s="38" t="str">
        <f>IF(M521&gt;Analysis!$B$3*1.5,"High",IF(M521&lt;Analysis!$B$3*0.5,"Low","Medium"))</f>
        <v>Medium</v>
      </c>
      <c r="P521" s="38" t="str">
        <f>VLOOKUP(dataset_A!C521,$Q$2:$R$5,2,0)</f>
        <v>Spring</v>
      </c>
      <c r="S521" s="38" t="str">
        <f t="array" ref="S521">INDEX($R$2:$R$5,MATCH(dataset_A!C521,$Q$2:$Q$5,0))</f>
        <v>Spring</v>
      </c>
      <c r="T521" s="38" t="str">
        <f t="shared" si="4"/>
        <v>Match</v>
      </c>
    </row>
    <row r="522" ht="12.75" customHeight="1">
      <c r="A522" s="38">
        <f>dataset_A!A522</f>
        <v>793</v>
      </c>
      <c r="B522" s="39">
        <f>dataset_A!B522</f>
        <v>40579</v>
      </c>
      <c r="C522" s="38">
        <f>dataset_A!F522</f>
        <v>11</v>
      </c>
      <c r="D522" s="38">
        <f>dataset_A!H522</f>
        <v>6</v>
      </c>
      <c r="E522" s="38" t="b">
        <f>dataset_A!G522</f>
        <v>0</v>
      </c>
      <c r="F522" s="38" t="b">
        <f>dataset_A!G522</f>
        <v>0</v>
      </c>
      <c r="G522" s="38" t="str">
        <f t="shared" si="1"/>
        <v>Weekend</v>
      </c>
      <c r="H522" s="38" t="str">
        <f t="shared" si="2"/>
        <v>Morning</v>
      </c>
      <c r="I522" s="38" t="str">
        <f>IF(dataset_A!C522=1,"Spring",IF(dataset_A!C522=2,"Summer",IF(dataset_A!C522=3,"Fail","Winter")))</f>
        <v>Spring</v>
      </c>
      <c r="J522" s="38" t="str">
        <f>IF(dataset_A!I522=1,"Clear",IF(dataset_A!I522,"Mist/Cloudy",IF(dataset_A!I522=3,"Light Rain/Snow","Heavy Rain/Snow")))</f>
        <v>Mist/Cloudy</v>
      </c>
      <c r="K522" s="38">
        <f>dataset_A!N522</f>
        <v>1</v>
      </c>
      <c r="L522" s="38">
        <f>dataset_A!O522</f>
        <v>46</v>
      </c>
      <c r="M522" s="38">
        <f>dataset_A!P522</f>
        <v>47</v>
      </c>
      <c r="N522" s="38" t="str">
        <f t="shared" si="3"/>
        <v>Ok</v>
      </c>
      <c r="O522" s="38" t="str">
        <f>IF(M522&gt;Analysis!$B$3*1.5,"High",IF(M522&lt;Analysis!$B$3*0.5,"Low","Medium"))</f>
        <v>Medium</v>
      </c>
      <c r="P522" s="38" t="str">
        <f>VLOOKUP(dataset_A!C522,$Q$2:$R$5,2,0)</f>
        <v>Spring</v>
      </c>
      <c r="S522" s="38" t="str">
        <f t="array" ref="S522">INDEX($R$2:$R$5,MATCH(dataset_A!C522,$Q$2:$Q$5,0))</f>
        <v>Spring</v>
      </c>
      <c r="T522" s="38" t="str">
        <f t="shared" si="4"/>
        <v>Match</v>
      </c>
    </row>
    <row r="523" ht="12.75" customHeight="1">
      <c r="A523" s="38">
        <f>dataset_A!A523</f>
        <v>841</v>
      </c>
      <c r="B523" s="39">
        <f>dataset_A!B523</f>
        <v>40581</v>
      </c>
      <c r="C523" s="38">
        <f>dataset_A!F523</f>
        <v>11</v>
      </c>
      <c r="D523" s="38">
        <f>dataset_A!H523</f>
        <v>1</v>
      </c>
      <c r="E523" s="38" t="b">
        <f>dataset_A!G523</f>
        <v>0</v>
      </c>
      <c r="F523" s="38" t="b">
        <f>dataset_A!G523</f>
        <v>0</v>
      </c>
      <c r="G523" s="38" t="str">
        <f t="shared" si="1"/>
        <v>Weekday</v>
      </c>
      <c r="H523" s="38" t="str">
        <f t="shared" si="2"/>
        <v>Morning</v>
      </c>
      <c r="I523" s="38" t="str">
        <f>IF(dataset_A!C523=1,"Spring",IF(dataset_A!C523=2,"Summer",IF(dataset_A!C523=3,"Fail","Winter")))</f>
        <v>Spring</v>
      </c>
      <c r="J523" s="38" t="str">
        <f>IF(dataset_A!I523=1,"Clear",IF(dataset_A!I523,"Mist/Cloudy",IF(dataset_A!I523=3,"Light Rain/Snow","Heavy Rain/Snow")))</f>
        <v>Clear</v>
      </c>
      <c r="K523" s="38">
        <f>dataset_A!N523</f>
        <v>11</v>
      </c>
      <c r="L523" s="38">
        <f>dataset_A!O523</f>
        <v>36</v>
      </c>
      <c r="M523" s="38">
        <f>dataset_A!P523</f>
        <v>47</v>
      </c>
      <c r="N523" s="38" t="str">
        <f t="shared" si="3"/>
        <v>Ok</v>
      </c>
      <c r="O523" s="38" t="str">
        <f>IF(M523&gt;Analysis!$B$3*1.5,"High",IF(M523&lt;Analysis!$B$3*0.5,"Low","Medium"))</f>
        <v>Medium</v>
      </c>
      <c r="P523" s="38" t="str">
        <f>VLOOKUP(dataset_A!C523,$Q$2:$R$5,2,0)</f>
        <v>Spring</v>
      </c>
      <c r="S523" s="38" t="str">
        <f t="array" ref="S523">INDEX($R$2:$R$5,MATCH(dataset_A!C523,$Q$2:$Q$5,0))</f>
        <v>Spring</v>
      </c>
      <c r="T523" s="38" t="str">
        <f t="shared" si="4"/>
        <v>Match</v>
      </c>
    </row>
    <row r="524" ht="12.75" customHeight="1">
      <c r="A524" s="38">
        <f>dataset_A!A524</f>
        <v>943</v>
      </c>
      <c r="B524" s="39">
        <f>dataset_A!B524</f>
        <v>40585</v>
      </c>
      <c r="C524" s="38">
        <f>dataset_A!F524</f>
        <v>21</v>
      </c>
      <c r="D524" s="38">
        <f>dataset_A!H524</f>
        <v>5</v>
      </c>
      <c r="E524" s="38" t="b">
        <f>dataset_A!G524</f>
        <v>0</v>
      </c>
      <c r="F524" s="38" t="b">
        <f>dataset_A!G524</f>
        <v>0</v>
      </c>
      <c r="G524" s="38" t="str">
        <f t="shared" si="1"/>
        <v>Weekday</v>
      </c>
      <c r="H524" s="38" t="str">
        <f t="shared" si="2"/>
        <v>Evening</v>
      </c>
      <c r="I524" s="38" t="str">
        <f>IF(dataset_A!C524=1,"Spring",IF(dataset_A!C524=2,"Summer",IF(dataset_A!C524=3,"Fail","Winter")))</f>
        <v>Spring</v>
      </c>
      <c r="J524" s="38" t="str">
        <f>IF(dataset_A!I524=1,"Clear",IF(dataset_A!I524,"Mist/Cloudy",IF(dataset_A!I524=3,"Light Rain/Snow","Heavy Rain/Snow")))</f>
        <v>Clear</v>
      </c>
      <c r="K524" s="38">
        <f>dataset_A!N524</f>
        <v>1</v>
      </c>
      <c r="L524" s="38">
        <f>dataset_A!O524</f>
        <v>46</v>
      </c>
      <c r="M524" s="38">
        <f>dataset_A!P524</f>
        <v>47</v>
      </c>
      <c r="N524" s="38" t="str">
        <f t="shared" si="3"/>
        <v>Ok</v>
      </c>
      <c r="O524" s="38" t="str">
        <f>IF(M524&gt;Analysis!$B$3*1.5,"High",IF(M524&lt;Analysis!$B$3*0.5,"Low","Medium"))</f>
        <v>Medium</v>
      </c>
      <c r="P524" s="38" t="str">
        <f>VLOOKUP(dataset_A!C524,$Q$2:$R$5,2,0)</f>
        <v>Spring</v>
      </c>
      <c r="S524" s="38" t="str">
        <f t="array" ref="S524">INDEX($R$2:$R$5,MATCH(dataset_A!C524,$Q$2:$Q$5,0))</f>
        <v>Spring</v>
      </c>
      <c r="T524" s="38" t="str">
        <f t="shared" si="4"/>
        <v>Match</v>
      </c>
    </row>
    <row r="525" ht="12.75" customHeight="1">
      <c r="A525" s="38">
        <f>dataset_A!A525</f>
        <v>978</v>
      </c>
      <c r="B525" s="39">
        <f>dataset_A!B525</f>
        <v>40587</v>
      </c>
      <c r="C525" s="38">
        <f>dataset_A!F525</f>
        <v>9</v>
      </c>
      <c r="D525" s="38">
        <f>dataset_A!H525</f>
        <v>0</v>
      </c>
      <c r="E525" s="38" t="b">
        <f>dataset_A!G525</f>
        <v>0</v>
      </c>
      <c r="F525" s="38" t="b">
        <f>dataset_A!G525</f>
        <v>0</v>
      </c>
      <c r="G525" s="38" t="str">
        <f t="shared" si="1"/>
        <v>Weekend</v>
      </c>
      <c r="H525" s="38" t="str">
        <f t="shared" si="2"/>
        <v>Morning</v>
      </c>
      <c r="I525" s="38" t="str">
        <f>IF(dataset_A!C525=1,"Spring",IF(dataset_A!C525=2,"Summer",IF(dataset_A!C525=3,"Fail","Winter")))</f>
        <v>Spring</v>
      </c>
      <c r="J525" s="38" t="str">
        <f>IF(dataset_A!I525=1,"Clear",IF(dataset_A!I525,"Mist/Cloudy",IF(dataset_A!I525=3,"Light Rain/Snow","Heavy Rain/Snow")))</f>
        <v>Mist/Cloudy</v>
      </c>
      <c r="K525" s="38">
        <f>dataset_A!N525</f>
        <v>12</v>
      </c>
      <c r="L525" s="38">
        <f>dataset_A!O525</f>
        <v>35</v>
      </c>
      <c r="M525" s="38">
        <f>dataset_A!P525</f>
        <v>47</v>
      </c>
      <c r="N525" s="38" t="str">
        <f t="shared" si="3"/>
        <v>Ok</v>
      </c>
      <c r="O525" s="38" t="str">
        <f>IF(M525&gt;Analysis!$B$3*1.5,"High",IF(M525&lt;Analysis!$B$3*0.5,"Low","Medium"))</f>
        <v>Medium</v>
      </c>
      <c r="P525" s="38" t="str">
        <f>VLOOKUP(dataset_A!C525,$Q$2:$R$5,2,0)</f>
        <v>Spring</v>
      </c>
      <c r="S525" s="38" t="str">
        <f t="array" ref="S525">INDEX($R$2:$R$5,MATCH(dataset_A!C525,$Q$2:$Q$5,0))</f>
        <v>Spring</v>
      </c>
      <c r="T525" s="38" t="str">
        <f t="shared" si="4"/>
        <v>Match</v>
      </c>
    </row>
    <row r="526" ht="12.75" customHeight="1">
      <c r="A526" s="38">
        <f>dataset_A!A526</f>
        <v>989</v>
      </c>
      <c r="B526" s="39">
        <f>dataset_A!B526</f>
        <v>40587</v>
      </c>
      <c r="C526" s="38">
        <f>dataset_A!F526</f>
        <v>20</v>
      </c>
      <c r="D526" s="38">
        <f>dataset_A!H526</f>
        <v>0</v>
      </c>
      <c r="E526" s="38" t="b">
        <f>dataset_A!G526</f>
        <v>0</v>
      </c>
      <c r="F526" s="38" t="b">
        <f>dataset_A!G526</f>
        <v>0</v>
      </c>
      <c r="G526" s="38" t="str">
        <f t="shared" si="1"/>
        <v>Weekend</v>
      </c>
      <c r="H526" s="38" t="str">
        <f t="shared" si="2"/>
        <v>Evening</v>
      </c>
      <c r="I526" s="38" t="str">
        <f>IF(dataset_A!C526=1,"Spring",IF(dataset_A!C526=2,"Summer",IF(dataset_A!C526=3,"Fail","Winter")))</f>
        <v>Spring</v>
      </c>
      <c r="J526" s="38" t="str">
        <f>IF(dataset_A!I526=1,"Clear",IF(dataset_A!I526,"Mist/Cloudy",IF(dataset_A!I526=3,"Light Rain/Snow","Heavy Rain/Snow")))</f>
        <v>Clear</v>
      </c>
      <c r="K526" s="38">
        <f>dataset_A!N526</f>
        <v>15</v>
      </c>
      <c r="L526" s="38">
        <f>dataset_A!O526</f>
        <v>32</v>
      </c>
      <c r="M526" s="38">
        <f>dataset_A!P526</f>
        <v>47</v>
      </c>
      <c r="N526" s="38" t="str">
        <f t="shared" si="3"/>
        <v>Ok</v>
      </c>
      <c r="O526" s="38" t="str">
        <f>IF(M526&gt;Analysis!$B$3*1.5,"High",IF(M526&lt;Analysis!$B$3*0.5,"Low","Medium"))</f>
        <v>Medium</v>
      </c>
      <c r="P526" s="38" t="str">
        <f>VLOOKUP(dataset_A!C526,$Q$2:$R$5,2,0)</f>
        <v>Spring</v>
      </c>
      <c r="S526" s="38" t="str">
        <f t="array" ref="S526">INDEX($R$2:$R$5,MATCH(dataset_A!C526,$Q$2:$Q$5,0))</f>
        <v>Spring</v>
      </c>
      <c r="T526" s="38" t="str">
        <f t="shared" si="4"/>
        <v>Match</v>
      </c>
    </row>
    <row r="527" ht="12.75" customHeight="1">
      <c r="A527" s="38">
        <f>dataset_A!A527</f>
        <v>103</v>
      </c>
      <c r="B527" s="39">
        <f>dataset_A!B527</f>
        <v>40548</v>
      </c>
      <c r="C527" s="38">
        <f>dataset_A!F527</f>
        <v>11</v>
      </c>
      <c r="D527" s="38">
        <f>dataset_A!H527</f>
        <v>3</v>
      </c>
      <c r="E527" s="38" t="b">
        <f>dataset_A!G527</f>
        <v>0</v>
      </c>
      <c r="F527" s="38" t="b">
        <f>dataset_A!G527</f>
        <v>0</v>
      </c>
      <c r="G527" s="38" t="str">
        <f t="shared" si="1"/>
        <v>Weekday</v>
      </c>
      <c r="H527" s="38" t="str">
        <f t="shared" si="2"/>
        <v>Morning</v>
      </c>
      <c r="I527" s="38" t="str">
        <f>IF(dataset_A!C527=1,"Spring",IF(dataset_A!C527=2,"Summer",IF(dataset_A!C527=3,"Fail","Winter")))</f>
        <v>Spring</v>
      </c>
      <c r="J527" s="38" t="str">
        <f>IF(dataset_A!I527=1,"Clear",IF(dataset_A!I527,"Mist/Cloudy",IF(dataset_A!I527=3,"Light Rain/Snow","Heavy Rain/Snow")))</f>
        <v>Clear</v>
      </c>
      <c r="K527" s="38">
        <f>dataset_A!N527</f>
        <v>12</v>
      </c>
      <c r="L527" s="38">
        <f>dataset_A!O527</f>
        <v>34</v>
      </c>
      <c r="M527" s="38">
        <f>dataset_A!P527</f>
        <v>46</v>
      </c>
      <c r="N527" s="38" t="str">
        <f t="shared" si="3"/>
        <v>Ok</v>
      </c>
      <c r="O527" s="38" t="str">
        <f>IF(M527&gt;Analysis!$B$3*1.5,"High",IF(M527&lt;Analysis!$B$3*0.5,"Low","Medium"))</f>
        <v>Medium</v>
      </c>
      <c r="P527" s="38" t="str">
        <f>VLOOKUP(dataset_A!C527,$Q$2:$R$5,2,0)</f>
        <v>Spring</v>
      </c>
      <c r="S527" s="38" t="str">
        <f t="array" ref="S527">INDEX($R$2:$R$5,MATCH(dataset_A!C527,$Q$2:$Q$5,0))</f>
        <v>Spring</v>
      </c>
      <c r="T527" s="38" t="str">
        <f t="shared" si="4"/>
        <v>Match</v>
      </c>
    </row>
    <row r="528" ht="12.75" customHeight="1">
      <c r="A528" s="38">
        <f>dataset_A!A528</f>
        <v>536</v>
      </c>
      <c r="B528" s="39">
        <f>dataset_A!B528</f>
        <v>40567</v>
      </c>
      <c r="C528" s="38">
        <f>dataset_A!F528</f>
        <v>11</v>
      </c>
      <c r="D528" s="38">
        <f>dataset_A!H528</f>
        <v>1</v>
      </c>
      <c r="E528" s="38" t="b">
        <f>dataset_A!G528</f>
        <v>0</v>
      </c>
      <c r="F528" s="38" t="b">
        <f>dataset_A!G528</f>
        <v>0</v>
      </c>
      <c r="G528" s="38" t="str">
        <f t="shared" si="1"/>
        <v>Weekday</v>
      </c>
      <c r="H528" s="38" t="str">
        <f t="shared" si="2"/>
        <v>Morning</v>
      </c>
      <c r="I528" s="38" t="str">
        <f>IF(dataset_A!C528=1,"Spring",IF(dataset_A!C528=2,"Summer",IF(dataset_A!C528=3,"Fail","Winter")))</f>
        <v>Spring</v>
      </c>
      <c r="J528" s="38" t="str">
        <f>IF(dataset_A!I528=1,"Clear",IF(dataset_A!I528,"Mist/Cloudy",IF(dataset_A!I528=3,"Light Rain/Snow","Heavy Rain/Snow")))</f>
        <v>Clear</v>
      </c>
      <c r="K528" s="38">
        <f>dataset_A!N528</f>
        <v>3</v>
      </c>
      <c r="L528" s="38">
        <f>dataset_A!O528</f>
        <v>43</v>
      </c>
      <c r="M528" s="38">
        <f>dataset_A!P528</f>
        <v>46</v>
      </c>
      <c r="N528" s="38" t="str">
        <f t="shared" si="3"/>
        <v>Ok</v>
      </c>
      <c r="O528" s="38" t="str">
        <f>IF(M528&gt;Analysis!$B$3*1.5,"High",IF(M528&lt;Analysis!$B$3*0.5,"Low","Medium"))</f>
        <v>Medium</v>
      </c>
      <c r="P528" s="38" t="str">
        <f>VLOOKUP(dataset_A!C528,$Q$2:$R$5,2,0)</f>
        <v>Spring</v>
      </c>
      <c r="S528" s="38" t="str">
        <f t="array" ref="S528">INDEX($R$2:$R$5,MATCH(dataset_A!C528,$Q$2:$Q$5,0))</f>
        <v>Spring</v>
      </c>
      <c r="T528" s="38" t="str">
        <f t="shared" si="4"/>
        <v>Match</v>
      </c>
    </row>
    <row r="529" ht="12.75" customHeight="1">
      <c r="A529" s="38">
        <f>dataset_A!A529</f>
        <v>780</v>
      </c>
      <c r="B529" s="39">
        <f>dataset_A!B529</f>
        <v>40578</v>
      </c>
      <c r="C529" s="38">
        <f>dataset_A!F529</f>
        <v>22</v>
      </c>
      <c r="D529" s="38">
        <f>dataset_A!H529</f>
        <v>5</v>
      </c>
      <c r="E529" s="38" t="b">
        <f>dataset_A!G529</f>
        <v>0</v>
      </c>
      <c r="F529" s="38" t="b">
        <f>dataset_A!G529</f>
        <v>0</v>
      </c>
      <c r="G529" s="38" t="str">
        <f t="shared" si="1"/>
        <v>Weekday</v>
      </c>
      <c r="H529" s="38" t="str">
        <f t="shared" si="2"/>
        <v>Evening</v>
      </c>
      <c r="I529" s="38" t="str">
        <f>IF(dataset_A!C529=1,"Spring",IF(dataset_A!C529=2,"Summer",IF(dataset_A!C529=3,"Fail","Winter")))</f>
        <v>Spring</v>
      </c>
      <c r="J529" s="38" t="str">
        <f>IF(dataset_A!I529=1,"Clear",IF(dataset_A!I529,"Mist/Cloudy",IF(dataset_A!I529=3,"Light Rain/Snow","Heavy Rain/Snow")))</f>
        <v>Mist/Cloudy</v>
      </c>
      <c r="K529" s="38">
        <f>dataset_A!N529</f>
        <v>1</v>
      </c>
      <c r="L529" s="38">
        <f>dataset_A!O529</f>
        <v>45</v>
      </c>
      <c r="M529" s="38">
        <f>dataset_A!P529</f>
        <v>46</v>
      </c>
      <c r="N529" s="38" t="str">
        <f t="shared" si="3"/>
        <v>Ok</v>
      </c>
      <c r="O529" s="38" t="str">
        <f>IF(M529&gt;Analysis!$B$3*1.5,"High",IF(M529&lt;Analysis!$B$3*0.5,"Low","Medium"))</f>
        <v>Medium</v>
      </c>
      <c r="P529" s="38" t="str">
        <f>VLOOKUP(dataset_A!C529,$Q$2:$R$5,2,0)</f>
        <v>Spring</v>
      </c>
      <c r="S529" s="38" t="str">
        <f t="array" ref="S529">INDEX($R$2:$R$5,MATCH(dataset_A!C529,$Q$2:$Q$5,0))</f>
        <v>Spring</v>
      </c>
      <c r="T529" s="38" t="str">
        <f t="shared" si="4"/>
        <v>Match</v>
      </c>
    </row>
    <row r="530" ht="12.75" customHeight="1">
      <c r="A530" s="38">
        <f>dataset_A!A530</f>
        <v>899</v>
      </c>
      <c r="B530" s="39">
        <f>dataset_A!B530</f>
        <v>40583</v>
      </c>
      <c r="C530" s="38">
        <f>dataset_A!F530</f>
        <v>22</v>
      </c>
      <c r="D530" s="38">
        <f>dataset_A!H530</f>
        <v>3</v>
      </c>
      <c r="E530" s="38" t="b">
        <f>dataset_A!G530</f>
        <v>0</v>
      </c>
      <c r="F530" s="38" t="b">
        <f>dataset_A!G530</f>
        <v>0</v>
      </c>
      <c r="G530" s="38" t="str">
        <f t="shared" si="1"/>
        <v>Weekday</v>
      </c>
      <c r="H530" s="38" t="str">
        <f t="shared" si="2"/>
        <v>Evening</v>
      </c>
      <c r="I530" s="38" t="str">
        <f>IF(dataset_A!C530=1,"Spring",IF(dataset_A!C530=2,"Summer",IF(dataset_A!C530=3,"Fail","Winter")))</f>
        <v>Spring</v>
      </c>
      <c r="J530" s="38" t="str">
        <f>IF(dataset_A!I530=1,"Clear",IF(dataset_A!I530,"Mist/Cloudy",IF(dataset_A!I530=3,"Light Rain/Snow","Heavy Rain/Snow")))</f>
        <v>Mist/Cloudy</v>
      </c>
      <c r="K530" s="38">
        <f>dataset_A!N530</f>
        <v>4</v>
      </c>
      <c r="L530" s="38">
        <f>dataset_A!O530</f>
        <v>42</v>
      </c>
      <c r="M530" s="38">
        <f>dataset_A!P530</f>
        <v>46</v>
      </c>
      <c r="N530" s="38" t="str">
        <f t="shared" si="3"/>
        <v>Ok</v>
      </c>
      <c r="O530" s="38" t="str">
        <f>IF(M530&gt;Analysis!$B$3*1.5,"High",IF(M530&lt;Analysis!$B$3*0.5,"Low","Medium"))</f>
        <v>Medium</v>
      </c>
      <c r="P530" s="38" t="str">
        <f>VLOOKUP(dataset_A!C530,$Q$2:$R$5,2,0)</f>
        <v>Spring</v>
      </c>
      <c r="S530" s="38" t="str">
        <f t="array" ref="S530">INDEX($R$2:$R$5,MATCH(dataset_A!C530,$Q$2:$Q$5,0))</f>
        <v>Spring</v>
      </c>
      <c r="T530" s="38" t="str">
        <f t="shared" si="4"/>
        <v>Match</v>
      </c>
    </row>
    <row r="531" ht="12.75" customHeight="1">
      <c r="A531" s="38">
        <f>dataset_A!A531</f>
        <v>125</v>
      </c>
      <c r="B531" s="39">
        <f>dataset_A!B531</f>
        <v>40549</v>
      </c>
      <c r="C531" s="38">
        <f>dataset_A!F531</f>
        <v>10</v>
      </c>
      <c r="D531" s="38">
        <f>dataset_A!H531</f>
        <v>4</v>
      </c>
      <c r="E531" s="38" t="b">
        <f>dataset_A!G531</f>
        <v>0</v>
      </c>
      <c r="F531" s="38" t="b">
        <f>dataset_A!G531</f>
        <v>0</v>
      </c>
      <c r="G531" s="38" t="str">
        <f t="shared" si="1"/>
        <v>Weekday</v>
      </c>
      <c r="H531" s="38" t="str">
        <f t="shared" si="2"/>
        <v>Morning</v>
      </c>
      <c r="I531" s="38" t="str">
        <f>IF(dataset_A!C531=1,"Spring",IF(dataset_A!C531=2,"Summer",IF(dataset_A!C531=3,"Fail","Winter")))</f>
        <v>Spring</v>
      </c>
      <c r="J531" s="38" t="str">
        <f>IF(dataset_A!I531=1,"Clear",IF(dataset_A!I531,"Mist/Cloudy",IF(dataset_A!I531=3,"Light Rain/Snow","Heavy Rain/Snow")))</f>
        <v>Clear</v>
      </c>
      <c r="K531" s="38">
        <f>dataset_A!N531</f>
        <v>3</v>
      </c>
      <c r="L531" s="38">
        <f>dataset_A!O531</f>
        <v>42</v>
      </c>
      <c r="M531" s="38">
        <f>dataset_A!P531</f>
        <v>45</v>
      </c>
      <c r="N531" s="38" t="str">
        <f t="shared" si="3"/>
        <v>Ok</v>
      </c>
      <c r="O531" s="38" t="str">
        <f>IF(M531&gt;Analysis!$B$3*1.5,"High",IF(M531&lt;Analysis!$B$3*0.5,"Low","Medium"))</f>
        <v>Medium</v>
      </c>
      <c r="P531" s="38" t="str">
        <f>VLOOKUP(dataset_A!C531,$Q$2:$R$5,2,0)</f>
        <v>Spring</v>
      </c>
      <c r="S531" s="38" t="str">
        <f t="array" ref="S531">INDEX($R$2:$R$5,MATCH(dataset_A!C531,$Q$2:$Q$5,0))</f>
        <v>Spring</v>
      </c>
      <c r="T531" s="38" t="str">
        <f t="shared" si="4"/>
        <v>Match</v>
      </c>
    </row>
    <row r="532" ht="12.75" customHeight="1">
      <c r="A532" s="38">
        <f>dataset_A!A532</f>
        <v>225</v>
      </c>
      <c r="B532" s="39">
        <f>dataset_A!B532</f>
        <v>40553</v>
      </c>
      <c r="C532" s="38">
        <f>dataset_A!F532</f>
        <v>15</v>
      </c>
      <c r="D532" s="38">
        <f>dataset_A!H532</f>
        <v>1</v>
      </c>
      <c r="E532" s="38" t="b">
        <f>dataset_A!G532</f>
        <v>0</v>
      </c>
      <c r="F532" s="38" t="b">
        <f>dataset_A!G532</f>
        <v>0</v>
      </c>
      <c r="G532" s="38" t="str">
        <f t="shared" si="1"/>
        <v>Weekday</v>
      </c>
      <c r="H532" s="38" t="str">
        <f t="shared" si="2"/>
        <v>Afternoon</v>
      </c>
      <c r="I532" s="38" t="str">
        <f>IF(dataset_A!C532=1,"Spring",IF(dataset_A!C532=2,"Summer",IF(dataset_A!C532=3,"Fail","Winter")))</f>
        <v>Spring</v>
      </c>
      <c r="J532" s="38" t="str">
        <f>IF(dataset_A!I532=1,"Clear",IF(dataset_A!I532,"Mist/Cloudy",IF(dataset_A!I532=3,"Light Rain/Snow","Heavy Rain/Snow")))</f>
        <v>Mist/Cloudy</v>
      </c>
      <c r="K532" s="38">
        <f>dataset_A!N532</f>
        <v>2</v>
      </c>
      <c r="L532" s="38">
        <f>dataset_A!O532</f>
        <v>43</v>
      </c>
      <c r="M532" s="38">
        <f>dataset_A!P532</f>
        <v>45</v>
      </c>
      <c r="N532" s="38" t="str">
        <f t="shared" si="3"/>
        <v>Ok</v>
      </c>
      <c r="O532" s="38" t="str">
        <f>IF(M532&gt;Analysis!$B$3*1.5,"High",IF(M532&lt;Analysis!$B$3*0.5,"Low","Medium"))</f>
        <v>Medium</v>
      </c>
      <c r="P532" s="38" t="str">
        <f>VLOOKUP(dataset_A!C532,$Q$2:$R$5,2,0)</f>
        <v>Spring</v>
      </c>
      <c r="S532" s="38" t="str">
        <f t="array" ref="S532">INDEX($R$2:$R$5,MATCH(dataset_A!C532,$Q$2:$Q$5,0))</f>
        <v>Spring</v>
      </c>
      <c r="T532" s="38" t="str">
        <f t="shared" si="4"/>
        <v>Match</v>
      </c>
    </row>
    <row r="533" ht="12.75" customHeight="1">
      <c r="A533" s="38">
        <f>dataset_A!A533</f>
        <v>499</v>
      </c>
      <c r="B533" s="39">
        <f>dataset_A!B533</f>
        <v>40565</v>
      </c>
      <c r="C533" s="38">
        <f>dataset_A!F533</f>
        <v>20</v>
      </c>
      <c r="D533" s="38">
        <f>dataset_A!H533</f>
        <v>6</v>
      </c>
      <c r="E533" s="38" t="b">
        <f>dataset_A!G533</f>
        <v>0</v>
      </c>
      <c r="F533" s="38" t="b">
        <f>dataset_A!G533</f>
        <v>0</v>
      </c>
      <c r="G533" s="38" t="str">
        <f t="shared" si="1"/>
        <v>Weekend</v>
      </c>
      <c r="H533" s="38" t="str">
        <f t="shared" si="2"/>
        <v>Evening</v>
      </c>
      <c r="I533" s="38" t="str">
        <f>IF(dataset_A!C533=1,"Spring",IF(dataset_A!C533=2,"Summer",IF(dataset_A!C533=3,"Fail","Winter")))</f>
        <v>Spring</v>
      </c>
      <c r="J533" s="38" t="str">
        <f>IF(dataset_A!I533=1,"Clear",IF(dataset_A!I533,"Mist/Cloudy",IF(dataset_A!I533=3,"Light Rain/Snow","Heavy Rain/Snow")))</f>
        <v>Clear</v>
      </c>
      <c r="K533" s="38">
        <f>dataset_A!N533</f>
        <v>1</v>
      </c>
      <c r="L533" s="38">
        <f>dataset_A!O533</f>
        <v>44</v>
      </c>
      <c r="M533" s="38">
        <f>dataset_A!P533</f>
        <v>45</v>
      </c>
      <c r="N533" s="38" t="str">
        <f t="shared" si="3"/>
        <v>Ok</v>
      </c>
      <c r="O533" s="38" t="str">
        <f>IF(M533&gt;Analysis!$B$3*1.5,"High",IF(M533&lt;Analysis!$B$3*0.5,"Low","Medium"))</f>
        <v>Medium</v>
      </c>
      <c r="P533" s="38" t="str">
        <f>VLOOKUP(dataset_A!C533,$Q$2:$R$5,2,0)</f>
        <v>Spring</v>
      </c>
      <c r="S533" s="38" t="str">
        <f t="array" ref="S533">INDEX($R$2:$R$5,MATCH(dataset_A!C533,$Q$2:$Q$5,0))</f>
        <v>Spring</v>
      </c>
      <c r="T533" s="38" t="str">
        <f t="shared" si="4"/>
        <v>Match</v>
      </c>
    </row>
    <row r="534" ht="12.75" customHeight="1">
      <c r="A534" s="38">
        <f>dataset_A!A534</f>
        <v>539</v>
      </c>
      <c r="B534" s="39">
        <f>dataset_A!B534</f>
        <v>40567</v>
      </c>
      <c r="C534" s="38">
        <f>dataset_A!F534</f>
        <v>14</v>
      </c>
      <c r="D534" s="38">
        <f>dataset_A!H534</f>
        <v>1</v>
      </c>
      <c r="E534" s="38" t="b">
        <f>dataset_A!G534</f>
        <v>0</v>
      </c>
      <c r="F534" s="38" t="b">
        <f>dataset_A!G534</f>
        <v>0</v>
      </c>
      <c r="G534" s="38" t="str">
        <f t="shared" si="1"/>
        <v>Weekday</v>
      </c>
      <c r="H534" s="38" t="str">
        <f t="shared" si="2"/>
        <v>Afternoon</v>
      </c>
      <c r="I534" s="38" t="str">
        <f>IF(dataset_A!C534=1,"Spring",IF(dataset_A!C534=2,"Summer",IF(dataset_A!C534=3,"Fail","Winter")))</f>
        <v>Spring</v>
      </c>
      <c r="J534" s="38" t="str">
        <f>IF(dataset_A!I534=1,"Clear",IF(dataset_A!I534,"Mist/Cloudy",IF(dataset_A!I534=3,"Light Rain/Snow","Heavy Rain/Snow")))</f>
        <v>Mist/Cloudy</v>
      </c>
      <c r="K534" s="38">
        <f>dataset_A!N534</f>
        <v>2</v>
      </c>
      <c r="L534" s="38">
        <f>dataset_A!O534</f>
        <v>43</v>
      </c>
      <c r="M534" s="38">
        <f>dataset_A!P534</f>
        <v>45</v>
      </c>
      <c r="N534" s="38" t="str">
        <f t="shared" si="3"/>
        <v>Ok</v>
      </c>
      <c r="O534" s="38" t="str">
        <f>IF(M534&gt;Analysis!$B$3*1.5,"High",IF(M534&lt;Analysis!$B$3*0.5,"Low","Medium"))</f>
        <v>Medium</v>
      </c>
      <c r="P534" s="38" t="str">
        <f>VLOOKUP(dataset_A!C534,$Q$2:$R$5,2,0)</f>
        <v>Spring</v>
      </c>
      <c r="S534" s="38" t="str">
        <f t="array" ref="S534">INDEX($R$2:$R$5,MATCH(dataset_A!C534,$Q$2:$Q$5,0))</f>
        <v>Spring</v>
      </c>
      <c r="T534" s="38" t="str">
        <f t="shared" si="4"/>
        <v>Match</v>
      </c>
    </row>
    <row r="535" ht="12.75" customHeight="1">
      <c r="A535" s="38">
        <f>dataset_A!A535</f>
        <v>569</v>
      </c>
      <c r="B535" s="39">
        <f>dataset_A!B535</f>
        <v>40568</v>
      </c>
      <c r="C535" s="38">
        <f>dataset_A!F535</f>
        <v>21</v>
      </c>
      <c r="D535" s="38">
        <f>dataset_A!H535</f>
        <v>2</v>
      </c>
      <c r="E535" s="38" t="b">
        <f>dataset_A!G535</f>
        <v>0</v>
      </c>
      <c r="F535" s="38" t="b">
        <f>dataset_A!G535</f>
        <v>0</v>
      </c>
      <c r="G535" s="38" t="str">
        <f t="shared" si="1"/>
        <v>Weekday</v>
      </c>
      <c r="H535" s="38" t="str">
        <f t="shared" si="2"/>
        <v>Evening</v>
      </c>
      <c r="I535" s="38" t="str">
        <f>IF(dataset_A!C535=1,"Spring",IF(dataset_A!C535=2,"Summer",IF(dataset_A!C535=3,"Fail","Winter")))</f>
        <v>Spring</v>
      </c>
      <c r="J535" s="38" t="str">
        <f>IF(dataset_A!I535=1,"Clear",IF(dataset_A!I535,"Mist/Cloudy",IF(dataset_A!I535=3,"Light Rain/Snow","Heavy Rain/Snow")))</f>
        <v>Clear</v>
      </c>
      <c r="K535" s="38">
        <f>dataset_A!N535</f>
        <v>5</v>
      </c>
      <c r="L535" s="38">
        <f>dataset_A!O535</f>
        <v>40</v>
      </c>
      <c r="M535" s="38">
        <f>dataset_A!P535</f>
        <v>45</v>
      </c>
      <c r="N535" s="38" t="str">
        <f t="shared" si="3"/>
        <v>Ok</v>
      </c>
      <c r="O535" s="38" t="str">
        <f>IF(M535&gt;Analysis!$B$3*1.5,"High",IF(M535&lt;Analysis!$B$3*0.5,"Low","Medium"))</f>
        <v>Medium</v>
      </c>
      <c r="P535" s="38" t="str">
        <f>VLOOKUP(dataset_A!C535,$Q$2:$R$5,2,0)</f>
        <v>Spring</v>
      </c>
      <c r="S535" s="38" t="str">
        <f t="array" ref="S535">INDEX($R$2:$R$5,MATCH(dataset_A!C535,$Q$2:$Q$5,0))</f>
        <v>Spring</v>
      </c>
      <c r="T535" s="38" t="str">
        <f t="shared" si="4"/>
        <v>Match</v>
      </c>
    </row>
    <row r="536" ht="12.75" customHeight="1">
      <c r="A536" s="38">
        <f>dataset_A!A536</f>
        <v>804</v>
      </c>
      <c r="B536" s="39">
        <f>dataset_A!B536</f>
        <v>40579</v>
      </c>
      <c r="C536" s="38">
        <f>dataset_A!F536</f>
        <v>22</v>
      </c>
      <c r="D536" s="38">
        <f>dataset_A!H536</f>
        <v>6</v>
      </c>
      <c r="E536" s="38" t="b">
        <f>dataset_A!G536</f>
        <v>0</v>
      </c>
      <c r="F536" s="38" t="b">
        <f>dataset_A!G536</f>
        <v>0</v>
      </c>
      <c r="G536" s="38" t="str">
        <f t="shared" si="1"/>
        <v>Weekend</v>
      </c>
      <c r="H536" s="38" t="str">
        <f t="shared" si="2"/>
        <v>Evening</v>
      </c>
      <c r="I536" s="38" t="str">
        <f>IF(dataset_A!C536=1,"Spring",IF(dataset_A!C536=2,"Summer",IF(dataset_A!C536=3,"Fail","Winter")))</f>
        <v>Spring</v>
      </c>
      <c r="J536" s="38" t="str">
        <f>IF(dataset_A!I536=1,"Clear",IF(dataset_A!I536,"Mist/Cloudy",IF(dataset_A!I536=3,"Light Rain/Snow","Heavy Rain/Snow")))</f>
        <v>Clear</v>
      </c>
      <c r="K536" s="38">
        <f>dataset_A!N536</f>
        <v>2</v>
      </c>
      <c r="L536" s="38">
        <f>dataset_A!O536</f>
        <v>43</v>
      </c>
      <c r="M536" s="38">
        <f>dataset_A!P536</f>
        <v>45</v>
      </c>
      <c r="N536" s="38" t="str">
        <f t="shared" si="3"/>
        <v>Ok</v>
      </c>
      <c r="O536" s="38" t="str">
        <f>IF(M536&gt;Analysis!$B$3*1.5,"High",IF(M536&lt;Analysis!$B$3*0.5,"Low","Medium"))</f>
        <v>Medium</v>
      </c>
      <c r="P536" s="38" t="str">
        <f>VLOOKUP(dataset_A!C536,$Q$2:$R$5,2,0)</f>
        <v>Spring</v>
      </c>
      <c r="S536" s="38" t="str">
        <f t="array" ref="S536">INDEX($R$2:$R$5,MATCH(dataset_A!C536,$Q$2:$Q$5,0))</f>
        <v>Spring</v>
      </c>
      <c r="T536" s="38" t="str">
        <f t="shared" si="4"/>
        <v>Match</v>
      </c>
    </row>
    <row r="537" ht="12.75" customHeight="1">
      <c r="A537" s="38">
        <f>dataset_A!A537</f>
        <v>815</v>
      </c>
      <c r="B537" s="39">
        <f>dataset_A!B537</f>
        <v>40580</v>
      </c>
      <c r="C537" s="38">
        <f>dataset_A!F537</f>
        <v>9</v>
      </c>
      <c r="D537" s="38">
        <f>dataset_A!H537</f>
        <v>0</v>
      </c>
      <c r="E537" s="38" t="b">
        <f>dataset_A!G537</f>
        <v>0</v>
      </c>
      <c r="F537" s="38" t="b">
        <f>dataset_A!G537</f>
        <v>0</v>
      </c>
      <c r="G537" s="38" t="str">
        <f t="shared" si="1"/>
        <v>Weekend</v>
      </c>
      <c r="H537" s="38" t="str">
        <f t="shared" si="2"/>
        <v>Morning</v>
      </c>
      <c r="I537" s="38" t="str">
        <f>IF(dataset_A!C537=1,"Spring",IF(dataset_A!C537=2,"Summer",IF(dataset_A!C537=3,"Fail","Winter")))</f>
        <v>Spring</v>
      </c>
      <c r="J537" s="38" t="str">
        <f>IF(dataset_A!I537=1,"Clear",IF(dataset_A!I537,"Mist/Cloudy",IF(dataset_A!I537=3,"Light Rain/Snow","Heavy Rain/Snow")))</f>
        <v>Clear</v>
      </c>
      <c r="K537" s="38">
        <f>dataset_A!N537</f>
        <v>7</v>
      </c>
      <c r="L537" s="38">
        <f>dataset_A!O537</f>
        <v>38</v>
      </c>
      <c r="M537" s="38">
        <f>dataset_A!P537</f>
        <v>45</v>
      </c>
      <c r="N537" s="38" t="str">
        <f t="shared" si="3"/>
        <v>Ok</v>
      </c>
      <c r="O537" s="38" t="str">
        <f>IF(M537&gt;Analysis!$B$3*1.5,"High",IF(M537&lt;Analysis!$B$3*0.5,"Low","Medium"))</f>
        <v>Medium</v>
      </c>
      <c r="P537" s="38" t="str">
        <f>VLOOKUP(dataset_A!C537,$Q$2:$R$5,2,0)</f>
        <v>Spring</v>
      </c>
      <c r="S537" s="38" t="str">
        <f t="array" ref="S537">INDEX($R$2:$R$5,MATCH(dataset_A!C537,$Q$2:$Q$5,0))</f>
        <v>Spring</v>
      </c>
      <c r="T537" s="38" t="str">
        <f t="shared" si="4"/>
        <v>Match</v>
      </c>
    </row>
    <row r="538" ht="12.75" customHeight="1">
      <c r="A538" s="38">
        <f>dataset_A!A538</f>
        <v>911</v>
      </c>
      <c r="B538" s="39">
        <f>dataset_A!B538</f>
        <v>40584</v>
      </c>
      <c r="C538" s="38">
        <f>dataset_A!F538</f>
        <v>11</v>
      </c>
      <c r="D538" s="38">
        <f>dataset_A!H538</f>
        <v>4</v>
      </c>
      <c r="E538" s="38" t="b">
        <f>dataset_A!G538</f>
        <v>0</v>
      </c>
      <c r="F538" s="38" t="b">
        <f>dataset_A!G538</f>
        <v>0</v>
      </c>
      <c r="G538" s="38" t="str">
        <f t="shared" si="1"/>
        <v>Weekday</v>
      </c>
      <c r="H538" s="38" t="str">
        <f t="shared" si="2"/>
        <v>Morning</v>
      </c>
      <c r="I538" s="38" t="str">
        <f>IF(dataset_A!C538=1,"Spring",IF(dataset_A!C538=2,"Summer",IF(dataset_A!C538=3,"Fail","Winter")))</f>
        <v>Spring</v>
      </c>
      <c r="J538" s="38" t="str">
        <f>IF(dataset_A!I538=1,"Clear",IF(dataset_A!I538,"Mist/Cloudy",IF(dataset_A!I538=3,"Light Rain/Snow","Heavy Rain/Snow")))</f>
        <v>Clear</v>
      </c>
      <c r="K538" s="38">
        <f>dataset_A!N538</f>
        <v>1</v>
      </c>
      <c r="L538" s="38">
        <f>dataset_A!O538</f>
        <v>44</v>
      </c>
      <c r="M538" s="38">
        <f>dataset_A!P538</f>
        <v>45</v>
      </c>
      <c r="N538" s="38" t="str">
        <f t="shared" si="3"/>
        <v>Ok</v>
      </c>
      <c r="O538" s="38" t="str">
        <f>IF(M538&gt;Analysis!$B$3*1.5,"High",IF(M538&lt;Analysis!$B$3*0.5,"Low","Medium"))</f>
        <v>Medium</v>
      </c>
      <c r="P538" s="38" t="str">
        <f>VLOOKUP(dataset_A!C538,$Q$2:$R$5,2,0)</f>
        <v>Spring</v>
      </c>
      <c r="S538" s="38" t="str">
        <f t="array" ref="S538">INDEX($R$2:$R$5,MATCH(dataset_A!C538,$Q$2:$Q$5,0))</f>
        <v>Spring</v>
      </c>
      <c r="T538" s="38" t="str">
        <f t="shared" si="4"/>
        <v>Match</v>
      </c>
    </row>
    <row r="539" ht="12.75" customHeight="1">
      <c r="A539" s="38">
        <f>dataset_A!A539</f>
        <v>968</v>
      </c>
      <c r="B539" s="39">
        <f>dataset_A!B539</f>
        <v>40586</v>
      </c>
      <c r="C539" s="38">
        <f>dataset_A!F539</f>
        <v>22</v>
      </c>
      <c r="D539" s="38">
        <f>dataset_A!H539</f>
        <v>6</v>
      </c>
      <c r="E539" s="38" t="b">
        <f>dataset_A!G539</f>
        <v>0</v>
      </c>
      <c r="F539" s="38" t="b">
        <f>dataset_A!G539</f>
        <v>0</v>
      </c>
      <c r="G539" s="38" t="str">
        <f t="shared" si="1"/>
        <v>Weekend</v>
      </c>
      <c r="H539" s="38" t="str">
        <f t="shared" si="2"/>
        <v>Evening</v>
      </c>
      <c r="I539" s="38" t="str">
        <f>IF(dataset_A!C539=1,"Spring",IF(dataset_A!C539=2,"Summer",IF(dataset_A!C539=3,"Fail","Winter")))</f>
        <v>Spring</v>
      </c>
      <c r="J539" s="38" t="str">
        <f>IF(dataset_A!I539=1,"Clear",IF(dataset_A!I539,"Mist/Cloudy",IF(dataset_A!I539=3,"Light Rain/Snow","Heavy Rain/Snow")))</f>
        <v>Clear</v>
      </c>
      <c r="K539" s="38">
        <f>dataset_A!N539</f>
        <v>6</v>
      </c>
      <c r="L539" s="38">
        <f>dataset_A!O539</f>
        <v>39</v>
      </c>
      <c r="M539" s="38">
        <f>dataset_A!P539</f>
        <v>45</v>
      </c>
      <c r="N539" s="38" t="str">
        <f t="shared" si="3"/>
        <v>Ok</v>
      </c>
      <c r="O539" s="38" t="str">
        <f>IF(M539&gt;Analysis!$B$3*1.5,"High",IF(M539&lt;Analysis!$B$3*0.5,"Low","Medium"))</f>
        <v>Medium</v>
      </c>
      <c r="P539" s="38" t="str">
        <f>VLOOKUP(dataset_A!C539,$Q$2:$R$5,2,0)</f>
        <v>Spring</v>
      </c>
      <c r="S539" s="38" t="str">
        <f t="array" ref="S539">INDEX($R$2:$R$5,MATCH(dataset_A!C539,$Q$2:$Q$5,0))</f>
        <v>Spring</v>
      </c>
      <c r="T539" s="38" t="str">
        <f t="shared" si="4"/>
        <v>Match</v>
      </c>
    </row>
    <row r="540" ht="12.75" customHeight="1">
      <c r="A540" s="38">
        <f>dataset_A!A540</f>
        <v>56</v>
      </c>
      <c r="B540" s="39">
        <f>dataset_A!B540</f>
        <v>40546</v>
      </c>
      <c r="C540" s="38">
        <f>dataset_A!F540</f>
        <v>10</v>
      </c>
      <c r="D540" s="38">
        <f>dataset_A!H540</f>
        <v>1</v>
      </c>
      <c r="E540" s="38" t="b">
        <f>dataset_A!G540</f>
        <v>0</v>
      </c>
      <c r="F540" s="38" t="b">
        <f>dataset_A!G540</f>
        <v>0</v>
      </c>
      <c r="G540" s="38" t="str">
        <f t="shared" si="1"/>
        <v>Weekday</v>
      </c>
      <c r="H540" s="38" t="str">
        <f t="shared" si="2"/>
        <v>Morning</v>
      </c>
      <c r="I540" s="38" t="str">
        <f>IF(dataset_A!C540=1,"Spring",IF(dataset_A!C540=2,"Summer",IF(dataset_A!C540=3,"Fail","Winter")))</f>
        <v>Spring</v>
      </c>
      <c r="J540" s="38" t="str">
        <f>IF(dataset_A!I540=1,"Clear",IF(dataset_A!I540,"Mist/Cloudy",IF(dataset_A!I540=3,"Light Rain/Snow","Heavy Rain/Snow")))</f>
        <v>Clear</v>
      </c>
      <c r="K540" s="38">
        <f>dataset_A!N540</f>
        <v>11</v>
      </c>
      <c r="L540" s="38">
        <f>dataset_A!O540</f>
        <v>33</v>
      </c>
      <c r="M540" s="38">
        <f>dataset_A!P540</f>
        <v>44</v>
      </c>
      <c r="N540" s="38" t="str">
        <f t="shared" si="3"/>
        <v>Ok</v>
      </c>
      <c r="O540" s="38" t="str">
        <f>IF(M540&gt;Analysis!$B$3*1.5,"High",IF(M540&lt;Analysis!$B$3*0.5,"Low","Medium"))</f>
        <v>Medium</v>
      </c>
      <c r="P540" s="38" t="str">
        <f>VLOOKUP(dataset_A!C540,$Q$2:$R$5,2,0)</f>
        <v>Spring</v>
      </c>
      <c r="S540" s="38" t="str">
        <f t="array" ref="S540">INDEX($R$2:$R$5,MATCH(dataset_A!C540,$Q$2:$Q$5,0))</f>
        <v>Spring</v>
      </c>
      <c r="T540" s="38" t="str">
        <f t="shared" si="4"/>
        <v>Match</v>
      </c>
    </row>
    <row r="541" ht="12.75" customHeight="1">
      <c r="A541" s="38">
        <f>dataset_A!A541</f>
        <v>268</v>
      </c>
      <c r="B541" s="39">
        <f>dataset_A!B541</f>
        <v>40555</v>
      </c>
      <c r="C541" s="38">
        <f>dataset_A!F541</f>
        <v>14</v>
      </c>
      <c r="D541" s="38">
        <f>dataset_A!H541</f>
        <v>3</v>
      </c>
      <c r="E541" s="38" t="b">
        <f>dataset_A!G541</f>
        <v>0</v>
      </c>
      <c r="F541" s="38" t="b">
        <f>dataset_A!G541</f>
        <v>0</v>
      </c>
      <c r="G541" s="38" t="str">
        <f t="shared" si="1"/>
        <v>Weekday</v>
      </c>
      <c r="H541" s="38" t="str">
        <f t="shared" si="2"/>
        <v>Afternoon</v>
      </c>
      <c r="I541" s="38" t="str">
        <f>IF(dataset_A!C541=1,"Spring",IF(dataset_A!C541=2,"Summer",IF(dataset_A!C541=3,"Fail","Winter")))</f>
        <v>Spring</v>
      </c>
      <c r="J541" s="38" t="str">
        <f>IF(dataset_A!I541=1,"Clear",IF(dataset_A!I541,"Mist/Cloudy",IF(dataset_A!I541=3,"Light Rain/Snow","Heavy Rain/Snow")))</f>
        <v>Clear</v>
      </c>
      <c r="K541" s="38">
        <f>dataset_A!N541</f>
        <v>0</v>
      </c>
      <c r="L541" s="38">
        <f>dataset_A!O541</f>
        <v>44</v>
      </c>
      <c r="M541" s="38">
        <f>dataset_A!P541</f>
        <v>44</v>
      </c>
      <c r="N541" s="38" t="str">
        <f t="shared" si="3"/>
        <v>Ok</v>
      </c>
      <c r="O541" s="38" t="str">
        <f>IF(M541&gt;Analysis!$B$3*1.5,"High",IF(M541&lt;Analysis!$B$3*0.5,"Low","Medium"))</f>
        <v>Medium</v>
      </c>
      <c r="P541" s="38" t="str">
        <f>VLOOKUP(dataset_A!C541,$Q$2:$R$5,2,0)</f>
        <v>Spring</v>
      </c>
      <c r="S541" s="38" t="str">
        <f t="array" ref="S541">INDEX($R$2:$R$5,MATCH(dataset_A!C541,$Q$2:$Q$5,0))</f>
        <v>Spring</v>
      </c>
      <c r="T541" s="38" t="str">
        <f t="shared" si="4"/>
        <v>Match</v>
      </c>
    </row>
    <row r="542" ht="12.75" customHeight="1">
      <c r="A542" s="38">
        <f>dataset_A!A542</f>
        <v>311</v>
      </c>
      <c r="B542" s="39">
        <f>dataset_A!B542</f>
        <v>40557</v>
      </c>
      <c r="C542" s="38">
        <f>dataset_A!F542</f>
        <v>10</v>
      </c>
      <c r="D542" s="38">
        <f>dataset_A!H542</f>
        <v>5</v>
      </c>
      <c r="E542" s="38" t="b">
        <f>dataset_A!G542</f>
        <v>0</v>
      </c>
      <c r="F542" s="38" t="b">
        <f>dataset_A!G542</f>
        <v>0</v>
      </c>
      <c r="G542" s="38" t="str">
        <f t="shared" si="1"/>
        <v>Weekday</v>
      </c>
      <c r="H542" s="38" t="str">
        <f t="shared" si="2"/>
        <v>Morning</v>
      </c>
      <c r="I542" s="38" t="str">
        <f>IF(dataset_A!C542=1,"Spring",IF(dataset_A!C542=2,"Summer",IF(dataset_A!C542=3,"Fail","Winter")))</f>
        <v>Spring</v>
      </c>
      <c r="J542" s="38" t="str">
        <f>IF(dataset_A!I542=1,"Clear",IF(dataset_A!I542,"Mist/Cloudy",IF(dataset_A!I542=3,"Light Rain/Snow","Heavy Rain/Snow")))</f>
        <v>Clear</v>
      </c>
      <c r="K542" s="38">
        <f>dataset_A!N542</f>
        <v>4</v>
      </c>
      <c r="L542" s="38">
        <f>dataset_A!O542</f>
        <v>40</v>
      </c>
      <c r="M542" s="38">
        <f>dataset_A!P542</f>
        <v>44</v>
      </c>
      <c r="N542" s="38" t="str">
        <f t="shared" si="3"/>
        <v>Ok</v>
      </c>
      <c r="O542" s="38" t="str">
        <f>IF(M542&gt;Analysis!$B$3*1.5,"High",IF(M542&lt;Analysis!$B$3*0.5,"Low","Medium"))</f>
        <v>Medium</v>
      </c>
      <c r="P542" s="38" t="str">
        <f>VLOOKUP(dataset_A!C542,$Q$2:$R$5,2,0)</f>
        <v>Spring</v>
      </c>
      <c r="S542" s="38" t="str">
        <f t="array" ref="S542">INDEX($R$2:$R$5,MATCH(dataset_A!C542,$Q$2:$Q$5,0))</f>
        <v>Spring</v>
      </c>
      <c r="T542" s="38" t="str">
        <f t="shared" si="4"/>
        <v>Match</v>
      </c>
    </row>
    <row r="543" ht="12.75" customHeight="1">
      <c r="A543" s="38">
        <f>dataset_A!A543</f>
        <v>348</v>
      </c>
      <c r="B543" s="39">
        <f>dataset_A!B543</f>
        <v>40558</v>
      </c>
      <c r="C543" s="38">
        <f>dataset_A!F543</f>
        <v>23</v>
      </c>
      <c r="D543" s="38">
        <f>dataset_A!H543</f>
        <v>6</v>
      </c>
      <c r="E543" s="38" t="b">
        <f>dataset_A!G543</f>
        <v>0</v>
      </c>
      <c r="F543" s="38" t="b">
        <f>dataset_A!G543</f>
        <v>0</v>
      </c>
      <c r="G543" s="38" t="str">
        <f t="shared" si="1"/>
        <v>Weekend</v>
      </c>
      <c r="H543" s="38" t="str">
        <f t="shared" si="2"/>
        <v>Evening</v>
      </c>
      <c r="I543" s="38" t="str">
        <f>IF(dataset_A!C543=1,"Spring",IF(dataset_A!C543=2,"Summer",IF(dataset_A!C543=3,"Fail","Winter")))</f>
        <v>Spring</v>
      </c>
      <c r="J543" s="38" t="str">
        <f>IF(dataset_A!I543=1,"Clear",IF(dataset_A!I543,"Mist/Cloudy",IF(dataset_A!I543=3,"Light Rain/Snow","Heavy Rain/Snow")))</f>
        <v>Clear</v>
      </c>
      <c r="K543" s="38">
        <f>dataset_A!N543</f>
        <v>5</v>
      </c>
      <c r="L543" s="38">
        <f>dataset_A!O543</f>
        <v>39</v>
      </c>
      <c r="M543" s="38">
        <f>dataset_A!P543</f>
        <v>44</v>
      </c>
      <c r="N543" s="38" t="str">
        <f t="shared" si="3"/>
        <v>Ok</v>
      </c>
      <c r="O543" s="38" t="str">
        <f>IF(M543&gt;Analysis!$B$3*1.5,"High",IF(M543&lt;Analysis!$B$3*0.5,"Low","Medium"))</f>
        <v>Medium</v>
      </c>
      <c r="P543" s="38" t="str">
        <f>VLOOKUP(dataset_A!C543,$Q$2:$R$5,2,0)</f>
        <v>Spring</v>
      </c>
      <c r="S543" s="38" t="str">
        <f t="array" ref="S543">INDEX($R$2:$R$5,MATCH(dataset_A!C543,$Q$2:$Q$5,0))</f>
        <v>Spring</v>
      </c>
      <c r="T543" s="38" t="str">
        <f t="shared" si="4"/>
        <v>Match</v>
      </c>
    </row>
    <row r="544" ht="12.75" customHeight="1">
      <c r="A544" s="38">
        <f>dataset_A!A544</f>
        <v>680</v>
      </c>
      <c r="B544" s="39">
        <f>dataset_A!B544</f>
        <v>40574</v>
      </c>
      <c r="C544" s="38">
        <f>dataset_A!F544</f>
        <v>15</v>
      </c>
      <c r="D544" s="38">
        <f>dataset_A!H544</f>
        <v>1</v>
      </c>
      <c r="E544" s="38" t="b">
        <f>dataset_A!G544</f>
        <v>0</v>
      </c>
      <c r="F544" s="38" t="b">
        <f>dataset_A!G544</f>
        <v>0</v>
      </c>
      <c r="G544" s="38" t="str">
        <f t="shared" si="1"/>
        <v>Weekday</v>
      </c>
      <c r="H544" s="38" t="str">
        <f t="shared" si="2"/>
        <v>Afternoon</v>
      </c>
      <c r="I544" s="38" t="str">
        <f>IF(dataset_A!C544=1,"Spring",IF(dataset_A!C544=2,"Summer",IF(dataset_A!C544=3,"Fail","Winter")))</f>
        <v>Spring</v>
      </c>
      <c r="J544" s="38" t="str">
        <f>IF(dataset_A!I544=1,"Clear",IF(dataset_A!I544,"Mist/Cloudy",IF(dataset_A!I544=3,"Light Rain/Snow","Heavy Rain/Snow")))</f>
        <v>Mist/Cloudy</v>
      </c>
      <c r="K544" s="38">
        <f>dataset_A!N544</f>
        <v>3</v>
      </c>
      <c r="L544" s="38">
        <f>dataset_A!O544</f>
        <v>41</v>
      </c>
      <c r="M544" s="38">
        <f>dataset_A!P544</f>
        <v>44</v>
      </c>
      <c r="N544" s="38" t="str">
        <f t="shared" si="3"/>
        <v>Ok</v>
      </c>
      <c r="O544" s="38" t="str">
        <f>IF(M544&gt;Analysis!$B$3*1.5,"High",IF(M544&lt;Analysis!$B$3*0.5,"Low","Medium"))</f>
        <v>Medium</v>
      </c>
      <c r="P544" s="38" t="str">
        <f>VLOOKUP(dataset_A!C544,$Q$2:$R$5,2,0)</f>
        <v>Spring</v>
      </c>
      <c r="S544" s="38" t="str">
        <f t="array" ref="S544">INDEX($R$2:$R$5,MATCH(dataset_A!C544,$Q$2:$Q$5,0))</f>
        <v>Spring</v>
      </c>
      <c r="T544" s="38" t="str">
        <f t="shared" si="4"/>
        <v>Match</v>
      </c>
    </row>
    <row r="545" ht="12.75" customHeight="1">
      <c r="A545" s="38">
        <f>dataset_A!A545</f>
        <v>807</v>
      </c>
      <c r="B545" s="39">
        <f>dataset_A!B545</f>
        <v>40580</v>
      </c>
      <c r="C545" s="38">
        <f>dataset_A!F545</f>
        <v>1</v>
      </c>
      <c r="D545" s="38">
        <f>dataset_A!H545</f>
        <v>0</v>
      </c>
      <c r="E545" s="38" t="b">
        <f>dataset_A!G545</f>
        <v>0</v>
      </c>
      <c r="F545" s="38" t="b">
        <f>dataset_A!G545</f>
        <v>0</v>
      </c>
      <c r="G545" s="38" t="str">
        <f t="shared" si="1"/>
        <v>Weekend</v>
      </c>
      <c r="H545" s="38" t="str">
        <f t="shared" si="2"/>
        <v>Night</v>
      </c>
      <c r="I545" s="38" t="str">
        <f>IF(dataset_A!C545=1,"Spring",IF(dataset_A!C545=2,"Summer",IF(dataset_A!C545=3,"Fail","Winter")))</f>
        <v>Spring</v>
      </c>
      <c r="J545" s="38" t="str">
        <f>IF(dataset_A!I545=1,"Clear",IF(dataset_A!I545,"Mist/Cloudy",IF(dataset_A!I545=3,"Light Rain/Snow","Heavy Rain/Snow")))</f>
        <v>Clear</v>
      </c>
      <c r="K545" s="38">
        <f>dataset_A!N545</f>
        <v>4</v>
      </c>
      <c r="L545" s="38">
        <f>dataset_A!O545</f>
        <v>40</v>
      </c>
      <c r="M545" s="38">
        <f>dataset_A!P545</f>
        <v>44</v>
      </c>
      <c r="N545" s="38" t="str">
        <f t="shared" si="3"/>
        <v>Ok</v>
      </c>
      <c r="O545" s="38" t="str">
        <f>IF(M545&gt;Analysis!$B$3*1.5,"High",IF(M545&lt;Analysis!$B$3*0.5,"Low","Medium"))</f>
        <v>Medium</v>
      </c>
      <c r="P545" s="38" t="str">
        <f>VLOOKUP(dataset_A!C545,$Q$2:$R$5,2,0)</f>
        <v>Spring</v>
      </c>
      <c r="S545" s="38" t="str">
        <f t="array" ref="S545">INDEX($R$2:$R$5,MATCH(dataset_A!C545,$Q$2:$Q$5,0))</f>
        <v>Spring</v>
      </c>
      <c r="T545" s="38" t="str">
        <f t="shared" si="4"/>
        <v>Match</v>
      </c>
    </row>
    <row r="546" ht="12.75" customHeight="1">
      <c r="A546" s="38">
        <f>dataset_A!A546</f>
        <v>932</v>
      </c>
      <c r="B546" s="39">
        <f>dataset_A!B546</f>
        <v>40585</v>
      </c>
      <c r="C546" s="38">
        <f>dataset_A!F546</f>
        <v>10</v>
      </c>
      <c r="D546" s="38">
        <f>dataset_A!H546</f>
        <v>5</v>
      </c>
      <c r="E546" s="38" t="b">
        <f>dataset_A!G546</f>
        <v>0</v>
      </c>
      <c r="F546" s="38" t="b">
        <f>dataset_A!G546</f>
        <v>0</v>
      </c>
      <c r="G546" s="38" t="str">
        <f t="shared" si="1"/>
        <v>Weekday</v>
      </c>
      <c r="H546" s="38" t="str">
        <f t="shared" si="2"/>
        <v>Morning</v>
      </c>
      <c r="I546" s="38" t="str">
        <f>IF(dataset_A!C546=1,"Spring",IF(dataset_A!C546=2,"Summer",IF(dataset_A!C546=3,"Fail","Winter")))</f>
        <v>Spring</v>
      </c>
      <c r="J546" s="38" t="str">
        <f>IF(dataset_A!I546=1,"Clear",IF(dataset_A!I546,"Mist/Cloudy",IF(dataset_A!I546=3,"Light Rain/Snow","Heavy Rain/Snow")))</f>
        <v>Clear</v>
      </c>
      <c r="K546" s="38">
        <f>dataset_A!N546</f>
        <v>5</v>
      </c>
      <c r="L546" s="38">
        <f>dataset_A!O546</f>
        <v>39</v>
      </c>
      <c r="M546" s="38">
        <f>dataset_A!P546</f>
        <v>44</v>
      </c>
      <c r="N546" s="38" t="str">
        <f t="shared" si="3"/>
        <v>Ok</v>
      </c>
      <c r="O546" s="38" t="str">
        <f>IF(M546&gt;Analysis!$B$3*1.5,"High",IF(M546&lt;Analysis!$B$3*0.5,"Low","Medium"))</f>
        <v>Medium</v>
      </c>
      <c r="P546" s="38" t="str">
        <f>VLOOKUP(dataset_A!C546,$Q$2:$R$5,2,0)</f>
        <v>Spring</v>
      </c>
      <c r="S546" s="38" t="str">
        <f t="array" ref="S546">INDEX($R$2:$R$5,MATCH(dataset_A!C546,$Q$2:$Q$5,0))</f>
        <v>Spring</v>
      </c>
      <c r="T546" s="38" t="str">
        <f t="shared" si="4"/>
        <v>Match</v>
      </c>
    </row>
    <row r="547" ht="12.75" customHeight="1">
      <c r="A547" s="38">
        <f>dataset_A!A547</f>
        <v>113</v>
      </c>
      <c r="B547" s="39">
        <f>dataset_A!B547</f>
        <v>40548</v>
      </c>
      <c r="C547" s="38">
        <f>dataset_A!F547</f>
        <v>21</v>
      </c>
      <c r="D547" s="38">
        <f>dataset_A!H547</f>
        <v>3</v>
      </c>
      <c r="E547" s="38" t="b">
        <f>dataset_A!G547</f>
        <v>0</v>
      </c>
      <c r="F547" s="38" t="b">
        <f>dataset_A!G547</f>
        <v>0</v>
      </c>
      <c r="G547" s="38" t="str">
        <f t="shared" si="1"/>
        <v>Weekday</v>
      </c>
      <c r="H547" s="38" t="str">
        <f t="shared" si="2"/>
        <v>Evening</v>
      </c>
      <c r="I547" s="38" t="str">
        <f>IF(dataset_A!C547=1,"Spring",IF(dataset_A!C547=2,"Summer",IF(dataset_A!C547=3,"Fail","Winter")))</f>
        <v>Spring</v>
      </c>
      <c r="J547" s="38" t="str">
        <f>IF(dataset_A!I547=1,"Clear",IF(dataset_A!I547,"Mist/Cloudy",IF(dataset_A!I547=3,"Light Rain/Snow","Heavy Rain/Snow")))</f>
        <v>Clear</v>
      </c>
      <c r="K547" s="38">
        <f>dataset_A!N547</f>
        <v>3</v>
      </c>
      <c r="L547" s="38">
        <f>dataset_A!O547</f>
        <v>40</v>
      </c>
      <c r="M547" s="38">
        <f>dataset_A!P547</f>
        <v>43</v>
      </c>
      <c r="N547" s="38" t="str">
        <f t="shared" si="3"/>
        <v>Ok</v>
      </c>
      <c r="O547" s="38" t="str">
        <f>IF(M547&gt;Analysis!$B$3*1.5,"High",IF(M547&lt;Analysis!$B$3*0.5,"Low","Medium"))</f>
        <v>Medium</v>
      </c>
      <c r="P547" s="38" t="str">
        <f>VLOOKUP(dataset_A!C547,$Q$2:$R$5,2,0)</f>
        <v>Spring</v>
      </c>
      <c r="S547" s="38" t="str">
        <f t="array" ref="S547">INDEX($R$2:$R$5,MATCH(dataset_A!C547,$Q$2:$Q$5,0))</f>
        <v>Spring</v>
      </c>
      <c r="T547" s="38" t="str">
        <f t="shared" si="4"/>
        <v>Match</v>
      </c>
    </row>
    <row r="548" ht="12.75" customHeight="1">
      <c r="A548" s="38">
        <f>dataset_A!A548</f>
        <v>585</v>
      </c>
      <c r="B548" s="39">
        <f>dataset_A!B548</f>
        <v>40569</v>
      </c>
      <c r="C548" s="38">
        <f>dataset_A!F548</f>
        <v>15</v>
      </c>
      <c r="D548" s="38">
        <f>dataset_A!H548</f>
        <v>3</v>
      </c>
      <c r="E548" s="38" t="b">
        <f>dataset_A!G548</f>
        <v>0</v>
      </c>
      <c r="F548" s="38" t="b">
        <f>dataset_A!G548</f>
        <v>0</v>
      </c>
      <c r="G548" s="38" t="str">
        <f t="shared" si="1"/>
        <v>Weekday</v>
      </c>
      <c r="H548" s="38" t="str">
        <f t="shared" si="2"/>
        <v>Afternoon</v>
      </c>
      <c r="I548" s="38" t="str">
        <f>IF(dataset_A!C548=1,"Spring",IF(dataset_A!C548=2,"Summer",IF(dataset_A!C548=3,"Fail","Winter")))</f>
        <v>Spring</v>
      </c>
      <c r="J548" s="38" t="str">
        <f>IF(dataset_A!I548=1,"Clear",IF(dataset_A!I548,"Mist/Cloudy",IF(dataset_A!I548=3,"Light Rain/Snow","Heavy Rain/Snow")))</f>
        <v>Mist/Cloudy</v>
      </c>
      <c r="K548" s="38">
        <f>dataset_A!N548</f>
        <v>1</v>
      </c>
      <c r="L548" s="38">
        <f>dataset_A!O548</f>
        <v>42</v>
      </c>
      <c r="M548" s="38">
        <f>dataset_A!P548</f>
        <v>43</v>
      </c>
      <c r="N548" s="38" t="str">
        <f t="shared" si="3"/>
        <v>Ok</v>
      </c>
      <c r="O548" s="38" t="str">
        <f>IF(M548&gt;Analysis!$B$3*1.5,"High",IF(M548&lt;Analysis!$B$3*0.5,"Low","Medium"))</f>
        <v>Medium</v>
      </c>
      <c r="P548" s="38" t="str">
        <f>VLOOKUP(dataset_A!C548,$Q$2:$R$5,2,0)</f>
        <v>Spring</v>
      </c>
      <c r="S548" s="38" t="str">
        <f t="array" ref="S548">INDEX($R$2:$R$5,MATCH(dataset_A!C548,$Q$2:$Q$5,0))</f>
        <v>Spring</v>
      </c>
      <c r="T548" s="38" t="str">
        <f t="shared" si="4"/>
        <v>Match</v>
      </c>
    </row>
    <row r="549" ht="12.75" customHeight="1">
      <c r="A549" s="38">
        <f>dataset_A!A549</f>
        <v>638</v>
      </c>
      <c r="B549" s="39">
        <f>dataset_A!B549</f>
        <v>40572</v>
      </c>
      <c r="C549" s="38">
        <f>dataset_A!F549</f>
        <v>20</v>
      </c>
      <c r="D549" s="38">
        <f>dataset_A!H549</f>
        <v>6</v>
      </c>
      <c r="E549" s="38" t="b">
        <f>dataset_A!G549</f>
        <v>0</v>
      </c>
      <c r="F549" s="38" t="b">
        <f>dataset_A!G549</f>
        <v>0</v>
      </c>
      <c r="G549" s="38" t="str">
        <f t="shared" si="1"/>
        <v>Weekend</v>
      </c>
      <c r="H549" s="38" t="str">
        <f t="shared" si="2"/>
        <v>Evening</v>
      </c>
      <c r="I549" s="38" t="str">
        <f>IF(dataset_A!C549=1,"Spring",IF(dataset_A!C549=2,"Summer",IF(dataset_A!C549=3,"Fail","Winter")))</f>
        <v>Spring</v>
      </c>
      <c r="J549" s="38" t="str">
        <f>IF(dataset_A!I549=1,"Clear",IF(dataset_A!I549,"Mist/Cloudy",IF(dataset_A!I549=3,"Light Rain/Snow","Heavy Rain/Snow")))</f>
        <v>Clear</v>
      </c>
      <c r="K549" s="38">
        <f>dataset_A!N549</f>
        <v>1</v>
      </c>
      <c r="L549" s="38">
        <f>dataset_A!O549</f>
        <v>42</v>
      </c>
      <c r="M549" s="38">
        <f>dataset_A!P549</f>
        <v>43</v>
      </c>
      <c r="N549" s="38" t="str">
        <f t="shared" si="3"/>
        <v>Ok</v>
      </c>
      <c r="O549" s="38" t="str">
        <f>IF(M549&gt;Analysis!$B$3*1.5,"High",IF(M549&lt;Analysis!$B$3*0.5,"Low","Medium"))</f>
        <v>Medium</v>
      </c>
      <c r="P549" s="38" t="str">
        <f>VLOOKUP(dataset_A!C549,$Q$2:$R$5,2,0)</f>
        <v>Spring</v>
      </c>
      <c r="S549" s="38" t="str">
        <f t="array" ref="S549">INDEX($R$2:$R$5,MATCH(dataset_A!C549,$Q$2:$Q$5,0))</f>
        <v>Spring</v>
      </c>
      <c r="T549" s="38" t="str">
        <f t="shared" si="4"/>
        <v>Match</v>
      </c>
    </row>
    <row r="550" ht="12.75" customHeight="1">
      <c r="A550" s="38">
        <f>dataset_A!A550</f>
        <v>779</v>
      </c>
      <c r="B550" s="39">
        <f>dataset_A!B550</f>
        <v>40578</v>
      </c>
      <c r="C550" s="38">
        <f>dataset_A!F550</f>
        <v>21</v>
      </c>
      <c r="D550" s="38">
        <f>dataset_A!H550</f>
        <v>5</v>
      </c>
      <c r="E550" s="38" t="b">
        <f>dataset_A!G550</f>
        <v>0</v>
      </c>
      <c r="F550" s="38" t="b">
        <f>dataset_A!G550</f>
        <v>0</v>
      </c>
      <c r="G550" s="38" t="str">
        <f t="shared" si="1"/>
        <v>Weekday</v>
      </c>
      <c r="H550" s="38" t="str">
        <f t="shared" si="2"/>
        <v>Evening</v>
      </c>
      <c r="I550" s="38" t="str">
        <f>IF(dataset_A!C550=1,"Spring",IF(dataset_A!C550=2,"Summer",IF(dataset_A!C550=3,"Fail","Winter")))</f>
        <v>Spring</v>
      </c>
      <c r="J550" s="38" t="str">
        <f>IF(dataset_A!I550=1,"Clear",IF(dataset_A!I550,"Mist/Cloudy",IF(dataset_A!I550=3,"Light Rain/Snow","Heavy Rain/Snow")))</f>
        <v>Mist/Cloudy</v>
      </c>
      <c r="K550" s="38">
        <f>dataset_A!N550</f>
        <v>2</v>
      </c>
      <c r="L550" s="38">
        <f>dataset_A!O550</f>
        <v>41</v>
      </c>
      <c r="M550" s="38">
        <f>dataset_A!P550</f>
        <v>43</v>
      </c>
      <c r="N550" s="38" t="str">
        <f t="shared" si="3"/>
        <v>Ok</v>
      </c>
      <c r="O550" s="38" t="str">
        <f>IF(M550&gt;Analysis!$B$3*1.5,"High",IF(M550&lt;Analysis!$B$3*0.5,"Low","Medium"))</f>
        <v>Medium</v>
      </c>
      <c r="P550" s="38" t="str">
        <f>VLOOKUP(dataset_A!C550,$Q$2:$R$5,2,0)</f>
        <v>Spring</v>
      </c>
      <c r="S550" s="38" t="str">
        <f t="array" ref="S550">INDEX($R$2:$R$5,MATCH(dataset_A!C550,$Q$2:$Q$5,0))</f>
        <v>Spring</v>
      </c>
      <c r="T550" s="38" t="str">
        <f t="shared" si="4"/>
        <v>Match</v>
      </c>
    </row>
    <row r="551" ht="12.75" customHeight="1">
      <c r="A551" s="38">
        <f>dataset_A!A551</f>
        <v>883</v>
      </c>
      <c r="B551" s="39">
        <f>dataset_A!B551</f>
        <v>40583</v>
      </c>
      <c r="C551" s="38">
        <f>dataset_A!F551</f>
        <v>6</v>
      </c>
      <c r="D551" s="38">
        <f>dataset_A!H551</f>
        <v>3</v>
      </c>
      <c r="E551" s="38" t="b">
        <f>dataset_A!G551</f>
        <v>0</v>
      </c>
      <c r="F551" s="38" t="b">
        <f>dataset_A!G551</f>
        <v>0</v>
      </c>
      <c r="G551" s="38" t="str">
        <f t="shared" si="1"/>
        <v>Weekday</v>
      </c>
      <c r="H551" s="38" t="str">
        <f t="shared" si="2"/>
        <v>Morning</v>
      </c>
      <c r="I551" s="38" t="str">
        <f>IF(dataset_A!C551=1,"Spring",IF(dataset_A!C551=2,"Summer",IF(dataset_A!C551=3,"Fail","Winter")))</f>
        <v>Spring</v>
      </c>
      <c r="J551" s="38" t="str">
        <f>IF(dataset_A!I551=1,"Clear",IF(dataset_A!I551,"Mist/Cloudy",IF(dataset_A!I551=3,"Light Rain/Snow","Heavy Rain/Snow")))</f>
        <v>Clear</v>
      </c>
      <c r="K551" s="38">
        <f>dataset_A!N551</f>
        <v>0</v>
      </c>
      <c r="L551" s="38">
        <f>dataset_A!O551</f>
        <v>43</v>
      </c>
      <c r="M551" s="38">
        <f>dataset_A!P551</f>
        <v>43</v>
      </c>
      <c r="N551" s="38" t="str">
        <f t="shared" si="3"/>
        <v>Ok</v>
      </c>
      <c r="O551" s="38" t="str">
        <f>IF(M551&gt;Analysis!$B$3*1.5,"High",IF(M551&lt;Analysis!$B$3*0.5,"Low","Medium"))</f>
        <v>Medium</v>
      </c>
      <c r="P551" s="38" t="str">
        <f>VLOOKUP(dataset_A!C551,$Q$2:$R$5,2,0)</f>
        <v>Spring</v>
      </c>
      <c r="S551" s="38" t="str">
        <f t="array" ref="S551">INDEX($R$2:$R$5,MATCH(dataset_A!C551,$Q$2:$Q$5,0))</f>
        <v>Spring</v>
      </c>
      <c r="T551" s="38" t="str">
        <f t="shared" si="4"/>
        <v>Match</v>
      </c>
    </row>
    <row r="552" ht="12.75" customHeight="1">
      <c r="A552" s="38">
        <f>dataset_A!A552</f>
        <v>944</v>
      </c>
      <c r="B552" s="39">
        <f>dataset_A!B552</f>
        <v>40585</v>
      </c>
      <c r="C552" s="38">
        <f>dataset_A!F552</f>
        <v>22</v>
      </c>
      <c r="D552" s="38">
        <f>dataset_A!H552</f>
        <v>5</v>
      </c>
      <c r="E552" s="38" t="b">
        <f>dataset_A!G552</f>
        <v>0</v>
      </c>
      <c r="F552" s="38" t="b">
        <f>dataset_A!G552</f>
        <v>0</v>
      </c>
      <c r="G552" s="38" t="str">
        <f t="shared" si="1"/>
        <v>Weekday</v>
      </c>
      <c r="H552" s="38" t="str">
        <f t="shared" si="2"/>
        <v>Evening</v>
      </c>
      <c r="I552" s="38" t="str">
        <f>IF(dataset_A!C552=1,"Spring",IF(dataset_A!C552=2,"Summer",IF(dataset_A!C552=3,"Fail","Winter")))</f>
        <v>Spring</v>
      </c>
      <c r="J552" s="38" t="str">
        <f>IF(dataset_A!I552=1,"Clear",IF(dataset_A!I552,"Mist/Cloudy",IF(dataset_A!I552=3,"Light Rain/Snow","Heavy Rain/Snow")))</f>
        <v>Clear</v>
      </c>
      <c r="K552" s="38">
        <f>dataset_A!N552</f>
        <v>2</v>
      </c>
      <c r="L552" s="38">
        <f>dataset_A!O552</f>
        <v>41</v>
      </c>
      <c r="M552" s="38">
        <f>dataset_A!P552</f>
        <v>43</v>
      </c>
      <c r="N552" s="38" t="str">
        <f t="shared" si="3"/>
        <v>Ok</v>
      </c>
      <c r="O552" s="38" t="str">
        <f>IF(M552&gt;Analysis!$B$3*1.5,"High",IF(M552&lt;Analysis!$B$3*0.5,"Low","Medium"))</f>
        <v>Medium</v>
      </c>
      <c r="P552" s="38" t="str">
        <f>VLOOKUP(dataset_A!C552,$Q$2:$R$5,2,0)</f>
        <v>Spring</v>
      </c>
      <c r="S552" s="38" t="str">
        <f t="array" ref="S552">INDEX($R$2:$R$5,MATCH(dataset_A!C552,$Q$2:$Q$5,0))</f>
        <v>Spring</v>
      </c>
      <c r="T552" s="38" t="str">
        <f t="shared" si="4"/>
        <v>Match</v>
      </c>
    </row>
    <row r="553" ht="12.75" customHeight="1">
      <c r="A553" s="38">
        <f>dataset_A!A553</f>
        <v>955</v>
      </c>
      <c r="B553" s="39">
        <f>dataset_A!B553</f>
        <v>40586</v>
      </c>
      <c r="C553" s="38">
        <f>dataset_A!F553</f>
        <v>9</v>
      </c>
      <c r="D553" s="38">
        <f>dataset_A!H553</f>
        <v>6</v>
      </c>
      <c r="E553" s="38" t="b">
        <f>dataset_A!G553</f>
        <v>0</v>
      </c>
      <c r="F553" s="38" t="b">
        <f>dataset_A!G553</f>
        <v>0</v>
      </c>
      <c r="G553" s="38" t="str">
        <f t="shared" si="1"/>
        <v>Weekend</v>
      </c>
      <c r="H553" s="38" t="str">
        <f t="shared" si="2"/>
        <v>Morning</v>
      </c>
      <c r="I553" s="38" t="str">
        <f>IF(dataset_A!C553=1,"Spring",IF(dataset_A!C553=2,"Summer",IF(dataset_A!C553=3,"Fail","Winter")))</f>
        <v>Spring</v>
      </c>
      <c r="J553" s="38" t="str">
        <f>IF(dataset_A!I553=1,"Clear",IF(dataset_A!I553,"Mist/Cloudy",IF(dataset_A!I553=3,"Light Rain/Snow","Heavy Rain/Snow")))</f>
        <v>Clear</v>
      </c>
      <c r="K553" s="38">
        <f>dataset_A!N553</f>
        <v>5</v>
      </c>
      <c r="L553" s="38">
        <f>dataset_A!O553</f>
        <v>38</v>
      </c>
      <c r="M553" s="38">
        <f>dataset_A!P553</f>
        <v>43</v>
      </c>
      <c r="N553" s="38" t="str">
        <f t="shared" si="3"/>
        <v>Ok</v>
      </c>
      <c r="O553" s="38" t="str">
        <f>IF(M553&gt;Analysis!$B$3*1.5,"High",IF(M553&lt;Analysis!$B$3*0.5,"Low","Medium"))</f>
        <v>Medium</v>
      </c>
      <c r="P553" s="38" t="str">
        <f>VLOOKUP(dataset_A!C553,$Q$2:$R$5,2,0)</f>
        <v>Spring</v>
      </c>
      <c r="S553" s="38" t="str">
        <f t="array" ref="S553">INDEX($R$2:$R$5,MATCH(dataset_A!C553,$Q$2:$Q$5,0))</f>
        <v>Spring</v>
      </c>
      <c r="T553" s="38" t="str">
        <f t="shared" si="4"/>
        <v>Match</v>
      </c>
    </row>
    <row r="554" ht="12.75" customHeight="1">
      <c r="A554" s="38">
        <f>dataset_A!A554</f>
        <v>79</v>
      </c>
      <c r="B554" s="39">
        <f>dataset_A!B554</f>
        <v>40547</v>
      </c>
      <c r="C554" s="38">
        <f>dataset_A!F554</f>
        <v>10</v>
      </c>
      <c r="D554" s="38">
        <f>dataset_A!H554</f>
        <v>2</v>
      </c>
      <c r="E554" s="38" t="b">
        <f>dataset_A!G554</f>
        <v>0</v>
      </c>
      <c r="F554" s="38" t="b">
        <f>dataset_A!G554</f>
        <v>0</v>
      </c>
      <c r="G554" s="38" t="str">
        <f t="shared" si="1"/>
        <v>Weekday</v>
      </c>
      <c r="H554" s="38" t="str">
        <f t="shared" si="2"/>
        <v>Morning</v>
      </c>
      <c r="I554" s="38" t="str">
        <f>IF(dataset_A!C554=1,"Spring",IF(dataset_A!C554=2,"Summer",IF(dataset_A!C554=3,"Fail","Winter")))</f>
        <v>Spring</v>
      </c>
      <c r="J554" s="38" t="str">
        <f>IF(dataset_A!I554=1,"Clear",IF(dataset_A!I554,"Mist/Cloudy",IF(dataset_A!I554=3,"Light Rain/Snow","Heavy Rain/Snow")))</f>
        <v>Mist/Cloudy</v>
      </c>
      <c r="K554" s="38">
        <f>dataset_A!N554</f>
        <v>5</v>
      </c>
      <c r="L554" s="38">
        <f>dataset_A!O554</f>
        <v>37</v>
      </c>
      <c r="M554" s="38">
        <f>dataset_A!P554</f>
        <v>42</v>
      </c>
      <c r="N554" s="38" t="str">
        <f t="shared" si="3"/>
        <v>Ok</v>
      </c>
      <c r="O554" s="38" t="str">
        <f>IF(M554&gt;Analysis!$B$3*1.5,"High",IF(M554&lt;Analysis!$B$3*0.5,"Low","Medium"))</f>
        <v>Medium</v>
      </c>
      <c r="P554" s="38" t="str">
        <f>VLOOKUP(dataset_A!C554,$Q$2:$R$5,2,0)</f>
        <v>Spring</v>
      </c>
      <c r="S554" s="38" t="str">
        <f t="array" ref="S554">INDEX($R$2:$R$5,MATCH(dataset_A!C554,$Q$2:$Q$5,0))</f>
        <v>Spring</v>
      </c>
      <c r="T554" s="38" t="str">
        <f t="shared" si="4"/>
        <v>Match</v>
      </c>
    </row>
    <row r="555" ht="12.75" customHeight="1">
      <c r="A555" s="38">
        <f>dataset_A!A555</f>
        <v>114</v>
      </c>
      <c r="B555" s="39">
        <f>dataset_A!B555</f>
        <v>40548</v>
      </c>
      <c r="C555" s="38">
        <f>dataset_A!F555</f>
        <v>22</v>
      </c>
      <c r="D555" s="38">
        <f>dataset_A!H555</f>
        <v>3</v>
      </c>
      <c r="E555" s="38" t="b">
        <f>dataset_A!G555</f>
        <v>0</v>
      </c>
      <c r="F555" s="38" t="b">
        <f>dataset_A!G555</f>
        <v>0</v>
      </c>
      <c r="G555" s="38" t="str">
        <f t="shared" si="1"/>
        <v>Weekday</v>
      </c>
      <c r="H555" s="38" t="str">
        <f t="shared" si="2"/>
        <v>Evening</v>
      </c>
      <c r="I555" s="38" t="str">
        <f>IF(dataset_A!C555=1,"Spring",IF(dataset_A!C555=2,"Summer",IF(dataset_A!C555=3,"Fail","Winter")))</f>
        <v>Spring</v>
      </c>
      <c r="J555" s="38" t="str">
        <f>IF(dataset_A!I555=1,"Clear",IF(dataset_A!I555,"Mist/Cloudy",IF(dataset_A!I555=3,"Light Rain/Snow","Heavy Rain/Snow")))</f>
        <v>Clear</v>
      </c>
      <c r="K555" s="38">
        <f>dataset_A!N555</f>
        <v>1</v>
      </c>
      <c r="L555" s="38">
        <f>dataset_A!O555</f>
        <v>41</v>
      </c>
      <c r="M555" s="38">
        <f>dataset_A!P555</f>
        <v>42</v>
      </c>
      <c r="N555" s="38" t="str">
        <f t="shared" si="3"/>
        <v>Ok</v>
      </c>
      <c r="O555" s="38" t="str">
        <f>IF(M555&gt;Analysis!$B$3*1.5,"High",IF(M555&lt;Analysis!$B$3*0.5,"Low","Medium"))</f>
        <v>Medium</v>
      </c>
      <c r="P555" s="38" t="str">
        <f>VLOOKUP(dataset_A!C555,$Q$2:$R$5,2,0)</f>
        <v>Spring</v>
      </c>
      <c r="S555" s="38" t="str">
        <f t="array" ref="S555">INDEX($R$2:$R$5,MATCH(dataset_A!C555,$Q$2:$Q$5,0))</f>
        <v>Spring</v>
      </c>
      <c r="T555" s="38" t="str">
        <f t="shared" si="4"/>
        <v>Match</v>
      </c>
    </row>
    <row r="556" ht="12.75" customHeight="1">
      <c r="A556" s="38">
        <f>dataset_A!A556</f>
        <v>292</v>
      </c>
      <c r="B556" s="39">
        <f>dataset_A!B556</f>
        <v>40556</v>
      </c>
      <c r="C556" s="38">
        <f>dataset_A!F556</f>
        <v>14</v>
      </c>
      <c r="D556" s="38">
        <f>dataset_A!H556</f>
        <v>4</v>
      </c>
      <c r="E556" s="38" t="b">
        <f>dataset_A!G556</f>
        <v>0</v>
      </c>
      <c r="F556" s="38" t="b">
        <f>dataset_A!G556</f>
        <v>0</v>
      </c>
      <c r="G556" s="38" t="str">
        <f t="shared" si="1"/>
        <v>Weekday</v>
      </c>
      <c r="H556" s="38" t="str">
        <f t="shared" si="2"/>
        <v>Afternoon</v>
      </c>
      <c r="I556" s="38" t="str">
        <f>IF(dataset_A!C556=1,"Spring",IF(dataset_A!C556=2,"Summer",IF(dataset_A!C556=3,"Fail","Winter")))</f>
        <v>Spring</v>
      </c>
      <c r="J556" s="38" t="str">
        <f>IF(dataset_A!I556=1,"Clear",IF(dataset_A!I556,"Mist/Cloudy",IF(dataset_A!I556=3,"Light Rain/Snow","Heavy Rain/Snow")))</f>
        <v>Clear</v>
      </c>
      <c r="K556" s="38">
        <f>dataset_A!N556</f>
        <v>3</v>
      </c>
      <c r="L556" s="38">
        <f>dataset_A!O556</f>
        <v>39</v>
      </c>
      <c r="M556" s="38">
        <f>dataset_A!P556</f>
        <v>42</v>
      </c>
      <c r="N556" s="38" t="str">
        <f t="shared" si="3"/>
        <v>Ok</v>
      </c>
      <c r="O556" s="38" t="str">
        <f>IF(M556&gt;Analysis!$B$3*1.5,"High",IF(M556&lt;Analysis!$B$3*0.5,"Low","Medium"))</f>
        <v>Medium</v>
      </c>
      <c r="P556" s="38" t="str">
        <f>VLOOKUP(dataset_A!C556,$Q$2:$R$5,2,0)</f>
        <v>Spring</v>
      </c>
      <c r="S556" s="38" t="str">
        <f t="array" ref="S556">INDEX($R$2:$R$5,MATCH(dataset_A!C556,$Q$2:$Q$5,0))</f>
        <v>Spring</v>
      </c>
      <c r="T556" s="38" t="str">
        <f t="shared" si="4"/>
        <v>Match</v>
      </c>
    </row>
    <row r="557" ht="12.75" customHeight="1">
      <c r="A557" s="38">
        <f>dataset_A!A557</f>
        <v>205</v>
      </c>
      <c r="B557" s="39">
        <f>dataset_A!B557</f>
        <v>40552</v>
      </c>
      <c r="C557" s="38">
        <f>dataset_A!F557</f>
        <v>19</v>
      </c>
      <c r="D557" s="38">
        <f>dataset_A!H557</f>
        <v>0</v>
      </c>
      <c r="E557" s="38" t="b">
        <f>dataset_A!G557</f>
        <v>0</v>
      </c>
      <c r="F557" s="38" t="b">
        <f>dataset_A!G557</f>
        <v>0</v>
      </c>
      <c r="G557" s="38" t="str">
        <f t="shared" si="1"/>
        <v>Weekend</v>
      </c>
      <c r="H557" s="38" t="str">
        <f t="shared" si="2"/>
        <v>Evening</v>
      </c>
      <c r="I557" s="38" t="str">
        <f>IF(dataset_A!C557=1,"Spring",IF(dataset_A!C557=2,"Summer",IF(dataset_A!C557=3,"Fail","Winter")))</f>
        <v>Spring</v>
      </c>
      <c r="J557" s="38" t="str">
        <f>IF(dataset_A!I557=1,"Clear",IF(dataset_A!I557,"Mist/Cloudy",IF(dataset_A!I557=3,"Light Rain/Snow","Heavy Rain/Snow")))</f>
        <v>Clear</v>
      </c>
      <c r="K557" s="38">
        <f>dataset_A!N557</f>
        <v>1</v>
      </c>
      <c r="L557" s="38">
        <f>dataset_A!O557</f>
        <v>40</v>
      </c>
      <c r="M557" s="38">
        <f>dataset_A!P557</f>
        <v>41</v>
      </c>
      <c r="N557" s="38" t="str">
        <f t="shared" si="3"/>
        <v>Ok</v>
      </c>
      <c r="O557" s="38" t="str">
        <f>IF(M557&gt;Analysis!$B$3*1.5,"High",IF(M557&lt;Analysis!$B$3*0.5,"Low","Medium"))</f>
        <v>Medium</v>
      </c>
      <c r="P557" s="38" t="str">
        <f>VLOOKUP(dataset_A!C557,$Q$2:$R$5,2,0)</f>
        <v>Spring</v>
      </c>
      <c r="S557" s="38" t="str">
        <f t="array" ref="S557">INDEX($R$2:$R$5,MATCH(dataset_A!C557,$Q$2:$Q$5,0))</f>
        <v>Spring</v>
      </c>
      <c r="T557" s="38" t="str">
        <f t="shared" si="4"/>
        <v>Match</v>
      </c>
    </row>
    <row r="558" ht="12.75" customHeight="1">
      <c r="A558" s="38">
        <f>dataset_A!A558</f>
        <v>345</v>
      </c>
      <c r="B558" s="39">
        <f>dataset_A!B558</f>
        <v>40558</v>
      </c>
      <c r="C558" s="38">
        <f>dataset_A!F558</f>
        <v>20</v>
      </c>
      <c r="D558" s="38">
        <f>dataset_A!H558</f>
        <v>6</v>
      </c>
      <c r="E558" s="38" t="b">
        <f>dataset_A!G558</f>
        <v>0</v>
      </c>
      <c r="F558" s="38" t="b">
        <f>dataset_A!G558</f>
        <v>0</v>
      </c>
      <c r="G558" s="38" t="str">
        <f t="shared" si="1"/>
        <v>Weekend</v>
      </c>
      <c r="H558" s="38" t="str">
        <f t="shared" si="2"/>
        <v>Evening</v>
      </c>
      <c r="I558" s="38" t="str">
        <f>IF(dataset_A!C558=1,"Spring",IF(dataset_A!C558=2,"Summer",IF(dataset_A!C558=3,"Fail","Winter")))</f>
        <v>Spring</v>
      </c>
      <c r="J558" s="38" t="str">
        <f>IF(dataset_A!I558=1,"Clear",IF(dataset_A!I558,"Mist/Cloudy",IF(dataset_A!I558=3,"Light Rain/Snow","Heavy Rain/Snow")))</f>
        <v>Mist/Cloudy</v>
      </c>
      <c r="K558" s="38">
        <f>dataset_A!N558</f>
        <v>6</v>
      </c>
      <c r="L558" s="38">
        <f>dataset_A!O558</f>
        <v>35</v>
      </c>
      <c r="M558" s="38">
        <f>dataset_A!P558</f>
        <v>41</v>
      </c>
      <c r="N558" s="38" t="str">
        <f t="shared" si="3"/>
        <v>Ok</v>
      </c>
      <c r="O558" s="38" t="str">
        <f>IF(M558&gt;Analysis!$B$3*1.5,"High",IF(M558&lt;Analysis!$B$3*0.5,"Low","Medium"))</f>
        <v>Medium</v>
      </c>
      <c r="P558" s="38" t="str">
        <f>VLOOKUP(dataset_A!C558,$Q$2:$R$5,2,0)</f>
        <v>Spring</v>
      </c>
      <c r="S558" s="38" t="str">
        <f t="array" ref="S558">INDEX($R$2:$R$5,MATCH(dataset_A!C558,$Q$2:$Q$5,0))</f>
        <v>Spring</v>
      </c>
      <c r="T558" s="38" t="str">
        <f t="shared" si="4"/>
        <v>Match</v>
      </c>
    </row>
    <row r="559" ht="12.75" customHeight="1">
      <c r="A559" s="38">
        <f>dataset_A!A559</f>
        <v>406</v>
      </c>
      <c r="B559" s="39">
        <f>dataset_A!B559</f>
        <v>40561</v>
      </c>
      <c r="C559" s="38">
        <f>dataset_A!F559</f>
        <v>21</v>
      </c>
      <c r="D559" s="38">
        <f>dataset_A!H559</f>
        <v>2</v>
      </c>
      <c r="E559" s="38" t="b">
        <f>dataset_A!G559</f>
        <v>0</v>
      </c>
      <c r="F559" s="38" t="b">
        <f>dataset_A!G559</f>
        <v>0</v>
      </c>
      <c r="G559" s="38" t="str">
        <f t="shared" si="1"/>
        <v>Weekday</v>
      </c>
      <c r="H559" s="38" t="str">
        <f t="shared" si="2"/>
        <v>Evening</v>
      </c>
      <c r="I559" s="38" t="str">
        <f>IF(dataset_A!C559=1,"Spring",IF(dataset_A!C559=2,"Summer",IF(dataset_A!C559=3,"Fail","Winter")))</f>
        <v>Spring</v>
      </c>
      <c r="J559" s="38" t="str">
        <f>IF(dataset_A!I559=1,"Clear",IF(dataset_A!I559,"Mist/Cloudy",IF(dataset_A!I559=3,"Light Rain/Snow","Heavy Rain/Snow")))</f>
        <v>Mist/Cloudy</v>
      </c>
      <c r="K559" s="38">
        <f>dataset_A!N559</f>
        <v>0</v>
      </c>
      <c r="L559" s="38">
        <f>dataset_A!O559</f>
        <v>41</v>
      </c>
      <c r="M559" s="38">
        <f>dataset_A!P559</f>
        <v>41</v>
      </c>
      <c r="N559" s="38" t="str">
        <f t="shared" si="3"/>
        <v>Ok</v>
      </c>
      <c r="O559" s="38" t="str">
        <f>IF(M559&gt;Analysis!$B$3*1.5,"High",IF(M559&lt;Analysis!$B$3*0.5,"Low","Medium"))</f>
        <v>Medium</v>
      </c>
      <c r="P559" s="38" t="str">
        <f>VLOOKUP(dataset_A!C559,$Q$2:$R$5,2,0)</f>
        <v>Spring</v>
      </c>
      <c r="S559" s="38" t="str">
        <f t="array" ref="S559">INDEX($R$2:$R$5,MATCH(dataset_A!C559,$Q$2:$Q$5,0))</f>
        <v>Spring</v>
      </c>
      <c r="T559" s="38" t="str">
        <f t="shared" si="4"/>
        <v>Match</v>
      </c>
    </row>
    <row r="560" ht="12.75" customHeight="1">
      <c r="A560" s="38">
        <f>dataset_A!A560</f>
        <v>477</v>
      </c>
      <c r="B560" s="39">
        <f>dataset_A!B560</f>
        <v>40564</v>
      </c>
      <c r="C560" s="38">
        <f>dataset_A!F560</f>
        <v>21</v>
      </c>
      <c r="D560" s="38">
        <f>dataset_A!H560</f>
        <v>5</v>
      </c>
      <c r="E560" s="38" t="b">
        <f>dataset_A!G560</f>
        <v>0</v>
      </c>
      <c r="F560" s="38" t="b">
        <f>dataset_A!G560</f>
        <v>0</v>
      </c>
      <c r="G560" s="38" t="str">
        <f t="shared" si="1"/>
        <v>Weekday</v>
      </c>
      <c r="H560" s="38" t="str">
        <f t="shared" si="2"/>
        <v>Evening</v>
      </c>
      <c r="I560" s="38" t="str">
        <f>IF(dataset_A!C560=1,"Spring",IF(dataset_A!C560=2,"Summer",IF(dataset_A!C560=3,"Fail","Winter")))</f>
        <v>Spring</v>
      </c>
      <c r="J560" s="38" t="str">
        <f>IF(dataset_A!I560=1,"Clear",IF(dataset_A!I560,"Mist/Cloudy",IF(dataset_A!I560=3,"Light Rain/Snow","Heavy Rain/Snow")))</f>
        <v>Clear</v>
      </c>
      <c r="K560" s="38">
        <f>dataset_A!N560</f>
        <v>0</v>
      </c>
      <c r="L560" s="38">
        <f>dataset_A!O560</f>
        <v>41</v>
      </c>
      <c r="M560" s="38">
        <f>dataset_A!P560</f>
        <v>41</v>
      </c>
      <c r="N560" s="38" t="str">
        <f t="shared" si="3"/>
        <v>Ok</v>
      </c>
      <c r="O560" s="38" t="str">
        <f>IF(M560&gt;Analysis!$B$3*1.5,"High",IF(M560&lt;Analysis!$B$3*0.5,"Low","Medium"))</f>
        <v>Medium</v>
      </c>
      <c r="P560" s="38" t="str">
        <f>VLOOKUP(dataset_A!C560,$Q$2:$R$5,2,0)</f>
        <v>Spring</v>
      </c>
      <c r="S560" s="38" t="str">
        <f t="array" ref="S560">INDEX($R$2:$R$5,MATCH(dataset_A!C560,$Q$2:$Q$5,0))</f>
        <v>Spring</v>
      </c>
      <c r="T560" s="38" t="str">
        <f t="shared" si="4"/>
        <v>Match</v>
      </c>
    </row>
    <row r="561" ht="12.75" customHeight="1">
      <c r="A561" s="38">
        <f>dataset_A!A561</f>
        <v>581</v>
      </c>
      <c r="B561" s="39">
        <f>dataset_A!B561</f>
        <v>40569</v>
      </c>
      <c r="C561" s="38">
        <f>dataset_A!F561</f>
        <v>11</v>
      </c>
      <c r="D561" s="38">
        <f>dataset_A!H561</f>
        <v>3</v>
      </c>
      <c r="E561" s="38" t="b">
        <f>dataset_A!G561</f>
        <v>0</v>
      </c>
      <c r="F561" s="38" t="b">
        <f>dataset_A!G561</f>
        <v>0</v>
      </c>
      <c r="G561" s="38" t="str">
        <f t="shared" si="1"/>
        <v>Weekday</v>
      </c>
      <c r="H561" s="38" t="str">
        <f t="shared" si="2"/>
        <v>Morning</v>
      </c>
      <c r="I561" s="38" t="str">
        <f>IF(dataset_A!C561=1,"Spring",IF(dataset_A!C561=2,"Summer",IF(dataset_A!C561=3,"Fail","Winter")))</f>
        <v>Spring</v>
      </c>
      <c r="J561" s="38" t="str">
        <f>IF(dataset_A!I561=1,"Clear",IF(dataset_A!I561,"Mist/Cloudy",IF(dataset_A!I561=3,"Light Rain/Snow","Heavy Rain/Snow")))</f>
        <v>Mist/Cloudy</v>
      </c>
      <c r="K561" s="38">
        <f>dataset_A!N561</f>
        <v>6</v>
      </c>
      <c r="L561" s="38">
        <f>dataset_A!O561</f>
        <v>35</v>
      </c>
      <c r="M561" s="38">
        <f>dataset_A!P561</f>
        <v>41</v>
      </c>
      <c r="N561" s="38" t="str">
        <f t="shared" si="3"/>
        <v>Ok</v>
      </c>
      <c r="O561" s="38" t="str">
        <f>IF(M561&gt;Analysis!$B$3*1.5,"High",IF(M561&lt;Analysis!$B$3*0.5,"Low","Medium"))</f>
        <v>Medium</v>
      </c>
      <c r="P561" s="38" t="str">
        <f>VLOOKUP(dataset_A!C561,$Q$2:$R$5,2,0)</f>
        <v>Spring</v>
      </c>
      <c r="S561" s="38" t="str">
        <f t="array" ref="S561">INDEX($R$2:$R$5,MATCH(dataset_A!C561,$Q$2:$Q$5,0))</f>
        <v>Spring</v>
      </c>
      <c r="T561" s="38" t="str">
        <f t="shared" si="4"/>
        <v>Match</v>
      </c>
    </row>
    <row r="562" ht="12.75" customHeight="1">
      <c r="A562" s="38">
        <f>dataset_A!A562</f>
        <v>610</v>
      </c>
      <c r="B562" s="39">
        <f>dataset_A!B562</f>
        <v>40571</v>
      </c>
      <c r="C562" s="38">
        <f>dataset_A!F562</f>
        <v>15</v>
      </c>
      <c r="D562" s="38">
        <f>dataset_A!H562</f>
        <v>5</v>
      </c>
      <c r="E562" s="38" t="b">
        <f>dataset_A!G562</f>
        <v>0</v>
      </c>
      <c r="F562" s="38" t="b">
        <f>dataset_A!G562</f>
        <v>0</v>
      </c>
      <c r="G562" s="38" t="str">
        <f t="shared" si="1"/>
        <v>Weekday</v>
      </c>
      <c r="H562" s="38" t="str">
        <f t="shared" si="2"/>
        <v>Afternoon</v>
      </c>
      <c r="I562" s="38" t="str">
        <f>IF(dataset_A!C562=1,"Spring",IF(dataset_A!C562=2,"Summer",IF(dataset_A!C562=3,"Fail","Winter")))</f>
        <v>Spring</v>
      </c>
      <c r="J562" s="38" t="str">
        <f>IF(dataset_A!I562=1,"Clear",IF(dataset_A!I562,"Mist/Cloudy",IF(dataset_A!I562=3,"Light Rain/Snow","Heavy Rain/Snow")))</f>
        <v>Mist/Cloudy</v>
      </c>
      <c r="K562" s="38">
        <f>dataset_A!N562</f>
        <v>1</v>
      </c>
      <c r="L562" s="38">
        <f>dataset_A!O562</f>
        <v>40</v>
      </c>
      <c r="M562" s="38">
        <f>dataset_A!P562</f>
        <v>41</v>
      </c>
      <c r="N562" s="38" t="str">
        <f t="shared" si="3"/>
        <v>Ok</v>
      </c>
      <c r="O562" s="38" t="str">
        <f>IF(M562&gt;Analysis!$B$3*1.5,"High",IF(M562&lt;Analysis!$B$3*0.5,"Low","Medium"))</f>
        <v>Medium</v>
      </c>
      <c r="P562" s="38" t="str">
        <f>VLOOKUP(dataset_A!C562,$Q$2:$R$5,2,0)</f>
        <v>Spring</v>
      </c>
      <c r="S562" s="38" t="str">
        <f t="array" ref="S562">INDEX($R$2:$R$5,MATCH(dataset_A!C562,$Q$2:$Q$5,0))</f>
        <v>Spring</v>
      </c>
      <c r="T562" s="38" t="str">
        <f t="shared" si="4"/>
        <v>Match</v>
      </c>
    </row>
    <row r="563" ht="12.75" customHeight="1">
      <c r="A563" s="38">
        <f>dataset_A!A563</f>
        <v>757</v>
      </c>
      <c r="B563" s="39">
        <f>dataset_A!B563</f>
        <v>40577</v>
      </c>
      <c r="C563" s="38">
        <f>dataset_A!F563</f>
        <v>22</v>
      </c>
      <c r="D563" s="38">
        <f>dataset_A!H563</f>
        <v>4</v>
      </c>
      <c r="E563" s="38" t="b">
        <f>dataset_A!G563</f>
        <v>0</v>
      </c>
      <c r="F563" s="38" t="b">
        <f>dataset_A!G563</f>
        <v>0</v>
      </c>
      <c r="G563" s="38" t="str">
        <f t="shared" si="1"/>
        <v>Weekday</v>
      </c>
      <c r="H563" s="38" t="str">
        <f t="shared" si="2"/>
        <v>Evening</v>
      </c>
      <c r="I563" s="38" t="str">
        <f>IF(dataset_A!C563=1,"Spring",IF(dataset_A!C563=2,"Summer",IF(dataset_A!C563=3,"Fail","Winter")))</f>
        <v>Spring</v>
      </c>
      <c r="J563" s="38" t="str">
        <f>IF(dataset_A!I563=1,"Clear",IF(dataset_A!I563,"Mist/Cloudy",IF(dataset_A!I563=3,"Light Rain/Snow","Heavy Rain/Snow")))</f>
        <v>Clear</v>
      </c>
      <c r="K563" s="38">
        <f>dataset_A!N563</f>
        <v>2</v>
      </c>
      <c r="L563" s="38">
        <f>dataset_A!O563</f>
        <v>39</v>
      </c>
      <c r="M563" s="38">
        <f>dataset_A!P563</f>
        <v>41</v>
      </c>
      <c r="N563" s="38" t="str">
        <f t="shared" si="3"/>
        <v>Ok</v>
      </c>
      <c r="O563" s="38" t="str">
        <f>IF(M563&gt;Analysis!$B$3*1.5,"High",IF(M563&lt;Analysis!$B$3*0.5,"Low","Medium"))</f>
        <v>Medium</v>
      </c>
      <c r="P563" s="38" t="str">
        <f>VLOOKUP(dataset_A!C563,$Q$2:$R$5,2,0)</f>
        <v>Spring</v>
      </c>
      <c r="S563" s="38" t="str">
        <f t="array" ref="S563">INDEX($R$2:$R$5,MATCH(dataset_A!C563,$Q$2:$Q$5,0))</f>
        <v>Spring</v>
      </c>
      <c r="T563" s="38" t="str">
        <f t="shared" si="4"/>
        <v>Match</v>
      </c>
    </row>
    <row r="564" ht="12.75" customHeight="1">
      <c r="A564" s="38">
        <f>dataset_A!A564</f>
        <v>888</v>
      </c>
      <c r="B564" s="39">
        <f>dataset_A!B564</f>
        <v>40583</v>
      </c>
      <c r="C564" s="38">
        <f>dataset_A!F564</f>
        <v>11</v>
      </c>
      <c r="D564" s="38">
        <f>dataset_A!H564</f>
        <v>3</v>
      </c>
      <c r="E564" s="38" t="b">
        <f>dataset_A!G564</f>
        <v>0</v>
      </c>
      <c r="F564" s="38" t="b">
        <f>dataset_A!G564</f>
        <v>0</v>
      </c>
      <c r="G564" s="38" t="str">
        <f t="shared" si="1"/>
        <v>Weekday</v>
      </c>
      <c r="H564" s="38" t="str">
        <f t="shared" si="2"/>
        <v>Morning</v>
      </c>
      <c r="I564" s="38" t="str">
        <f>IF(dataset_A!C564=1,"Spring",IF(dataset_A!C564=2,"Summer",IF(dataset_A!C564=3,"Fail","Winter")))</f>
        <v>Spring</v>
      </c>
      <c r="J564" s="38" t="str">
        <f>IF(dataset_A!I564=1,"Clear",IF(dataset_A!I564,"Mist/Cloudy",IF(dataset_A!I564=3,"Light Rain/Snow","Heavy Rain/Snow")))</f>
        <v>Mist/Cloudy</v>
      </c>
      <c r="K564" s="38">
        <f>dataset_A!N564</f>
        <v>1</v>
      </c>
      <c r="L564" s="38">
        <f>dataset_A!O564</f>
        <v>40</v>
      </c>
      <c r="M564" s="38">
        <f>dataset_A!P564</f>
        <v>41</v>
      </c>
      <c r="N564" s="38" t="str">
        <f t="shared" si="3"/>
        <v>Ok</v>
      </c>
      <c r="O564" s="38" t="str">
        <f>IF(M564&gt;Analysis!$B$3*1.5,"High",IF(M564&lt;Analysis!$B$3*0.5,"Low","Medium"))</f>
        <v>Medium</v>
      </c>
      <c r="P564" s="38" t="str">
        <f>VLOOKUP(dataset_A!C564,$Q$2:$R$5,2,0)</f>
        <v>Spring</v>
      </c>
      <c r="S564" s="38" t="str">
        <f t="array" ref="S564">INDEX($R$2:$R$5,MATCH(dataset_A!C564,$Q$2:$Q$5,0))</f>
        <v>Spring</v>
      </c>
      <c r="T564" s="38" t="str">
        <f t="shared" si="4"/>
        <v>Match</v>
      </c>
    </row>
    <row r="565" ht="12.75" customHeight="1">
      <c r="A565" s="38">
        <f>dataset_A!A565</f>
        <v>965</v>
      </c>
      <c r="B565" s="39">
        <f>dataset_A!B565</f>
        <v>40586</v>
      </c>
      <c r="C565" s="38">
        <f>dataset_A!F565</f>
        <v>19</v>
      </c>
      <c r="D565" s="38">
        <f>dataset_A!H565</f>
        <v>6</v>
      </c>
      <c r="E565" s="38" t="b">
        <f>dataset_A!G565</f>
        <v>0</v>
      </c>
      <c r="F565" s="38" t="b">
        <f>dataset_A!G565</f>
        <v>0</v>
      </c>
      <c r="G565" s="38" t="str">
        <f t="shared" si="1"/>
        <v>Weekend</v>
      </c>
      <c r="H565" s="38" t="str">
        <f t="shared" si="2"/>
        <v>Evening</v>
      </c>
      <c r="I565" s="38" t="str">
        <f>IF(dataset_A!C565=1,"Spring",IF(dataset_A!C565=2,"Summer",IF(dataset_A!C565=3,"Fail","Winter")))</f>
        <v>Spring</v>
      </c>
      <c r="J565" s="38" t="str">
        <f>IF(dataset_A!I565=1,"Clear",IF(dataset_A!I565,"Mist/Cloudy",IF(dataset_A!I565=3,"Light Rain/Snow","Heavy Rain/Snow")))</f>
        <v>Clear</v>
      </c>
      <c r="K565" s="38">
        <f>dataset_A!N565</f>
        <v>2</v>
      </c>
      <c r="L565" s="38">
        <f>dataset_A!O565</f>
        <v>39</v>
      </c>
      <c r="M565" s="38">
        <f>dataset_A!P565</f>
        <v>41</v>
      </c>
      <c r="N565" s="38" t="str">
        <f t="shared" si="3"/>
        <v>Ok</v>
      </c>
      <c r="O565" s="38" t="str">
        <f>IF(M565&gt;Analysis!$B$3*1.5,"High",IF(M565&lt;Analysis!$B$3*0.5,"Low","Medium"))</f>
        <v>Medium</v>
      </c>
      <c r="P565" s="38" t="str">
        <f>VLOOKUP(dataset_A!C565,$Q$2:$R$5,2,0)</f>
        <v>Spring</v>
      </c>
      <c r="S565" s="38" t="str">
        <f t="array" ref="S565">INDEX($R$2:$R$5,MATCH(dataset_A!C565,$Q$2:$Q$5,0))</f>
        <v>Spring</v>
      </c>
      <c r="T565" s="38" t="str">
        <f t="shared" si="4"/>
        <v>Match</v>
      </c>
    </row>
    <row r="566" ht="12.75" customHeight="1">
      <c r="A566" s="38">
        <f>dataset_A!A566</f>
        <v>2</v>
      </c>
      <c r="B566" s="39">
        <f>dataset_A!B566</f>
        <v>40544</v>
      </c>
      <c r="C566" s="38">
        <f>dataset_A!F566</f>
        <v>1</v>
      </c>
      <c r="D566" s="38">
        <f>dataset_A!H566</f>
        <v>6</v>
      </c>
      <c r="E566" s="38" t="b">
        <f>dataset_A!G566</f>
        <v>0</v>
      </c>
      <c r="F566" s="38" t="b">
        <f>dataset_A!G566</f>
        <v>0</v>
      </c>
      <c r="G566" s="38" t="str">
        <f t="shared" si="1"/>
        <v>Weekend</v>
      </c>
      <c r="H566" s="38" t="str">
        <f t="shared" si="2"/>
        <v>Night</v>
      </c>
      <c r="I566" s="38" t="str">
        <f>IF(dataset_A!C566=1,"Spring",IF(dataset_A!C566=2,"Summer",IF(dataset_A!C566=3,"Fail","Winter")))</f>
        <v>Spring</v>
      </c>
      <c r="J566" s="38" t="str">
        <f>IF(dataset_A!I566=1,"Clear",IF(dataset_A!I566,"Mist/Cloudy",IF(dataset_A!I566=3,"Light Rain/Snow","Heavy Rain/Snow")))</f>
        <v>Clear</v>
      </c>
      <c r="K566" s="38">
        <f>dataset_A!N566</f>
        <v>8</v>
      </c>
      <c r="L566" s="38">
        <f>dataset_A!O566</f>
        <v>32</v>
      </c>
      <c r="M566" s="38">
        <f>dataset_A!P566</f>
        <v>40</v>
      </c>
      <c r="N566" s="38" t="str">
        <f t="shared" si="3"/>
        <v>Ok</v>
      </c>
      <c r="O566" s="38" t="str">
        <f>IF(M566&gt;Analysis!$B$3*1.5,"High",IF(M566&lt;Analysis!$B$3*0.5,"Low","Medium"))</f>
        <v>Medium</v>
      </c>
      <c r="P566" s="38" t="str">
        <f>VLOOKUP(dataset_A!C566,$Q$2:$R$5,2,0)</f>
        <v>Spring</v>
      </c>
      <c r="S566" s="38" t="str">
        <f t="array" ref="S566">INDEX($R$2:$R$5,MATCH(dataset_A!C566,$Q$2:$Q$5,0))</f>
        <v>Spring</v>
      </c>
      <c r="T566" s="38" t="str">
        <f t="shared" si="4"/>
        <v>Match</v>
      </c>
    </row>
    <row r="567" ht="12.75" customHeight="1">
      <c r="A567" s="38">
        <f>dataset_A!A567</f>
        <v>299</v>
      </c>
      <c r="B567" s="39">
        <f>dataset_A!B567</f>
        <v>40556</v>
      </c>
      <c r="C567" s="38">
        <f>dataset_A!F567</f>
        <v>21</v>
      </c>
      <c r="D567" s="38">
        <f>dataset_A!H567</f>
        <v>4</v>
      </c>
      <c r="E567" s="38" t="b">
        <f>dataset_A!G567</f>
        <v>0</v>
      </c>
      <c r="F567" s="38" t="b">
        <f>dataset_A!G567</f>
        <v>0</v>
      </c>
      <c r="G567" s="38" t="str">
        <f t="shared" si="1"/>
        <v>Weekday</v>
      </c>
      <c r="H567" s="38" t="str">
        <f t="shared" si="2"/>
        <v>Evening</v>
      </c>
      <c r="I567" s="38" t="str">
        <f>IF(dataset_A!C567=1,"Spring",IF(dataset_A!C567=2,"Summer",IF(dataset_A!C567=3,"Fail","Winter")))</f>
        <v>Spring</v>
      </c>
      <c r="J567" s="38" t="str">
        <f>IF(dataset_A!I567=1,"Clear",IF(dataset_A!I567,"Mist/Cloudy",IF(dataset_A!I567=3,"Light Rain/Snow","Heavy Rain/Snow")))</f>
        <v>Clear</v>
      </c>
      <c r="K567" s="38">
        <f>dataset_A!N567</f>
        <v>0</v>
      </c>
      <c r="L567" s="38">
        <f>dataset_A!O567</f>
        <v>40</v>
      </c>
      <c r="M567" s="38">
        <f>dataset_A!P567</f>
        <v>40</v>
      </c>
      <c r="N567" s="38" t="str">
        <f t="shared" si="3"/>
        <v>Ok</v>
      </c>
      <c r="O567" s="38" t="str">
        <f>IF(M567&gt;Analysis!$B$3*1.5,"High",IF(M567&lt;Analysis!$B$3*0.5,"Low","Medium"))</f>
        <v>Medium</v>
      </c>
      <c r="P567" s="38" t="str">
        <f>VLOOKUP(dataset_A!C567,$Q$2:$R$5,2,0)</f>
        <v>Spring</v>
      </c>
      <c r="S567" s="38" t="str">
        <f t="array" ref="S567">INDEX($R$2:$R$5,MATCH(dataset_A!C567,$Q$2:$Q$5,0))</f>
        <v>Spring</v>
      </c>
      <c r="T567" s="38" t="str">
        <f t="shared" si="4"/>
        <v>Match</v>
      </c>
    </row>
    <row r="568" ht="12.75" customHeight="1">
      <c r="A568" s="38">
        <f>dataset_A!A568</f>
        <v>488</v>
      </c>
      <c r="B568" s="39">
        <f>dataset_A!B568</f>
        <v>40565</v>
      </c>
      <c r="C568" s="38">
        <f>dataset_A!F568</f>
        <v>9</v>
      </c>
      <c r="D568" s="38">
        <f>dataset_A!H568</f>
        <v>6</v>
      </c>
      <c r="E568" s="38" t="b">
        <f>dataset_A!G568</f>
        <v>0</v>
      </c>
      <c r="F568" s="38" t="b">
        <f>dataset_A!G568</f>
        <v>0</v>
      </c>
      <c r="G568" s="38" t="str">
        <f t="shared" si="1"/>
        <v>Weekend</v>
      </c>
      <c r="H568" s="38" t="str">
        <f t="shared" si="2"/>
        <v>Morning</v>
      </c>
      <c r="I568" s="38" t="str">
        <f>IF(dataset_A!C568=1,"Spring",IF(dataset_A!C568=2,"Summer",IF(dataset_A!C568=3,"Fail","Winter")))</f>
        <v>Spring</v>
      </c>
      <c r="J568" s="38" t="str">
        <f>IF(dataset_A!I568=1,"Clear",IF(dataset_A!I568,"Mist/Cloudy",IF(dataset_A!I568=3,"Light Rain/Snow","Heavy Rain/Snow")))</f>
        <v>Clear</v>
      </c>
      <c r="K568" s="38">
        <f>dataset_A!N568</f>
        <v>3</v>
      </c>
      <c r="L568" s="38">
        <f>dataset_A!O568</f>
        <v>37</v>
      </c>
      <c r="M568" s="38">
        <f>dataset_A!P568</f>
        <v>40</v>
      </c>
      <c r="N568" s="38" t="str">
        <f t="shared" si="3"/>
        <v>Ok</v>
      </c>
      <c r="O568" s="38" t="str">
        <f>IF(M568&gt;Analysis!$B$3*1.5,"High",IF(M568&lt;Analysis!$B$3*0.5,"Low","Medium"))</f>
        <v>Medium</v>
      </c>
      <c r="P568" s="38" t="str">
        <f>VLOOKUP(dataset_A!C568,$Q$2:$R$5,2,0)</f>
        <v>Spring</v>
      </c>
      <c r="S568" s="38" t="str">
        <f t="array" ref="S568">INDEX($R$2:$R$5,MATCH(dataset_A!C568,$Q$2:$Q$5,0))</f>
        <v>Spring</v>
      </c>
      <c r="T568" s="38" t="str">
        <f t="shared" si="4"/>
        <v>Match</v>
      </c>
    </row>
    <row r="569" ht="12.75" customHeight="1">
      <c r="A569" s="38">
        <f>dataset_A!A569</f>
        <v>535</v>
      </c>
      <c r="B569" s="39">
        <f>dataset_A!B569</f>
        <v>40567</v>
      </c>
      <c r="C569" s="38">
        <f>dataset_A!F569</f>
        <v>10</v>
      </c>
      <c r="D569" s="38">
        <f>dataset_A!H569</f>
        <v>1</v>
      </c>
      <c r="E569" s="38" t="b">
        <f>dataset_A!G569</f>
        <v>0</v>
      </c>
      <c r="F569" s="38" t="b">
        <f>dataset_A!G569</f>
        <v>0</v>
      </c>
      <c r="G569" s="38" t="str">
        <f t="shared" si="1"/>
        <v>Weekday</v>
      </c>
      <c r="H569" s="38" t="str">
        <f t="shared" si="2"/>
        <v>Morning</v>
      </c>
      <c r="I569" s="38" t="str">
        <f>IF(dataset_A!C569=1,"Spring",IF(dataset_A!C569=2,"Summer",IF(dataset_A!C569=3,"Fail","Winter")))</f>
        <v>Spring</v>
      </c>
      <c r="J569" s="38" t="str">
        <f>IF(dataset_A!I569=1,"Clear",IF(dataset_A!I569,"Mist/Cloudy",IF(dataset_A!I569=3,"Light Rain/Snow","Heavy Rain/Snow")))</f>
        <v>Clear</v>
      </c>
      <c r="K569" s="38">
        <f>dataset_A!N569</f>
        <v>6</v>
      </c>
      <c r="L569" s="38">
        <f>dataset_A!O569</f>
        <v>34</v>
      </c>
      <c r="M569" s="38">
        <f>dataset_A!P569</f>
        <v>40</v>
      </c>
      <c r="N569" s="38" t="str">
        <f t="shared" si="3"/>
        <v>Ok</v>
      </c>
      <c r="O569" s="38" t="str">
        <f>IF(M569&gt;Analysis!$B$3*1.5,"High",IF(M569&lt;Analysis!$B$3*0.5,"Low","Medium"))</f>
        <v>Medium</v>
      </c>
      <c r="P569" s="38" t="str">
        <f>VLOOKUP(dataset_A!C569,$Q$2:$R$5,2,0)</f>
        <v>Spring</v>
      </c>
      <c r="S569" s="38" t="str">
        <f t="array" ref="S569">INDEX($R$2:$R$5,MATCH(dataset_A!C569,$Q$2:$Q$5,0))</f>
        <v>Spring</v>
      </c>
      <c r="T569" s="38" t="str">
        <f t="shared" si="4"/>
        <v>Match</v>
      </c>
    </row>
    <row r="570" ht="12.75" customHeight="1">
      <c r="A570" s="38">
        <f>dataset_A!A570</f>
        <v>571</v>
      </c>
      <c r="B570" s="39">
        <f>dataset_A!B570</f>
        <v>40568</v>
      </c>
      <c r="C570" s="38">
        <f>dataset_A!F570</f>
        <v>23</v>
      </c>
      <c r="D570" s="38">
        <f>dataset_A!H570</f>
        <v>2</v>
      </c>
      <c r="E570" s="38" t="b">
        <f>dataset_A!G570</f>
        <v>0</v>
      </c>
      <c r="F570" s="38" t="b">
        <f>dataset_A!G570</f>
        <v>0</v>
      </c>
      <c r="G570" s="38" t="str">
        <f t="shared" si="1"/>
        <v>Weekday</v>
      </c>
      <c r="H570" s="38" t="str">
        <f t="shared" si="2"/>
        <v>Evening</v>
      </c>
      <c r="I570" s="38" t="str">
        <f>IF(dataset_A!C570=1,"Spring",IF(dataset_A!C570=2,"Summer",IF(dataset_A!C570=3,"Fail","Winter")))</f>
        <v>Spring</v>
      </c>
      <c r="J570" s="38" t="str">
        <f>IF(dataset_A!I570=1,"Clear",IF(dataset_A!I570,"Mist/Cloudy",IF(dataset_A!I570=3,"Light Rain/Snow","Heavy Rain/Snow")))</f>
        <v>Mist/Cloudy</v>
      </c>
      <c r="K570" s="38">
        <f>dataset_A!N570</f>
        <v>3</v>
      </c>
      <c r="L570" s="38">
        <f>dataset_A!O570</f>
        <v>37</v>
      </c>
      <c r="M570" s="38">
        <f>dataset_A!P570</f>
        <v>40</v>
      </c>
      <c r="N570" s="38" t="str">
        <f t="shared" si="3"/>
        <v>Ok</v>
      </c>
      <c r="O570" s="38" t="str">
        <f>IF(M570&gt;Analysis!$B$3*1.5,"High",IF(M570&lt;Analysis!$B$3*0.5,"Low","Medium"))</f>
        <v>Medium</v>
      </c>
      <c r="P570" s="38" t="str">
        <f>VLOOKUP(dataset_A!C570,$Q$2:$R$5,2,0)</f>
        <v>Spring</v>
      </c>
      <c r="S570" s="38" t="str">
        <f t="array" ref="S570">INDEX($R$2:$R$5,MATCH(dataset_A!C570,$Q$2:$Q$5,0))</f>
        <v>Spring</v>
      </c>
      <c r="T570" s="38" t="str">
        <f t="shared" si="4"/>
        <v>Match</v>
      </c>
    </row>
    <row r="571" ht="12.75" customHeight="1">
      <c r="A571" s="38">
        <f>dataset_A!A571</f>
        <v>734</v>
      </c>
      <c r="B571" s="39">
        <f>dataset_A!B571</f>
        <v>40576</v>
      </c>
      <c r="C571" s="38">
        <f>dataset_A!F571</f>
        <v>22</v>
      </c>
      <c r="D571" s="38">
        <f>dataset_A!H571</f>
        <v>3</v>
      </c>
      <c r="E571" s="38" t="b">
        <f>dataset_A!G571</f>
        <v>0</v>
      </c>
      <c r="F571" s="38" t="b">
        <f>dataset_A!G571</f>
        <v>0</v>
      </c>
      <c r="G571" s="38" t="str">
        <f t="shared" si="1"/>
        <v>Weekday</v>
      </c>
      <c r="H571" s="38" t="str">
        <f t="shared" si="2"/>
        <v>Evening</v>
      </c>
      <c r="I571" s="38" t="str">
        <f>IF(dataset_A!C571=1,"Spring",IF(dataset_A!C571=2,"Summer",IF(dataset_A!C571=3,"Fail","Winter")))</f>
        <v>Spring</v>
      </c>
      <c r="J571" s="38" t="str">
        <f>IF(dataset_A!I571=1,"Clear",IF(dataset_A!I571,"Mist/Cloudy",IF(dataset_A!I571=3,"Light Rain/Snow","Heavy Rain/Snow")))</f>
        <v>Clear</v>
      </c>
      <c r="K571" s="38">
        <f>dataset_A!N571</f>
        <v>5</v>
      </c>
      <c r="L571" s="38">
        <f>dataset_A!O571</f>
        <v>35</v>
      </c>
      <c r="M571" s="38">
        <f>dataset_A!P571</f>
        <v>40</v>
      </c>
      <c r="N571" s="38" t="str">
        <f t="shared" si="3"/>
        <v>Ok</v>
      </c>
      <c r="O571" s="38" t="str">
        <f>IF(M571&gt;Analysis!$B$3*1.5,"High",IF(M571&lt;Analysis!$B$3*0.5,"Low","Medium"))</f>
        <v>Medium</v>
      </c>
      <c r="P571" s="38" t="str">
        <f>VLOOKUP(dataset_A!C571,$Q$2:$R$5,2,0)</f>
        <v>Spring</v>
      </c>
      <c r="S571" s="38" t="str">
        <f t="array" ref="S571">INDEX($R$2:$R$5,MATCH(dataset_A!C571,$Q$2:$Q$5,0))</f>
        <v>Spring</v>
      </c>
      <c r="T571" s="38" t="str">
        <f t="shared" si="4"/>
        <v>Match</v>
      </c>
    </row>
    <row r="572" ht="12.75" customHeight="1">
      <c r="A572" s="38">
        <f>dataset_A!A572</f>
        <v>966</v>
      </c>
      <c r="B572" s="39">
        <f>dataset_A!B572</f>
        <v>40586</v>
      </c>
      <c r="C572" s="38">
        <f>dataset_A!F572</f>
        <v>20</v>
      </c>
      <c r="D572" s="38">
        <f>dataset_A!H572</f>
        <v>6</v>
      </c>
      <c r="E572" s="38" t="b">
        <f>dataset_A!G572</f>
        <v>0</v>
      </c>
      <c r="F572" s="38" t="b">
        <f>dataset_A!G572</f>
        <v>0</v>
      </c>
      <c r="G572" s="38" t="str">
        <f t="shared" si="1"/>
        <v>Weekend</v>
      </c>
      <c r="H572" s="38" t="str">
        <f t="shared" si="2"/>
        <v>Evening</v>
      </c>
      <c r="I572" s="38" t="str">
        <f>IF(dataset_A!C572=1,"Spring",IF(dataset_A!C572=2,"Summer",IF(dataset_A!C572=3,"Fail","Winter")))</f>
        <v>Spring</v>
      </c>
      <c r="J572" s="38" t="str">
        <f>IF(dataset_A!I572=1,"Clear",IF(dataset_A!I572,"Mist/Cloudy",IF(dataset_A!I572=3,"Light Rain/Snow","Heavy Rain/Snow")))</f>
        <v>Clear</v>
      </c>
      <c r="K572" s="38">
        <f>dataset_A!N572</f>
        <v>1</v>
      </c>
      <c r="L572" s="38">
        <f>dataset_A!O572</f>
        <v>39</v>
      </c>
      <c r="M572" s="38">
        <f>dataset_A!P572</f>
        <v>40</v>
      </c>
      <c r="N572" s="38" t="str">
        <f t="shared" si="3"/>
        <v>Ok</v>
      </c>
      <c r="O572" s="38" t="str">
        <f>IF(M572&gt;Analysis!$B$3*1.5,"High",IF(M572&lt;Analysis!$B$3*0.5,"Low","Medium"))</f>
        <v>Medium</v>
      </c>
      <c r="P572" s="38" t="str">
        <f>VLOOKUP(dataset_A!C572,$Q$2:$R$5,2,0)</f>
        <v>Spring</v>
      </c>
      <c r="S572" s="38" t="str">
        <f t="array" ref="S572">INDEX($R$2:$R$5,MATCH(dataset_A!C572,$Q$2:$Q$5,0))</f>
        <v>Spring</v>
      </c>
      <c r="T572" s="38" t="str">
        <f t="shared" si="4"/>
        <v>Match</v>
      </c>
    </row>
    <row r="573" ht="12.75" customHeight="1">
      <c r="A573" s="38">
        <f>dataset_A!A573</f>
        <v>24</v>
      </c>
      <c r="B573" s="39">
        <f>dataset_A!B573</f>
        <v>40544</v>
      </c>
      <c r="C573" s="38">
        <f>dataset_A!F573</f>
        <v>23</v>
      </c>
      <c r="D573" s="38">
        <f>dataset_A!H573</f>
        <v>6</v>
      </c>
      <c r="E573" s="38" t="b">
        <f>dataset_A!G573</f>
        <v>0</v>
      </c>
      <c r="F573" s="38" t="b">
        <f>dataset_A!G573</f>
        <v>0</v>
      </c>
      <c r="G573" s="38" t="str">
        <f t="shared" si="1"/>
        <v>Weekend</v>
      </c>
      <c r="H573" s="38" t="str">
        <f t="shared" si="2"/>
        <v>Evening</v>
      </c>
      <c r="I573" s="38" t="str">
        <f>IF(dataset_A!C573=1,"Spring",IF(dataset_A!C573=2,"Summer",IF(dataset_A!C573=3,"Fail","Winter")))</f>
        <v>Spring</v>
      </c>
      <c r="J573" s="38" t="str">
        <f>IF(dataset_A!I573=1,"Clear",IF(dataset_A!I573,"Mist/Cloudy",IF(dataset_A!I573=3,"Light Rain/Snow","Heavy Rain/Snow")))</f>
        <v>Mist/Cloudy</v>
      </c>
      <c r="K573" s="38">
        <f>dataset_A!N573</f>
        <v>15</v>
      </c>
      <c r="L573" s="38">
        <f>dataset_A!O573</f>
        <v>24</v>
      </c>
      <c r="M573" s="38">
        <f>dataset_A!P573</f>
        <v>39</v>
      </c>
      <c r="N573" s="38" t="str">
        <f t="shared" si="3"/>
        <v>Ok</v>
      </c>
      <c r="O573" s="38" t="str">
        <f>IF(M573&gt;Analysis!$B$3*1.5,"High",IF(M573&lt;Analysis!$B$3*0.5,"Low","Medium"))</f>
        <v>Medium</v>
      </c>
      <c r="P573" s="38" t="str">
        <f>VLOOKUP(dataset_A!C573,$Q$2:$R$5,2,0)</f>
        <v>Spring</v>
      </c>
      <c r="S573" s="38" t="str">
        <f t="array" ref="S573">INDEX($R$2:$R$5,MATCH(dataset_A!C573,$Q$2:$Q$5,0))</f>
        <v>Spring</v>
      </c>
      <c r="T573" s="38" t="str">
        <f t="shared" si="4"/>
        <v>Match</v>
      </c>
    </row>
    <row r="574" ht="12.75" customHeight="1">
      <c r="A574" s="38">
        <f>dataset_A!A574</f>
        <v>159</v>
      </c>
      <c r="B574" s="39">
        <f>dataset_A!B574</f>
        <v>40550</v>
      </c>
      <c r="C574" s="38">
        <f>dataset_A!F574</f>
        <v>21</v>
      </c>
      <c r="D574" s="38">
        <f>dataset_A!H574</f>
        <v>5</v>
      </c>
      <c r="E574" s="38" t="b">
        <f>dataset_A!G574</f>
        <v>0</v>
      </c>
      <c r="F574" s="38" t="b">
        <f>dataset_A!G574</f>
        <v>0</v>
      </c>
      <c r="G574" s="38" t="str">
        <f t="shared" si="1"/>
        <v>Weekday</v>
      </c>
      <c r="H574" s="38" t="str">
        <f t="shared" si="2"/>
        <v>Evening</v>
      </c>
      <c r="I574" s="38" t="str">
        <f>IF(dataset_A!C574=1,"Spring",IF(dataset_A!C574=2,"Summer",IF(dataset_A!C574=3,"Fail","Winter")))</f>
        <v>Spring</v>
      </c>
      <c r="J574" s="38" t="str">
        <f>IF(dataset_A!I574=1,"Clear",IF(dataset_A!I574,"Mist/Cloudy",IF(dataset_A!I574=3,"Light Rain/Snow","Heavy Rain/Snow")))</f>
        <v>Clear</v>
      </c>
      <c r="K574" s="38">
        <f>dataset_A!N574</f>
        <v>0</v>
      </c>
      <c r="L574" s="38">
        <f>dataset_A!O574</f>
        <v>39</v>
      </c>
      <c r="M574" s="38">
        <f>dataset_A!P574</f>
        <v>39</v>
      </c>
      <c r="N574" s="38" t="str">
        <f t="shared" si="3"/>
        <v>Ok</v>
      </c>
      <c r="O574" s="38" t="str">
        <f>IF(M574&gt;Analysis!$B$3*1.5,"High",IF(M574&lt;Analysis!$B$3*0.5,"Low","Medium"))</f>
        <v>Medium</v>
      </c>
      <c r="P574" s="38" t="str">
        <f>VLOOKUP(dataset_A!C574,$Q$2:$R$5,2,0)</f>
        <v>Spring</v>
      </c>
      <c r="S574" s="38" t="str">
        <f t="array" ref="S574">INDEX($R$2:$R$5,MATCH(dataset_A!C574,$Q$2:$Q$5,0))</f>
        <v>Spring</v>
      </c>
      <c r="T574" s="38" t="str">
        <f t="shared" si="4"/>
        <v>Match</v>
      </c>
    </row>
    <row r="575" ht="12.75" customHeight="1">
      <c r="A575" s="38">
        <f>dataset_A!A575</f>
        <v>264</v>
      </c>
      <c r="B575" s="39">
        <f>dataset_A!B575</f>
        <v>40555</v>
      </c>
      <c r="C575" s="38">
        <f>dataset_A!F575</f>
        <v>10</v>
      </c>
      <c r="D575" s="38">
        <f>dataset_A!H575</f>
        <v>3</v>
      </c>
      <c r="E575" s="38" t="b">
        <f>dataset_A!G575</f>
        <v>0</v>
      </c>
      <c r="F575" s="38" t="b">
        <f>dataset_A!G575</f>
        <v>0</v>
      </c>
      <c r="G575" s="38" t="str">
        <f t="shared" si="1"/>
        <v>Weekday</v>
      </c>
      <c r="H575" s="38" t="str">
        <f t="shared" si="2"/>
        <v>Morning</v>
      </c>
      <c r="I575" s="38" t="str">
        <f>IF(dataset_A!C575=1,"Spring",IF(dataset_A!C575=2,"Summer",IF(dataset_A!C575=3,"Fail","Winter")))</f>
        <v>Spring</v>
      </c>
      <c r="J575" s="38" t="str">
        <f>IF(dataset_A!I575=1,"Clear",IF(dataset_A!I575,"Mist/Cloudy",IF(dataset_A!I575=3,"Light Rain/Snow","Heavy Rain/Snow")))</f>
        <v>Clear</v>
      </c>
      <c r="K575" s="38">
        <f>dataset_A!N575</f>
        <v>0</v>
      </c>
      <c r="L575" s="38">
        <f>dataset_A!O575</f>
        <v>39</v>
      </c>
      <c r="M575" s="38">
        <f>dataset_A!P575</f>
        <v>39</v>
      </c>
      <c r="N575" s="38" t="str">
        <f t="shared" si="3"/>
        <v>Ok</v>
      </c>
      <c r="O575" s="38" t="str">
        <f>IF(M575&gt;Analysis!$B$3*1.5,"High",IF(M575&lt;Analysis!$B$3*0.5,"Low","Medium"))</f>
        <v>Medium</v>
      </c>
      <c r="P575" s="38" t="str">
        <f>VLOOKUP(dataset_A!C575,$Q$2:$R$5,2,0)</f>
        <v>Spring</v>
      </c>
      <c r="S575" s="38" t="str">
        <f t="array" ref="S575">INDEX($R$2:$R$5,MATCH(dataset_A!C575,$Q$2:$Q$5,0))</f>
        <v>Spring</v>
      </c>
      <c r="T575" s="38" t="str">
        <f t="shared" si="4"/>
        <v>Match</v>
      </c>
    </row>
    <row r="576" ht="12.75" customHeight="1">
      <c r="A576" s="38">
        <f>dataset_A!A576</f>
        <v>349</v>
      </c>
      <c r="B576" s="39">
        <f>dataset_A!B576</f>
        <v>40559</v>
      </c>
      <c r="C576" s="38">
        <f>dataset_A!F576</f>
        <v>0</v>
      </c>
      <c r="D576" s="38">
        <f>dataset_A!H576</f>
        <v>0</v>
      </c>
      <c r="E576" s="38" t="b">
        <f>dataset_A!G576</f>
        <v>0</v>
      </c>
      <c r="F576" s="38" t="b">
        <f>dataset_A!G576</f>
        <v>0</v>
      </c>
      <c r="G576" s="38" t="str">
        <f t="shared" si="1"/>
        <v>Weekend</v>
      </c>
      <c r="H576" s="38" t="str">
        <f t="shared" si="2"/>
        <v>Night</v>
      </c>
      <c r="I576" s="38" t="str">
        <f>IF(dataset_A!C576=1,"Spring",IF(dataset_A!C576=2,"Summer",IF(dataset_A!C576=3,"Fail","Winter")))</f>
        <v>Spring</v>
      </c>
      <c r="J576" s="38" t="str">
        <f>IF(dataset_A!I576=1,"Clear",IF(dataset_A!I576,"Mist/Cloudy",IF(dataset_A!I576=3,"Light Rain/Snow","Heavy Rain/Snow")))</f>
        <v>Clear</v>
      </c>
      <c r="K576" s="38">
        <f>dataset_A!N576</f>
        <v>6</v>
      </c>
      <c r="L576" s="38">
        <f>dataset_A!O576</f>
        <v>33</v>
      </c>
      <c r="M576" s="38">
        <f>dataset_A!P576</f>
        <v>39</v>
      </c>
      <c r="N576" s="38" t="str">
        <f t="shared" si="3"/>
        <v>Ok</v>
      </c>
      <c r="O576" s="38" t="str">
        <f>IF(M576&gt;Analysis!$B$3*1.5,"High",IF(M576&lt;Analysis!$B$3*0.5,"Low","Medium"))</f>
        <v>Medium</v>
      </c>
      <c r="P576" s="38" t="str">
        <f>VLOOKUP(dataset_A!C576,$Q$2:$R$5,2,0)</f>
        <v>Spring</v>
      </c>
      <c r="S576" s="38" t="str">
        <f t="array" ref="S576">INDEX($R$2:$R$5,MATCH(dataset_A!C576,$Q$2:$Q$5,0))</f>
        <v>Spring</v>
      </c>
      <c r="T576" s="38" t="str">
        <f t="shared" si="4"/>
        <v>Match</v>
      </c>
    </row>
    <row r="577" ht="12.75" customHeight="1">
      <c r="A577" s="38">
        <f>dataset_A!A577</f>
        <v>500</v>
      </c>
      <c r="B577" s="39">
        <f>dataset_A!B577</f>
        <v>40565</v>
      </c>
      <c r="C577" s="38">
        <f>dataset_A!F577</f>
        <v>21</v>
      </c>
      <c r="D577" s="38">
        <f>dataset_A!H577</f>
        <v>6</v>
      </c>
      <c r="E577" s="38" t="b">
        <f>dataset_A!G577</f>
        <v>0</v>
      </c>
      <c r="F577" s="38" t="b">
        <f>dataset_A!G577</f>
        <v>0</v>
      </c>
      <c r="G577" s="38" t="str">
        <f t="shared" si="1"/>
        <v>Weekend</v>
      </c>
      <c r="H577" s="38" t="str">
        <f t="shared" si="2"/>
        <v>Evening</v>
      </c>
      <c r="I577" s="38" t="str">
        <f>IF(dataset_A!C577=1,"Spring",IF(dataset_A!C577=2,"Summer",IF(dataset_A!C577=3,"Fail","Winter")))</f>
        <v>Spring</v>
      </c>
      <c r="J577" s="38" t="str">
        <f>IF(dataset_A!I577=1,"Clear",IF(dataset_A!I577,"Mist/Cloudy",IF(dataset_A!I577=3,"Light Rain/Snow","Heavy Rain/Snow")))</f>
        <v>Clear</v>
      </c>
      <c r="K577" s="38">
        <f>dataset_A!N577</f>
        <v>0</v>
      </c>
      <c r="L577" s="38">
        <f>dataset_A!O577</f>
        <v>39</v>
      </c>
      <c r="M577" s="38">
        <f>dataset_A!P577</f>
        <v>39</v>
      </c>
      <c r="N577" s="38" t="str">
        <f t="shared" si="3"/>
        <v>Ok</v>
      </c>
      <c r="O577" s="38" t="str">
        <f>IF(M577&gt;Analysis!$B$3*1.5,"High",IF(M577&lt;Analysis!$B$3*0.5,"Low","Medium"))</f>
        <v>Medium</v>
      </c>
      <c r="P577" s="38" t="str">
        <f>VLOOKUP(dataset_A!C577,$Q$2:$R$5,2,0)</f>
        <v>Spring</v>
      </c>
      <c r="S577" s="38" t="str">
        <f t="array" ref="S577">INDEX($R$2:$R$5,MATCH(dataset_A!C577,$Q$2:$Q$5,0))</f>
        <v>Spring</v>
      </c>
      <c r="T577" s="38" t="str">
        <f t="shared" si="4"/>
        <v>Match</v>
      </c>
    </row>
    <row r="578" ht="12.75" customHeight="1">
      <c r="A578" s="38">
        <f>dataset_A!A578</f>
        <v>741</v>
      </c>
      <c r="B578" s="39">
        <f>dataset_A!B578</f>
        <v>40577</v>
      </c>
      <c r="C578" s="38">
        <f>dataset_A!F578</f>
        <v>6</v>
      </c>
      <c r="D578" s="38">
        <f>dataset_A!H578</f>
        <v>4</v>
      </c>
      <c r="E578" s="38" t="b">
        <f>dataset_A!G578</f>
        <v>0</v>
      </c>
      <c r="F578" s="38" t="b">
        <f>dataset_A!G578</f>
        <v>0</v>
      </c>
      <c r="G578" s="38" t="str">
        <f t="shared" si="1"/>
        <v>Weekday</v>
      </c>
      <c r="H578" s="38" t="str">
        <f t="shared" si="2"/>
        <v>Morning</v>
      </c>
      <c r="I578" s="38" t="str">
        <f>IF(dataset_A!C578=1,"Spring",IF(dataset_A!C578=2,"Summer",IF(dataset_A!C578=3,"Fail","Winter")))</f>
        <v>Spring</v>
      </c>
      <c r="J578" s="38" t="str">
        <f>IF(dataset_A!I578=1,"Clear",IF(dataset_A!I578,"Mist/Cloudy",IF(dataset_A!I578=3,"Light Rain/Snow","Heavy Rain/Snow")))</f>
        <v>Clear</v>
      </c>
      <c r="K578" s="38">
        <f>dataset_A!N578</f>
        <v>0</v>
      </c>
      <c r="L578" s="38">
        <f>dataset_A!O578</f>
        <v>39</v>
      </c>
      <c r="M578" s="38">
        <f>dataset_A!P578</f>
        <v>39</v>
      </c>
      <c r="N578" s="38" t="str">
        <f t="shared" si="3"/>
        <v>Ok</v>
      </c>
      <c r="O578" s="38" t="str">
        <f>IF(M578&gt;Analysis!$B$3*1.5,"High",IF(M578&lt;Analysis!$B$3*0.5,"Low","Medium"))</f>
        <v>Medium</v>
      </c>
      <c r="P578" s="38" t="str">
        <f>VLOOKUP(dataset_A!C578,$Q$2:$R$5,2,0)</f>
        <v>Spring</v>
      </c>
      <c r="S578" s="38" t="str">
        <f t="array" ref="S578">INDEX($R$2:$R$5,MATCH(dataset_A!C578,$Q$2:$Q$5,0))</f>
        <v>Spring</v>
      </c>
      <c r="T578" s="38" t="str">
        <f t="shared" si="4"/>
        <v>Match</v>
      </c>
    </row>
    <row r="579" ht="12.75" customHeight="1">
      <c r="A579" s="38">
        <f>dataset_A!A579</f>
        <v>782</v>
      </c>
      <c r="B579" s="39">
        <f>dataset_A!B579</f>
        <v>40579</v>
      </c>
      <c r="C579" s="38">
        <f>dataset_A!F579</f>
        <v>0</v>
      </c>
      <c r="D579" s="38">
        <f>dataset_A!H579</f>
        <v>6</v>
      </c>
      <c r="E579" s="38" t="b">
        <f>dataset_A!G579</f>
        <v>0</v>
      </c>
      <c r="F579" s="38" t="b">
        <f>dataset_A!G579</f>
        <v>0</v>
      </c>
      <c r="G579" s="38" t="str">
        <f t="shared" si="1"/>
        <v>Weekend</v>
      </c>
      <c r="H579" s="38" t="str">
        <f t="shared" si="2"/>
        <v>Night</v>
      </c>
      <c r="I579" s="38" t="str">
        <f>IF(dataset_A!C579=1,"Spring",IF(dataset_A!C579=2,"Summer",IF(dataset_A!C579=3,"Fail","Winter")))</f>
        <v>Spring</v>
      </c>
      <c r="J579" s="38" t="str">
        <f>IF(dataset_A!I579=1,"Clear",IF(dataset_A!I579,"Mist/Cloudy",IF(dataset_A!I579=3,"Light Rain/Snow","Heavy Rain/Snow")))</f>
        <v>Mist/Cloudy</v>
      </c>
      <c r="K579" s="38">
        <f>dataset_A!N579</f>
        <v>3</v>
      </c>
      <c r="L579" s="38">
        <f>dataset_A!O579</f>
        <v>36</v>
      </c>
      <c r="M579" s="38">
        <f>dataset_A!P579</f>
        <v>39</v>
      </c>
      <c r="N579" s="38" t="str">
        <f t="shared" si="3"/>
        <v>Ok</v>
      </c>
      <c r="O579" s="38" t="str">
        <f>IF(M579&gt;Analysis!$B$3*1.5,"High",IF(M579&lt;Analysis!$B$3*0.5,"Low","Medium"))</f>
        <v>Medium</v>
      </c>
      <c r="P579" s="38" t="str">
        <f>VLOOKUP(dataset_A!C579,$Q$2:$R$5,2,0)</f>
        <v>Spring</v>
      </c>
      <c r="S579" s="38" t="str">
        <f t="array" ref="S579">INDEX($R$2:$R$5,MATCH(dataset_A!C579,$Q$2:$Q$5,0))</f>
        <v>Spring</v>
      </c>
      <c r="T579" s="38" t="str">
        <f t="shared" si="4"/>
        <v>Match</v>
      </c>
    </row>
    <row r="580" ht="12.75" customHeight="1">
      <c r="A580" s="38">
        <f>dataset_A!A580</f>
        <v>806</v>
      </c>
      <c r="B580" s="39">
        <f>dataset_A!B580</f>
        <v>40580</v>
      </c>
      <c r="C580" s="38">
        <f>dataset_A!F580</f>
        <v>0</v>
      </c>
      <c r="D580" s="38">
        <f>dataset_A!H580</f>
        <v>0</v>
      </c>
      <c r="E580" s="38" t="b">
        <f>dataset_A!G580</f>
        <v>0</v>
      </c>
      <c r="F580" s="38" t="b">
        <f>dataset_A!G580</f>
        <v>0</v>
      </c>
      <c r="G580" s="38" t="str">
        <f t="shared" si="1"/>
        <v>Weekend</v>
      </c>
      <c r="H580" s="38" t="str">
        <f t="shared" si="2"/>
        <v>Night</v>
      </c>
      <c r="I580" s="38" t="str">
        <f>IF(dataset_A!C580=1,"Spring",IF(dataset_A!C580=2,"Summer",IF(dataset_A!C580=3,"Fail","Winter")))</f>
        <v>Spring</v>
      </c>
      <c r="J580" s="38" t="str">
        <f>IF(dataset_A!I580=1,"Clear",IF(dataset_A!I580,"Mist/Cloudy",IF(dataset_A!I580=3,"Light Rain/Snow","Heavy Rain/Snow")))</f>
        <v>Clear</v>
      </c>
      <c r="K580" s="38">
        <f>dataset_A!N580</f>
        <v>2</v>
      </c>
      <c r="L580" s="38">
        <f>dataset_A!O580</f>
        <v>37</v>
      </c>
      <c r="M580" s="38">
        <f>dataset_A!P580</f>
        <v>39</v>
      </c>
      <c r="N580" s="38" t="str">
        <f t="shared" si="3"/>
        <v>Ok</v>
      </c>
      <c r="O580" s="38" t="str">
        <f>IF(M580&gt;Analysis!$B$3*1.5,"High",IF(M580&lt;Analysis!$B$3*0.5,"Low","Medium"))</f>
        <v>Medium</v>
      </c>
      <c r="P580" s="38" t="str">
        <f>VLOOKUP(dataset_A!C580,$Q$2:$R$5,2,0)</f>
        <v>Spring</v>
      </c>
      <c r="S580" s="38" t="str">
        <f t="array" ref="S580">INDEX($R$2:$R$5,MATCH(dataset_A!C580,$Q$2:$Q$5,0))</f>
        <v>Spring</v>
      </c>
      <c r="T580" s="38" t="str">
        <f t="shared" si="4"/>
        <v>Match</v>
      </c>
    </row>
    <row r="581" ht="12.75" customHeight="1">
      <c r="A581" s="38">
        <f>dataset_A!A581</f>
        <v>860</v>
      </c>
      <c r="B581" s="39">
        <f>dataset_A!B581</f>
        <v>40582</v>
      </c>
      <c r="C581" s="38">
        <f>dataset_A!F581</f>
        <v>6</v>
      </c>
      <c r="D581" s="38">
        <f>dataset_A!H581</f>
        <v>2</v>
      </c>
      <c r="E581" s="38" t="b">
        <f>dataset_A!G581</f>
        <v>0</v>
      </c>
      <c r="F581" s="38" t="b">
        <f>dataset_A!G581</f>
        <v>0</v>
      </c>
      <c r="G581" s="38" t="str">
        <f t="shared" si="1"/>
        <v>Weekday</v>
      </c>
      <c r="H581" s="38" t="str">
        <f t="shared" si="2"/>
        <v>Morning</v>
      </c>
      <c r="I581" s="38" t="str">
        <f>IF(dataset_A!C581=1,"Spring",IF(dataset_A!C581=2,"Summer",IF(dataset_A!C581=3,"Fail","Winter")))</f>
        <v>Spring</v>
      </c>
      <c r="J581" s="38" t="str">
        <f>IF(dataset_A!I581=1,"Clear",IF(dataset_A!I581,"Mist/Cloudy",IF(dataset_A!I581=3,"Light Rain/Snow","Heavy Rain/Snow")))</f>
        <v>Clear</v>
      </c>
      <c r="K581" s="38">
        <f>dataset_A!N581</f>
        <v>0</v>
      </c>
      <c r="L581" s="38">
        <f>dataset_A!O581</f>
        <v>39</v>
      </c>
      <c r="M581" s="38">
        <f>dataset_A!P581</f>
        <v>39</v>
      </c>
      <c r="N581" s="38" t="str">
        <f t="shared" si="3"/>
        <v>Ok</v>
      </c>
      <c r="O581" s="38" t="str">
        <f>IF(M581&gt;Analysis!$B$3*1.5,"High",IF(M581&lt;Analysis!$B$3*0.5,"Low","Medium"))</f>
        <v>Medium</v>
      </c>
      <c r="P581" s="38" t="str">
        <f>VLOOKUP(dataset_A!C581,$Q$2:$R$5,2,0)</f>
        <v>Spring</v>
      </c>
      <c r="S581" s="38" t="str">
        <f t="array" ref="S581">INDEX($R$2:$R$5,MATCH(dataset_A!C581,$Q$2:$Q$5,0))</f>
        <v>Spring</v>
      </c>
      <c r="T581" s="38" t="str">
        <f t="shared" si="4"/>
        <v>Match</v>
      </c>
    </row>
    <row r="582" ht="12.75" customHeight="1">
      <c r="A582" s="38">
        <f>dataset_A!A582</f>
        <v>970</v>
      </c>
      <c r="B582" s="39">
        <f>dataset_A!B582</f>
        <v>40587</v>
      </c>
      <c r="C582" s="38">
        <f>dataset_A!F582</f>
        <v>0</v>
      </c>
      <c r="D582" s="38">
        <f>dataset_A!H582</f>
        <v>0</v>
      </c>
      <c r="E582" s="38" t="b">
        <f>dataset_A!G582</f>
        <v>0</v>
      </c>
      <c r="F582" s="38" t="b">
        <f>dataset_A!G582</f>
        <v>0</v>
      </c>
      <c r="G582" s="38" t="str">
        <f t="shared" si="1"/>
        <v>Weekend</v>
      </c>
      <c r="H582" s="38" t="str">
        <f t="shared" si="2"/>
        <v>Night</v>
      </c>
      <c r="I582" s="38" t="str">
        <f>IF(dataset_A!C582=1,"Spring",IF(dataset_A!C582=2,"Summer",IF(dataset_A!C582=3,"Fail","Winter")))</f>
        <v>Spring</v>
      </c>
      <c r="J582" s="38" t="str">
        <f>IF(dataset_A!I582=1,"Clear",IF(dataset_A!I582,"Mist/Cloudy",IF(dataset_A!I582=3,"Light Rain/Snow","Heavy Rain/Snow")))</f>
        <v>Clear</v>
      </c>
      <c r="K582" s="38">
        <f>dataset_A!N582</f>
        <v>5</v>
      </c>
      <c r="L582" s="38">
        <f>dataset_A!O582</f>
        <v>34</v>
      </c>
      <c r="M582" s="38">
        <f>dataset_A!P582</f>
        <v>39</v>
      </c>
      <c r="N582" s="38" t="str">
        <f t="shared" si="3"/>
        <v>Ok</v>
      </c>
      <c r="O582" s="38" t="str">
        <f>IF(M582&gt;Analysis!$B$3*1.5,"High",IF(M582&lt;Analysis!$B$3*0.5,"Low","Medium"))</f>
        <v>Medium</v>
      </c>
      <c r="P582" s="38" t="str">
        <f>VLOOKUP(dataset_A!C582,$Q$2:$R$5,2,0)</f>
        <v>Spring</v>
      </c>
      <c r="S582" s="38" t="str">
        <f t="array" ref="S582">INDEX($R$2:$R$5,MATCH(dataset_A!C582,$Q$2:$Q$5,0))</f>
        <v>Spring</v>
      </c>
      <c r="T582" s="38" t="str">
        <f t="shared" si="4"/>
        <v>Match</v>
      </c>
    </row>
    <row r="583" ht="12.75" customHeight="1">
      <c r="A583" s="38">
        <f>dataset_A!A583</f>
        <v>206</v>
      </c>
      <c r="B583" s="39">
        <f>dataset_A!B583</f>
        <v>40552</v>
      </c>
      <c r="C583" s="38">
        <f>dataset_A!F583</f>
        <v>20</v>
      </c>
      <c r="D583" s="38">
        <f>dataset_A!H583</f>
        <v>0</v>
      </c>
      <c r="E583" s="38" t="b">
        <f>dataset_A!G583</f>
        <v>0</v>
      </c>
      <c r="F583" s="38" t="b">
        <f>dataset_A!G583</f>
        <v>0</v>
      </c>
      <c r="G583" s="38" t="str">
        <f t="shared" si="1"/>
        <v>Weekend</v>
      </c>
      <c r="H583" s="38" t="str">
        <f t="shared" si="2"/>
        <v>Evening</v>
      </c>
      <c r="I583" s="38" t="str">
        <f>IF(dataset_A!C583=1,"Spring",IF(dataset_A!C583=2,"Summer",IF(dataset_A!C583=3,"Fail","Winter")))</f>
        <v>Spring</v>
      </c>
      <c r="J583" s="38" t="str">
        <f>IF(dataset_A!I583=1,"Clear",IF(dataset_A!I583,"Mist/Cloudy",IF(dataset_A!I583=3,"Light Rain/Snow","Heavy Rain/Snow")))</f>
        <v>Clear</v>
      </c>
      <c r="K583" s="38">
        <f>dataset_A!N583</f>
        <v>0</v>
      </c>
      <c r="L583" s="38">
        <f>dataset_A!O583</f>
        <v>38</v>
      </c>
      <c r="M583" s="38">
        <f>dataset_A!P583</f>
        <v>38</v>
      </c>
      <c r="N583" s="38" t="str">
        <f t="shared" si="3"/>
        <v>Ok</v>
      </c>
      <c r="O583" s="38" t="str">
        <f>IF(M583&gt;Analysis!$B$3*1.5,"High",IF(M583&lt;Analysis!$B$3*0.5,"Low","Medium"))</f>
        <v>Medium</v>
      </c>
      <c r="P583" s="38" t="str">
        <f>VLOOKUP(dataset_A!C583,$Q$2:$R$5,2,0)</f>
        <v>Spring</v>
      </c>
      <c r="S583" s="38" t="str">
        <f t="array" ref="S583">INDEX($R$2:$R$5,MATCH(dataset_A!C583,$Q$2:$Q$5,0))</f>
        <v>Spring</v>
      </c>
      <c r="T583" s="38" t="str">
        <f t="shared" si="4"/>
        <v>Match</v>
      </c>
    </row>
    <row r="584" ht="12.75" customHeight="1">
      <c r="A584" s="38">
        <f>dataset_A!A584</f>
        <v>231</v>
      </c>
      <c r="B584" s="39">
        <f>dataset_A!B584</f>
        <v>40553</v>
      </c>
      <c r="C584" s="38">
        <f>dataset_A!F584</f>
        <v>21</v>
      </c>
      <c r="D584" s="38">
        <f>dataset_A!H584</f>
        <v>1</v>
      </c>
      <c r="E584" s="38" t="b">
        <f>dataset_A!G584</f>
        <v>0</v>
      </c>
      <c r="F584" s="38" t="b">
        <f>dataset_A!G584</f>
        <v>0</v>
      </c>
      <c r="G584" s="38" t="str">
        <f t="shared" si="1"/>
        <v>Weekday</v>
      </c>
      <c r="H584" s="38" t="str">
        <f t="shared" si="2"/>
        <v>Evening</v>
      </c>
      <c r="I584" s="38" t="str">
        <f>IF(dataset_A!C584=1,"Spring",IF(dataset_A!C584=2,"Summer",IF(dataset_A!C584=3,"Fail","Winter")))</f>
        <v>Spring</v>
      </c>
      <c r="J584" s="38" t="str">
        <f>IF(dataset_A!I584=1,"Clear",IF(dataset_A!I584,"Mist/Cloudy",IF(dataset_A!I584=3,"Light Rain/Snow","Heavy Rain/Snow")))</f>
        <v>Clear</v>
      </c>
      <c r="K584" s="38">
        <f>dataset_A!N584</f>
        <v>1</v>
      </c>
      <c r="L584" s="38">
        <f>dataset_A!O584</f>
        <v>37</v>
      </c>
      <c r="M584" s="38">
        <f>dataset_A!P584</f>
        <v>38</v>
      </c>
      <c r="N584" s="38" t="str">
        <f t="shared" si="3"/>
        <v>Ok</v>
      </c>
      <c r="O584" s="38" t="str">
        <f>IF(M584&gt;Analysis!$B$3*1.5,"High",IF(M584&lt;Analysis!$B$3*0.5,"Low","Medium"))</f>
        <v>Medium</v>
      </c>
      <c r="P584" s="38" t="str">
        <f>VLOOKUP(dataset_A!C584,$Q$2:$R$5,2,0)</f>
        <v>Spring</v>
      </c>
      <c r="S584" s="38" t="str">
        <f t="array" ref="S584">INDEX($R$2:$R$5,MATCH(dataset_A!C584,$Q$2:$Q$5,0))</f>
        <v>Spring</v>
      </c>
      <c r="T584" s="38" t="str">
        <f t="shared" si="4"/>
        <v>Match</v>
      </c>
    </row>
    <row r="585" ht="12.75" customHeight="1">
      <c r="A585" s="38">
        <f>dataset_A!A585</f>
        <v>288</v>
      </c>
      <c r="B585" s="39">
        <f>dataset_A!B585</f>
        <v>40556</v>
      </c>
      <c r="C585" s="38">
        <f>dataset_A!F585</f>
        <v>10</v>
      </c>
      <c r="D585" s="38">
        <f>dataset_A!H585</f>
        <v>4</v>
      </c>
      <c r="E585" s="38" t="b">
        <f>dataset_A!G585</f>
        <v>0</v>
      </c>
      <c r="F585" s="38" t="b">
        <f>dataset_A!G585</f>
        <v>0</v>
      </c>
      <c r="G585" s="38" t="str">
        <f t="shared" si="1"/>
        <v>Weekday</v>
      </c>
      <c r="H585" s="38" t="str">
        <f t="shared" si="2"/>
        <v>Morning</v>
      </c>
      <c r="I585" s="38" t="str">
        <f>IF(dataset_A!C585=1,"Spring",IF(dataset_A!C585=2,"Summer",IF(dataset_A!C585=3,"Fail","Winter")))</f>
        <v>Spring</v>
      </c>
      <c r="J585" s="38" t="str">
        <f>IF(dataset_A!I585=1,"Clear",IF(dataset_A!I585,"Mist/Cloudy",IF(dataset_A!I585=3,"Light Rain/Snow","Heavy Rain/Snow")))</f>
        <v>Mist/Cloudy</v>
      </c>
      <c r="K585" s="38">
        <f>dataset_A!N585</f>
        <v>2</v>
      </c>
      <c r="L585" s="38">
        <f>dataset_A!O585</f>
        <v>36</v>
      </c>
      <c r="M585" s="38">
        <f>dataset_A!P585</f>
        <v>38</v>
      </c>
      <c r="N585" s="38" t="str">
        <f t="shared" si="3"/>
        <v>Ok</v>
      </c>
      <c r="O585" s="38" t="str">
        <f>IF(M585&gt;Analysis!$B$3*1.5,"High",IF(M585&lt;Analysis!$B$3*0.5,"Low","Medium"))</f>
        <v>Medium</v>
      </c>
      <c r="P585" s="38" t="str">
        <f>VLOOKUP(dataset_A!C585,$Q$2:$R$5,2,0)</f>
        <v>Spring</v>
      </c>
      <c r="S585" s="38" t="str">
        <f t="array" ref="S585">INDEX($R$2:$R$5,MATCH(dataset_A!C585,$Q$2:$Q$5,0))</f>
        <v>Spring</v>
      </c>
      <c r="T585" s="38" t="str">
        <f t="shared" si="4"/>
        <v>Match</v>
      </c>
    </row>
    <row r="586" ht="12.75" customHeight="1">
      <c r="A586" s="38">
        <f>dataset_A!A586</f>
        <v>593</v>
      </c>
      <c r="B586" s="39">
        <f>dataset_A!B586</f>
        <v>40570</v>
      </c>
      <c r="C586" s="38">
        <f>dataset_A!F586</f>
        <v>21</v>
      </c>
      <c r="D586" s="38">
        <f>dataset_A!H586</f>
        <v>4</v>
      </c>
      <c r="E586" s="38" t="b">
        <f>dataset_A!G586</f>
        <v>0</v>
      </c>
      <c r="F586" s="38" t="b">
        <f>dataset_A!G586</f>
        <v>0</v>
      </c>
      <c r="G586" s="38" t="str">
        <f t="shared" si="1"/>
        <v>Weekday</v>
      </c>
      <c r="H586" s="38" t="str">
        <f t="shared" si="2"/>
        <v>Evening</v>
      </c>
      <c r="I586" s="38" t="str">
        <f>IF(dataset_A!C586=1,"Spring",IF(dataset_A!C586=2,"Summer",IF(dataset_A!C586=3,"Fail","Winter")))</f>
        <v>Spring</v>
      </c>
      <c r="J586" s="38" t="str">
        <f>IF(dataset_A!I586=1,"Clear",IF(dataset_A!I586,"Mist/Cloudy",IF(dataset_A!I586=3,"Light Rain/Snow","Heavy Rain/Snow")))</f>
        <v>Clear</v>
      </c>
      <c r="K586" s="38">
        <f>dataset_A!N586</f>
        <v>2</v>
      </c>
      <c r="L586" s="38">
        <f>dataset_A!O586</f>
        <v>36</v>
      </c>
      <c r="M586" s="38">
        <f>dataset_A!P586</f>
        <v>38</v>
      </c>
      <c r="N586" s="38" t="str">
        <f t="shared" si="3"/>
        <v>Ok</v>
      </c>
      <c r="O586" s="38" t="str">
        <f>IF(M586&gt;Analysis!$B$3*1.5,"High",IF(M586&lt;Analysis!$B$3*0.5,"Low","Medium"))</f>
        <v>Medium</v>
      </c>
      <c r="P586" s="38" t="str">
        <f>VLOOKUP(dataset_A!C586,$Q$2:$R$5,2,0)</f>
        <v>Spring</v>
      </c>
      <c r="S586" s="38" t="str">
        <f t="array" ref="S586">INDEX($R$2:$R$5,MATCH(dataset_A!C586,$Q$2:$Q$5,0))</f>
        <v>Spring</v>
      </c>
      <c r="T586" s="38" t="str">
        <f t="shared" si="4"/>
        <v>Match</v>
      </c>
    </row>
    <row r="587" ht="12.75" customHeight="1">
      <c r="A587" s="38">
        <f>dataset_A!A587</f>
        <v>609</v>
      </c>
      <c r="B587" s="39">
        <f>dataset_A!B587</f>
        <v>40571</v>
      </c>
      <c r="C587" s="38">
        <f>dataset_A!F587</f>
        <v>14</v>
      </c>
      <c r="D587" s="38">
        <f>dataset_A!H587</f>
        <v>5</v>
      </c>
      <c r="E587" s="38" t="b">
        <f>dataset_A!G587</f>
        <v>0</v>
      </c>
      <c r="F587" s="38" t="b">
        <f>dataset_A!G587</f>
        <v>0</v>
      </c>
      <c r="G587" s="38" t="str">
        <f t="shared" si="1"/>
        <v>Weekday</v>
      </c>
      <c r="H587" s="38" t="str">
        <f t="shared" si="2"/>
        <v>Afternoon</v>
      </c>
      <c r="I587" s="38" t="str">
        <f>IF(dataset_A!C587=1,"Spring",IF(dataset_A!C587=2,"Summer",IF(dataset_A!C587=3,"Fail","Winter")))</f>
        <v>Spring</v>
      </c>
      <c r="J587" s="38" t="str">
        <f>IF(dataset_A!I587=1,"Clear",IF(dataset_A!I587,"Mist/Cloudy",IF(dataset_A!I587=3,"Light Rain/Snow","Heavy Rain/Snow")))</f>
        <v>Mist/Cloudy</v>
      </c>
      <c r="K587" s="38">
        <f>dataset_A!N587</f>
        <v>2</v>
      </c>
      <c r="L587" s="38">
        <f>dataset_A!O587</f>
        <v>36</v>
      </c>
      <c r="M587" s="38">
        <f>dataset_A!P587</f>
        <v>38</v>
      </c>
      <c r="N587" s="38" t="str">
        <f t="shared" si="3"/>
        <v>Ok</v>
      </c>
      <c r="O587" s="38" t="str">
        <f>IF(M587&gt;Analysis!$B$3*1.5,"High",IF(M587&lt;Analysis!$B$3*0.5,"Low","Medium"))</f>
        <v>Medium</v>
      </c>
      <c r="P587" s="38" t="str">
        <f>VLOOKUP(dataset_A!C587,$Q$2:$R$5,2,0)</f>
        <v>Spring</v>
      </c>
      <c r="S587" s="38" t="str">
        <f t="array" ref="S587">INDEX($R$2:$R$5,MATCH(dataset_A!C587,$Q$2:$Q$5,0))</f>
        <v>Spring</v>
      </c>
      <c r="T587" s="38" t="str">
        <f t="shared" si="4"/>
        <v>Match</v>
      </c>
    </row>
    <row r="588" ht="12.75" customHeight="1">
      <c r="A588" s="38">
        <f>dataset_A!A588</f>
        <v>650</v>
      </c>
      <c r="B588" s="39">
        <f>dataset_A!B588</f>
        <v>40573</v>
      </c>
      <c r="C588" s="38">
        <f>dataset_A!F588</f>
        <v>9</v>
      </c>
      <c r="D588" s="38">
        <f>dataset_A!H588</f>
        <v>0</v>
      </c>
      <c r="E588" s="38" t="b">
        <f>dataset_A!G588</f>
        <v>0</v>
      </c>
      <c r="F588" s="38" t="b">
        <f>dataset_A!G588</f>
        <v>0</v>
      </c>
      <c r="G588" s="38" t="str">
        <f t="shared" si="1"/>
        <v>Weekend</v>
      </c>
      <c r="H588" s="38" t="str">
        <f t="shared" si="2"/>
        <v>Morning</v>
      </c>
      <c r="I588" s="38" t="str">
        <f>IF(dataset_A!C588=1,"Spring",IF(dataset_A!C588=2,"Summer",IF(dataset_A!C588=3,"Fail","Winter")))</f>
        <v>Spring</v>
      </c>
      <c r="J588" s="38" t="str">
        <f>IF(dataset_A!I588=1,"Clear",IF(dataset_A!I588,"Mist/Cloudy",IF(dataset_A!I588=3,"Light Rain/Snow","Heavy Rain/Snow")))</f>
        <v>Mist/Cloudy</v>
      </c>
      <c r="K588" s="38">
        <f>dataset_A!N588</f>
        <v>4</v>
      </c>
      <c r="L588" s="38">
        <f>dataset_A!O588</f>
        <v>34</v>
      </c>
      <c r="M588" s="38">
        <f>dataset_A!P588</f>
        <v>38</v>
      </c>
      <c r="N588" s="38" t="str">
        <f t="shared" si="3"/>
        <v>Ok</v>
      </c>
      <c r="O588" s="38" t="str">
        <f>IF(M588&gt;Analysis!$B$3*1.5,"High",IF(M588&lt;Analysis!$B$3*0.5,"Low","Medium"))</f>
        <v>Medium</v>
      </c>
      <c r="P588" s="38" t="str">
        <f>VLOOKUP(dataset_A!C588,$Q$2:$R$5,2,0)</f>
        <v>Spring</v>
      </c>
      <c r="S588" s="38" t="str">
        <f t="array" ref="S588">INDEX($R$2:$R$5,MATCH(dataset_A!C588,$Q$2:$Q$5,0))</f>
        <v>Spring</v>
      </c>
      <c r="T588" s="38" t="str">
        <f t="shared" si="4"/>
        <v>Match</v>
      </c>
    </row>
    <row r="589" ht="12.75" customHeight="1">
      <c r="A589" s="38">
        <f>dataset_A!A589</f>
        <v>758</v>
      </c>
      <c r="B589" s="39">
        <f>dataset_A!B589</f>
        <v>40577</v>
      </c>
      <c r="C589" s="38">
        <f>dataset_A!F589</f>
        <v>23</v>
      </c>
      <c r="D589" s="38">
        <f>dataset_A!H589</f>
        <v>4</v>
      </c>
      <c r="E589" s="38" t="b">
        <f>dataset_A!G589</f>
        <v>0</v>
      </c>
      <c r="F589" s="38" t="b">
        <f>dataset_A!G589</f>
        <v>0</v>
      </c>
      <c r="G589" s="38" t="str">
        <f t="shared" si="1"/>
        <v>Weekday</v>
      </c>
      <c r="H589" s="38" t="str">
        <f t="shared" si="2"/>
        <v>Evening</v>
      </c>
      <c r="I589" s="38" t="str">
        <f>IF(dataset_A!C589=1,"Spring",IF(dataset_A!C589=2,"Summer",IF(dataset_A!C589=3,"Fail","Winter")))</f>
        <v>Spring</v>
      </c>
      <c r="J589" s="38" t="str">
        <f>IF(dataset_A!I589=1,"Clear",IF(dataset_A!I589,"Mist/Cloudy",IF(dataset_A!I589=3,"Light Rain/Snow","Heavy Rain/Snow")))</f>
        <v>Clear</v>
      </c>
      <c r="K589" s="38">
        <f>dataset_A!N589</f>
        <v>4</v>
      </c>
      <c r="L589" s="38">
        <f>dataset_A!O589</f>
        <v>34</v>
      </c>
      <c r="M589" s="38">
        <f>dataset_A!P589</f>
        <v>38</v>
      </c>
      <c r="N589" s="38" t="str">
        <f t="shared" si="3"/>
        <v>Ok</v>
      </c>
      <c r="O589" s="38" t="str">
        <f>IF(M589&gt;Analysis!$B$3*1.5,"High",IF(M589&lt;Analysis!$B$3*0.5,"Low","Medium"))</f>
        <v>Medium</v>
      </c>
      <c r="P589" s="38" t="str">
        <f>VLOOKUP(dataset_A!C589,$Q$2:$R$5,2,0)</f>
        <v>Spring</v>
      </c>
      <c r="S589" s="38" t="str">
        <f t="array" ref="S589">INDEX($R$2:$R$5,MATCH(dataset_A!C589,$Q$2:$Q$5,0))</f>
        <v>Spring</v>
      </c>
      <c r="T589" s="38" t="str">
        <f t="shared" si="4"/>
        <v>Match</v>
      </c>
    </row>
    <row r="590" ht="12.75" customHeight="1">
      <c r="A590" s="38">
        <f>dataset_A!A590</f>
        <v>20</v>
      </c>
      <c r="B590" s="39">
        <f>dataset_A!B590</f>
        <v>40544</v>
      </c>
      <c r="C590" s="38">
        <f>dataset_A!F590</f>
        <v>19</v>
      </c>
      <c r="D590" s="38">
        <f>dataset_A!H590</f>
        <v>6</v>
      </c>
      <c r="E590" s="38" t="b">
        <f>dataset_A!G590</f>
        <v>0</v>
      </c>
      <c r="F590" s="38" t="b">
        <f>dataset_A!G590</f>
        <v>0</v>
      </c>
      <c r="G590" s="38" t="str">
        <f t="shared" si="1"/>
        <v>Weekend</v>
      </c>
      <c r="H590" s="38" t="str">
        <f t="shared" si="2"/>
        <v>Evening</v>
      </c>
      <c r="I590" s="38" t="str">
        <f>IF(dataset_A!C590=1,"Spring",IF(dataset_A!C590=2,"Summer",IF(dataset_A!C590=3,"Fail","Winter")))</f>
        <v>Spring</v>
      </c>
      <c r="J590" s="38" t="str">
        <f>IF(dataset_A!I590=1,"Clear",IF(dataset_A!I590,"Mist/Cloudy",IF(dataset_A!I590=3,"Light Rain/Snow","Heavy Rain/Snow")))</f>
        <v>Mist/Cloudy</v>
      </c>
      <c r="K590" s="38">
        <f>dataset_A!N590</f>
        <v>6</v>
      </c>
      <c r="L590" s="38">
        <f>dataset_A!O590</f>
        <v>31</v>
      </c>
      <c r="M590" s="38">
        <f>dataset_A!P590</f>
        <v>37</v>
      </c>
      <c r="N590" s="38" t="str">
        <f t="shared" si="3"/>
        <v>Ok</v>
      </c>
      <c r="O590" s="38" t="str">
        <f>IF(M590&gt;Analysis!$B$3*1.5,"High",IF(M590&lt;Analysis!$B$3*0.5,"Low","Medium"))</f>
        <v>Medium</v>
      </c>
      <c r="P590" s="38" t="str">
        <f>VLOOKUP(dataset_A!C590,$Q$2:$R$5,2,0)</f>
        <v>Spring</v>
      </c>
      <c r="S590" s="38" t="str">
        <f t="array" ref="S590">INDEX($R$2:$R$5,MATCH(dataset_A!C590,$Q$2:$Q$5,0))</f>
        <v>Spring</v>
      </c>
      <c r="T590" s="38" t="str">
        <f t="shared" si="4"/>
        <v>Match</v>
      </c>
    </row>
    <row r="591" ht="12.75" customHeight="1">
      <c r="A591" s="38">
        <f>dataset_A!A591</f>
        <v>183</v>
      </c>
      <c r="B591" s="39">
        <f>dataset_A!B591</f>
        <v>40551</v>
      </c>
      <c r="C591" s="38">
        <f>dataset_A!F591</f>
        <v>21</v>
      </c>
      <c r="D591" s="38">
        <f>dataset_A!H591</f>
        <v>6</v>
      </c>
      <c r="E591" s="38" t="b">
        <f>dataset_A!G591</f>
        <v>0</v>
      </c>
      <c r="F591" s="38" t="b">
        <f>dataset_A!G591</f>
        <v>0</v>
      </c>
      <c r="G591" s="38" t="str">
        <f t="shared" si="1"/>
        <v>Weekend</v>
      </c>
      <c r="H591" s="38" t="str">
        <f t="shared" si="2"/>
        <v>Evening</v>
      </c>
      <c r="I591" s="38" t="str">
        <f>IF(dataset_A!C591=1,"Spring",IF(dataset_A!C591=2,"Summer",IF(dataset_A!C591=3,"Fail","Winter")))</f>
        <v>Spring</v>
      </c>
      <c r="J591" s="38" t="str">
        <f>IF(dataset_A!I591=1,"Clear",IF(dataset_A!I591,"Mist/Cloudy",IF(dataset_A!I591=3,"Light Rain/Snow","Heavy Rain/Snow")))</f>
        <v>Clear</v>
      </c>
      <c r="K591" s="38">
        <f>dataset_A!N591</f>
        <v>2</v>
      </c>
      <c r="L591" s="38">
        <f>dataset_A!O591</f>
        <v>35</v>
      </c>
      <c r="M591" s="38">
        <f>dataset_A!P591</f>
        <v>37</v>
      </c>
      <c r="N591" s="38" t="str">
        <f t="shared" si="3"/>
        <v>Ok</v>
      </c>
      <c r="O591" s="38" t="str">
        <f>IF(M591&gt;Analysis!$B$3*1.5,"High",IF(M591&lt;Analysis!$B$3*0.5,"Low","Medium"))</f>
        <v>Medium</v>
      </c>
      <c r="P591" s="38" t="str">
        <f>VLOOKUP(dataset_A!C591,$Q$2:$R$5,2,0)</f>
        <v>Spring</v>
      </c>
      <c r="S591" s="38" t="str">
        <f t="array" ref="S591">INDEX($R$2:$R$5,MATCH(dataset_A!C591,$Q$2:$Q$5,0))</f>
        <v>Spring</v>
      </c>
      <c r="T591" s="38" t="str">
        <f t="shared" si="4"/>
        <v>Match</v>
      </c>
    </row>
    <row r="592" ht="12.75" customHeight="1">
      <c r="A592" s="38">
        <f>dataset_A!A592</f>
        <v>289</v>
      </c>
      <c r="B592" s="39">
        <f>dataset_A!B592</f>
        <v>40556</v>
      </c>
      <c r="C592" s="38">
        <f>dataset_A!F592</f>
        <v>11</v>
      </c>
      <c r="D592" s="38">
        <f>dataset_A!H592</f>
        <v>4</v>
      </c>
      <c r="E592" s="38" t="b">
        <f>dataset_A!G592</f>
        <v>0</v>
      </c>
      <c r="F592" s="38" t="b">
        <f>dataset_A!G592</f>
        <v>0</v>
      </c>
      <c r="G592" s="38" t="str">
        <f t="shared" si="1"/>
        <v>Weekday</v>
      </c>
      <c r="H592" s="38" t="str">
        <f t="shared" si="2"/>
        <v>Morning</v>
      </c>
      <c r="I592" s="38" t="str">
        <f>IF(dataset_A!C592=1,"Spring",IF(dataset_A!C592=2,"Summer",IF(dataset_A!C592=3,"Fail","Winter")))</f>
        <v>Spring</v>
      </c>
      <c r="J592" s="38" t="str">
        <f>IF(dataset_A!I592=1,"Clear",IF(dataset_A!I592,"Mist/Cloudy",IF(dataset_A!I592=3,"Light Rain/Snow","Heavy Rain/Snow")))</f>
        <v>Mist/Cloudy</v>
      </c>
      <c r="K592" s="38">
        <f>dataset_A!N592</f>
        <v>4</v>
      </c>
      <c r="L592" s="38">
        <f>dataset_A!O592</f>
        <v>33</v>
      </c>
      <c r="M592" s="38">
        <f>dataset_A!P592</f>
        <v>37</v>
      </c>
      <c r="N592" s="38" t="str">
        <f t="shared" si="3"/>
        <v>Ok</v>
      </c>
      <c r="O592" s="38" t="str">
        <f>IF(M592&gt;Analysis!$B$3*1.5,"High",IF(M592&lt;Analysis!$B$3*0.5,"Low","Medium"))</f>
        <v>Medium</v>
      </c>
      <c r="P592" s="38" t="str">
        <f>VLOOKUP(dataset_A!C592,$Q$2:$R$5,2,0)</f>
        <v>Spring</v>
      </c>
      <c r="S592" s="38" t="str">
        <f t="array" ref="S592">INDEX($R$2:$R$5,MATCH(dataset_A!C592,$Q$2:$Q$5,0))</f>
        <v>Spring</v>
      </c>
      <c r="T592" s="38" t="str">
        <f t="shared" si="4"/>
        <v>Match</v>
      </c>
    </row>
    <row r="593" ht="12.75" customHeight="1">
      <c r="A593" s="38">
        <f>dataset_A!A593</f>
        <v>671</v>
      </c>
      <c r="B593" s="39">
        <f>dataset_A!B593</f>
        <v>40574</v>
      </c>
      <c r="C593" s="38">
        <f>dataset_A!F593</f>
        <v>6</v>
      </c>
      <c r="D593" s="38">
        <f>dataset_A!H593</f>
        <v>1</v>
      </c>
      <c r="E593" s="38" t="b">
        <f>dataset_A!G593</f>
        <v>0</v>
      </c>
      <c r="F593" s="38" t="b">
        <f>dataset_A!G593</f>
        <v>0</v>
      </c>
      <c r="G593" s="38" t="str">
        <f t="shared" si="1"/>
        <v>Weekday</v>
      </c>
      <c r="H593" s="38" t="str">
        <f t="shared" si="2"/>
        <v>Morning</v>
      </c>
      <c r="I593" s="38" t="str">
        <f>IF(dataset_A!C593=1,"Spring",IF(dataset_A!C593=2,"Summer",IF(dataset_A!C593=3,"Fail","Winter")))</f>
        <v>Spring</v>
      </c>
      <c r="J593" s="38" t="str">
        <f>IF(dataset_A!I593=1,"Clear",IF(dataset_A!I593,"Mist/Cloudy",IF(dataset_A!I593=3,"Light Rain/Snow","Heavy Rain/Snow")))</f>
        <v>Clear</v>
      </c>
      <c r="K593" s="38">
        <f>dataset_A!N593</f>
        <v>0</v>
      </c>
      <c r="L593" s="38">
        <f>dataset_A!O593</f>
        <v>37</v>
      </c>
      <c r="M593" s="38">
        <f>dataset_A!P593</f>
        <v>37</v>
      </c>
      <c r="N593" s="38" t="str">
        <f t="shared" si="3"/>
        <v>Ok</v>
      </c>
      <c r="O593" s="38" t="str">
        <f>IF(M593&gt;Analysis!$B$3*1.5,"High",IF(M593&lt;Analysis!$B$3*0.5,"Low","Medium"))</f>
        <v>Medium</v>
      </c>
      <c r="P593" s="38" t="str">
        <f>VLOOKUP(dataset_A!C593,$Q$2:$R$5,2,0)</f>
        <v>Spring</v>
      </c>
      <c r="S593" s="38" t="str">
        <f t="array" ref="S593">INDEX($R$2:$R$5,MATCH(dataset_A!C593,$Q$2:$Q$5,0))</f>
        <v>Spring</v>
      </c>
      <c r="T593" s="38" t="str">
        <f t="shared" si="4"/>
        <v>Match</v>
      </c>
    </row>
    <row r="594" ht="12.75" customHeight="1">
      <c r="A594" s="38">
        <f>dataset_A!A594</f>
        <v>852</v>
      </c>
      <c r="B594" s="39">
        <f>dataset_A!B594</f>
        <v>40581</v>
      </c>
      <c r="C594" s="38">
        <f>dataset_A!F594</f>
        <v>22</v>
      </c>
      <c r="D594" s="38">
        <f>dataset_A!H594</f>
        <v>1</v>
      </c>
      <c r="E594" s="38" t="b">
        <f>dataset_A!G594</f>
        <v>0</v>
      </c>
      <c r="F594" s="38" t="b">
        <f>dataset_A!G594</f>
        <v>0</v>
      </c>
      <c r="G594" s="38" t="str">
        <f t="shared" si="1"/>
        <v>Weekday</v>
      </c>
      <c r="H594" s="38" t="str">
        <f t="shared" si="2"/>
        <v>Evening</v>
      </c>
      <c r="I594" s="38" t="str">
        <f>IF(dataset_A!C594=1,"Spring",IF(dataset_A!C594=2,"Summer",IF(dataset_A!C594=3,"Fail","Winter")))</f>
        <v>Spring</v>
      </c>
      <c r="J594" s="38" t="str">
        <f>IF(dataset_A!I594=1,"Clear",IF(dataset_A!I594,"Mist/Cloudy",IF(dataset_A!I594=3,"Light Rain/Snow","Heavy Rain/Snow")))</f>
        <v>Clear</v>
      </c>
      <c r="K594" s="38">
        <f>dataset_A!N594</f>
        <v>3</v>
      </c>
      <c r="L594" s="38">
        <f>dataset_A!O594</f>
        <v>34</v>
      </c>
      <c r="M594" s="38">
        <f>dataset_A!P594</f>
        <v>37</v>
      </c>
      <c r="N594" s="38" t="str">
        <f t="shared" si="3"/>
        <v>Ok</v>
      </c>
      <c r="O594" s="38" t="str">
        <f>IF(M594&gt;Analysis!$B$3*1.5,"High",IF(M594&lt;Analysis!$B$3*0.5,"Low","Medium"))</f>
        <v>Medium</v>
      </c>
      <c r="P594" s="38" t="str">
        <f>VLOOKUP(dataset_A!C594,$Q$2:$R$5,2,0)</f>
        <v>Spring</v>
      </c>
      <c r="S594" s="38" t="str">
        <f t="array" ref="S594">INDEX($R$2:$R$5,MATCH(dataset_A!C594,$Q$2:$Q$5,0))</f>
        <v>Spring</v>
      </c>
      <c r="T594" s="38" t="str">
        <f t="shared" si="4"/>
        <v>Match</v>
      </c>
    </row>
    <row r="595" ht="12.75" customHeight="1">
      <c r="A595" s="38">
        <f>dataset_A!A595</f>
        <v>900</v>
      </c>
      <c r="B595" s="39">
        <f>dataset_A!B595</f>
        <v>40583</v>
      </c>
      <c r="C595" s="38">
        <f>dataset_A!F595</f>
        <v>23</v>
      </c>
      <c r="D595" s="38">
        <f>dataset_A!H595</f>
        <v>3</v>
      </c>
      <c r="E595" s="38" t="b">
        <f>dataset_A!G595</f>
        <v>0</v>
      </c>
      <c r="F595" s="38" t="b">
        <f>dataset_A!G595</f>
        <v>0</v>
      </c>
      <c r="G595" s="38" t="str">
        <f t="shared" si="1"/>
        <v>Weekday</v>
      </c>
      <c r="H595" s="38" t="str">
        <f t="shared" si="2"/>
        <v>Evening</v>
      </c>
      <c r="I595" s="38" t="str">
        <f>IF(dataset_A!C595=1,"Spring",IF(dataset_A!C595=2,"Summer",IF(dataset_A!C595=3,"Fail","Winter")))</f>
        <v>Spring</v>
      </c>
      <c r="J595" s="38" t="str">
        <f>IF(dataset_A!I595=1,"Clear",IF(dataset_A!I595,"Mist/Cloudy",IF(dataset_A!I595=3,"Light Rain/Snow","Heavy Rain/Snow")))</f>
        <v>Mist/Cloudy</v>
      </c>
      <c r="K595" s="38">
        <f>dataset_A!N595</f>
        <v>0</v>
      </c>
      <c r="L595" s="38">
        <f>dataset_A!O595</f>
        <v>37</v>
      </c>
      <c r="M595" s="38">
        <f>dataset_A!P595</f>
        <v>37</v>
      </c>
      <c r="N595" s="38" t="str">
        <f t="shared" si="3"/>
        <v>Ok</v>
      </c>
      <c r="O595" s="38" t="str">
        <f>IF(M595&gt;Analysis!$B$3*1.5,"High",IF(M595&lt;Analysis!$B$3*0.5,"Low","Medium"))</f>
        <v>Medium</v>
      </c>
      <c r="P595" s="38" t="str">
        <f>VLOOKUP(dataset_A!C595,$Q$2:$R$5,2,0)</f>
        <v>Spring</v>
      </c>
      <c r="S595" s="38" t="str">
        <f t="array" ref="S595">INDEX($R$2:$R$5,MATCH(dataset_A!C595,$Q$2:$Q$5,0))</f>
        <v>Spring</v>
      </c>
      <c r="T595" s="38" t="str">
        <f t="shared" si="4"/>
        <v>Match</v>
      </c>
    </row>
    <row r="596" ht="12.75" customHeight="1">
      <c r="A596" s="38">
        <f>dataset_A!A596</f>
        <v>11</v>
      </c>
      <c r="B596" s="39">
        <f>dataset_A!B596</f>
        <v>40544</v>
      </c>
      <c r="C596" s="38">
        <f>dataset_A!F596</f>
        <v>10</v>
      </c>
      <c r="D596" s="38">
        <f>dataset_A!H596</f>
        <v>6</v>
      </c>
      <c r="E596" s="38" t="b">
        <f>dataset_A!G596</f>
        <v>0</v>
      </c>
      <c r="F596" s="38" t="b">
        <f>dataset_A!G596</f>
        <v>0</v>
      </c>
      <c r="G596" s="38" t="str">
        <f t="shared" si="1"/>
        <v>Weekend</v>
      </c>
      <c r="H596" s="38" t="str">
        <f t="shared" si="2"/>
        <v>Morning</v>
      </c>
      <c r="I596" s="38" t="str">
        <f>IF(dataset_A!C596=1,"Spring",IF(dataset_A!C596=2,"Summer",IF(dataset_A!C596=3,"Fail","Winter")))</f>
        <v>Spring</v>
      </c>
      <c r="J596" s="38" t="str">
        <f>IF(dataset_A!I596=1,"Clear",IF(dataset_A!I596,"Mist/Cloudy",IF(dataset_A!I596=3,"Light Rain/Snow","Heavy Rain/Snow")))</f>
        <v>Clear</v>
      </c>
      <c r="K596" s="38">
        <f>dataset_A!N596</f>
        <v>12</v>
      </c>
      <c r="L596" s="38">
        <f>dataset_A!O596</f>
        <v>24</v>
      </c>
      <c r="M596" s="38">
        <f>dataset_A!P596</f>
        <v>36</v>
      </c>
      <c r="N596" s="38" t="str">
        <f t="shared" si="3"/>
        <v>Ok</v>
      </c>
      <c r="O596" s="38" t="str">
        <f>IF(M596&gt;Analysis!$B$3*1.5,"High",IF(M596&lt;Analysis!$B$3*0.5,"Low","Medium"))</f>
        <v>Medium</v>
      </c>
      <c r="P596" s="38" t="str">
        <f>VLOOKUP(dataset_A!C596,$Q$2:$R$5,2,0)</f>
        <v>Spring</v>
      </c>
      <c r="S596" s="38" t="str">
        <f t="array" ref="S596">INDEX($R$2:$R$5,MATCH(dataset_A!C596,$Q$2:$Q$5,0))</f>
        <v>Spring</v>
      </c>
      <c r="T596" s="38" t="str">
        <f t="shared" si="4"/>
        <v>Match</v>
      </c>
    </row>
    <row r="597" ht="12.75" customHeight="1">
      <c r="A597" s="38">
        <f>dataset_A!A597</f>
        <v>21</v>
      </c>
      <c r="B597" s="39">
        <f>dataset_A!B597</f>
        <v>40544</v>
      </c>
      <c r="C597" s="38">
        <f>dataset_A!F597</f>
        <v>20</v>
      </c>
      <c r="D597" s="38">
        <f>dataset_A!H597</f>
        <v>6</v>
      </c>
      <c r="E597" s="38" t="b">
        <f>dataset_A!G597</f>
        <v>0</v>
      </c>
      <c r="F597" s="38" t="b">
        <f>dataset_A!G597</f>
        <v>0</v>
      </c>
      <c r="G597" s="38" t="str">
        <f t="shared" si="1"/>
        <v>Weekend</v>
      </c>
      <c r="H597" s="38" t="str">
        <f t="shared" si="2"/>
        <v>Evening</v>
      </c>
      <c r="I597" s="38" t="str">
        <f>IF(dataset_A!C597=1,"Spring",IF(dataset_A!C597=2,"Summer",IF(dataset_A!C597=3,"Fail","Winter")))</f>
        <v>Spring</v>
      </c>
      <c r="J597" s="38" t="str">
        <f>IF(dataset_A!I597=1,"Clear",IF(dataset_A!I597,"Mist/Cloudy",IF(dataset_A!I597=3,"Light Rain/Snow","Heavy Rain/Snow")))</f>
        <v>Mist/Cloudy</v>
      </c>
      <c r="K597" s="38">
        <f>dataset_A!N597</f>
        <v>11</v>
      </c>
      <c r="L597" s="38">
        <f>dataset_A!O597</f>
        <v>25</v>
      </c>
      <c r="M597" s="38">
        <f>dataset_A!P597</f>
        <v>36</v>
      </c>
      <c r="N597" s="38" t="str">
        <f t="shared" si="3"/>
        <v>Ok</v>
      </c>
      <c r="O597" s="38" t="str">
        <f>IF(M597&gt;Analysis!$B$3*1.5,"High",IF(M597&lt;Analysis!$B$3*0.5,"Low","Medium"))</f>
        <v>Medium</v>
      </c>
      <c r="P597" s="38" t="str">
        <f>VLOOKUP(dataset_A!C597,$Q$2:$R$5,2,0)</f>
        <v>Spring</v>
      </c>
      <c r="S597" s="38" t="str">
        <f t="array" ref="S597">INDEX($R$2:$R$5,MATCH(dataset_A!C597,$Q$2:$Q$5,0))</f>
        <v>Spring</v>
      </c>
      <c r="T597" s="38" t="str">
        <f t="shared" si="4"/>
        <v>Match</v>
      </c>
    </row>
    <row r="598" ht="12.75" customHeight="1">
      <c r="A598" s="38">
        <f>dataset_A!A598</f>
        <v>75</v>
      </c>
      <c r="B598" s="39">
        <f>dataset_A!B598</f>
        <v>40547</v>
      </c>
      <c r="C598" s="38">
        <f>dataset_A!F598</f>
        <v>6</v>
      </c>
      <c r="D598" s="38">
        <f>dataset_A!H598</f>
        <v>2</v>
      </c>
      <c r="E598" s="38" t="b">
        <f>dataset_A!G598</f>
        <v>0</v>
      </c>
      <c r="F598" s="38" t="b">
        <f>dataset_A!G598</f>
        <v>0</v>
      </c>
      <c r="G598" s="38" t="str">
        <f t="shared" si="1"/>
        <v>Weekday</v>
      </c>
      <c r="H598" s="38" t="str">
        <f t="shared" si="2"/>
        <v>Morning</v>
      </c>
      <c r="I598" s="38" t="str">
        <f>IF(dataset_A!C598=1,"Spring",IF(dataset_A!C598=2,"Summer",IF(dataset_A!C598=3,"Fail","Winter")))</f>
        <v>Spring</v>
      </c>
      <c r="J598" s="38" t="str">
        <f>IF(dataset_A!I598=1,"Clear",IF(dataset_A!I598,"Mist/Cloudy",IF(dataset_A!I598=3,"Light Rain/Snow","Heavy Rain/Snow")))</f>
        <v>Clear</v>
      </c>
      <c r="K598" s="38">
        <f>dataset_A!N598</f>
        <v>0</v>
      </c>
      <c r="L598" s="38">
        <f>dataset_A!O598</f>
        <v>36</v>
      </c>
      <c r="M598" s="38">
        <f>dataset_A!P598</f>
        <v>36</v>
      </c>
      <c r="N598" s="38" t="str">
        <f t="shared" si="3"/>
        <v>Ok</v>
      </c>
      <c r="O598" s="38" t="str">
        <f>IF(M598&gt;Analysis!$B$3*1.5,"High",IF(M598&lt;Analysis!$B$3*0.5,"Low","Medium"))</f>
        <v>Medium</v>
      </c>
      <c r="P598" s="38" t="str">
        <f>VLOOKUP(dataset_A!C598,$Q$2:$R$5,2,0)</f>
        <v>Spring</v>
      </c>
      <c r="S598" s="38" t="str">
        <f t="array" ref="S598">INDEX($R$2:$R$5,MATCH(dataset_A!C598,$Q$2:$Q$5,0))</f>
        <v>Spring</v>
      </c>
      <c r="T598" s="38" t="str">
        <f t="shared" si="4"/>
        <v>Match</v>
      </c>
    </row>
    <row r="599" ht="12.75" customHeight="1">
      <c r="A599" s="38">
        <f>dataset_A!A599</f>
        <v>121</v>
      </c>
      <c r="B599" s="39">
        <f>dataset_A!B599</f>
        <v>40549</v>
      </c>
      <c r="C599" s="38">
        <f>dataset_A!F599</f>
        <v>6</v>
      </c>
      <c r="D599" s="38">
        <f>dataset_A!H599</f>
        <v>4</v>
      </c>
      <c r="E599" s="38" t="b">
        <f>dataset_A!G599</f>
        <v>0</v>
      </c>
      <c r="F599" s="38" t="b">
        <f>dataset_A!G599</f>
        <v>0</v>
      </c>
      <c r="G599" s="38" t="str">
        <f t="shared" si="1"/>
        <v>Weekday</v>
      </c>
      <c r="H599" s="38" t="str">
        <f t="shared" si="2"/>
        <v>Morning</v>
      </c>
      <c r="I599" s="38" t="str">
        <f>IF(dataset_A!C599=1,"Spring",IF(dataset_A!C599=2,"Summer",IF(dataset_A!C599=3,"Fail","Winter")))</f>
        <v>Spring</v>
      </c>
      <c r="J599" s="38" t="str">
        <f>IF(dataset_A!I599=1,"Clear",IF(dataset_A!I599,"Mist/Cloudy",IF(dataset_A!I599=3,"Light Rain/Snow","Heavy Rain/Snow")))</f>
        <v>Mist/Cloudy</v>
      </c>
      <c r="K599" s="38">
        <f>dataset_A!N599</f>
        <v>0</v>
      </c>
      <c r="L599" s="38">
        <f>dataset_A!O599</f>
        <v>36</v>
      </c>
      <c r="M599" s="38">
        <f>dataset_A!P599</f>
        <v>36</v>
      </c>
      <c r="N599" s="38" t="str">
        <f t="shared" si="3"/>
        <v>Ok</v>
      </c>
      <c r="O599" s="38" t="str">
        <f>IF(M599&gt;Analysis!$B$3*1.5,"High",IF(M599&lt;Analysis!$B$3*0.5,"Low","Medium"))</f>
        <v>Medium</v>
      </c>
      <c r="P599" s="38" t="str">
        <f>VLOOKUP(dataset_A!C599,$Q$2:$R$5,2,0)</f>
        <v>Spring</v>
      </c>
      <c r="S599" s="38" t="str">
        <f t="array" ref="S599">INDEX($R$2:$R$5,MATCH(dataset_A!C599,$Q$2:$Q$5,0))</f>
        <v>Spring</v>
      </c>
      <c r="T599" s="38" t="str">
        <f t="shared" si="4"/>
        <v>Match</v>
      </c>
    </row>
    <row r="600" ht="12.75" customHeight="1">
      <c r="A600" s="38">
        <f>dataset_A!A600</f>
        <v>160</v>
      </c>
      <c r="B600" s="39">
        <f>dataset_A!B600</f>
        <v>40550</v>
      </c>
      <c r="C600" s="38">
        <f>dataset_A!F600</f>
        <v>22</v>
      </c>
      <c r="D600" s="38">
        <f>dataset_A!H600</f>
        <v>5</v>
      </c>
      <c r="E600" s="38" t="b">
        <f>dataset_A!G600</f>
        <v>0</v>
      </c>
      <c r="F600" s="38" t="b">
        <f>dataset_A!G600</f>
        <v>0</v>
      </c>
      <c r="G600" s="38" t="str">
        <f t="shared" si="1"/>
        <v>Weekday</v>
      </c>
      <c r="H600" s="38" t="str">
        <f t="shared" si="2"/>
        <v>Evening</v>
      </c>
      <c r="I600" s="38" t="str">
        <f>IF(dataset_A!C600=1,"Spring",IF(dataset_A!C600=2,"Summer",IF(dataset_A!C600=3,"Fail","Winter")))</f>
        <v>Spring</v>
      </c>
      <c r="J600" s="38" t="str">
        <f>IF(dataset_A!I600=1,"Clear",IF(dataset_A!I600,"Mist/Cloudy",IF(dataset_A!I600=3,"Light Rain/Snow","Heavy Rain/Snow")))</f>
        <v>Mist/Cloudy</v>
      </c>
      <c r="K600" s="38">
        <f>dataset_A!N600</f>
        <v>2</v>
      </c>
      <c r="L600" s="38">
        <f>dataset_A!O600</f>
        <v>34</v>
      </c>
      <c r="M600" s="38">
        <f>dataset_A!P600</f>
        <v>36</v>
      </c>
      <c r="N600" s="38" t="str">
        <f t="shared" si="3"/>
        <v>Ok</v>
      </c>
      <c r="O600" s="38" t="str">
        <f>IF(M600&gt;Analysis!$B$3*1.5,"High",IF(M600&lt;Analysis!$B$3*0.5,"Low","Medium"))</f>
        <v>Medium</v>
      </c>
      <c r="P600" s="38" t="str">
        <f>VLOOKUP(dataset_A!C600,$Q$2:$R$5,2,0)</f>
        <v>Spring</v>
      </c>
      <c r="S600" s="38" t="str">
        <f t="array" ref="S600">INDEX($R$2:$R$5,MATCH(dataset_A!C600,$Q$2:$Q$5,0))</f>
        <v>Spring</v>
      </c>
      <c r="T600" s="38" t="str">
        <f t="shared" si="4"/>
        <v>Match</v>
      </c>
    </row>
    <row r="601" ht="12.75" customHeight="1">
      <c r="A601" s="38">
        <f>dataset_A!A601</f>
        <v>323</v>
      </c>
      <c r="B601" s="39">
        <f>dataset_A!B601</f>
        <v>40557</v>
      </c>
      <c r="C601" s="38">
        <f>dataset_A!F601</f>
        <v>22</v>
      </c>
      <c r="D601" s="38">
        <f>dataset_A!H601</f>
        <v>5</v>
      </c>
      <c r="E601" s="38" t="b">
        <f>dataset_A!G601</f>
        <v>0</v>
      </c>
      <c r="F601" s="38" t="b">
        <f>dataset_A!G601</f>
        <v>0</v>
      </c>
      <c r="G601" s="38" t="str">
        <f t="shared" si="1"/>
        <v>Weekday</v>
      </c>
      <c r="H601" s="38" t="str">
        <f t="shared" si="2"/>
        <v>Evening</v>
      </c>
      <c r="I601" s="38" t="str">
        <f>IF(dataset_A!C601=1,"Spring",IF(dataset_A!C601=2,"Summer",IF(dataset_A!C601=3,"Fail","Winter")))</f>
        <v>Spring</v>
      </c>
      <c r="J601" s="38" t="str">
        <f>IF(dataset_A!I601=1,"Clear",IF(dataset_A!I601,"Mist/Cloudy",IF(dataset_A!I601=3,"Light Rain/Snow","Heavy Rain/Snow")))</f>
        <v>Mist/Cloudy</v>
      </c>
      <c r="K601" s="38">
        <f>dataset_A!N601</f>
        <v>2</v>
      </c>
      <c r="L601" s="38">
        <f>dataset_A!O601</f>
        <v>34</v>
      </c>
      <c r="M601" s="38">
        <f>dataset_A!P601</f>
        <v>36</v>
      </c>
      <c r="N601" s="38" t="str">
        <f t="shared" si="3"/>
        <v>Ok</v>
      </c>
      <c r="O601" s="38" t="str">
        <f>IF(M601&gt;Analysis!$B$3*1.5,"High",IF(M601&lt;Analysis!$B$3*0.5,"Low","Medium"))</f>
        <v>Medium</v>
      </c>
      <c r="P601" s="38" t="str">
        <f>VLOOKUP(dataset_A!C601,$Q$2:$R$5,2,0)</f>
        <v>Spring</v>
      </c>
      <c r="S601" s="38" t="str">
        <f t="array" ref="S601">INDEX($R$2:$R$5,MATCH(dataset_A!C601,$Q$2:$Q$5,0))</f>
        <v>Spring</v>
      </c>
      <c r="T601" s="38" t="str">
        <f t="shared" si="4"/>
        <v>Match</v>
      </c>
    </row>
    <row r="602" ht="12.75" customHeight="1">
      <c r="A602" s="38">
        <f>dataset_A!A602</f>
        <v>554</v>
      </c>
      <c r="B602" s="39">
        <f>dataset_A!B602</f>
        <v>40568</v>
      </c>
      <c r="C602" s="38">
        <f>dataset_A!F602</f>
        <v>6</v>
      </c>
      <c r="D602" s="38">
        <f>dataset_A!H602</f>
        <v>2</v>
      </c>
      <c r="E602" s="38" t="b">
        <f>dataset_A!G602</f>
        <v>0</v>
      </c>
      <c r="F602" s="38" t="b">
        <f>dataset_A!G602</f>
        <v>0</v>
      </c>
      <c r="G602" s="38" t="str">
        <f t="shared" si="1"/>
        <v>Weekday</v>
      </c>
      <c r="H602" s="38" t="str">
        <f t="shared" si="2"/>
        <v>Morning</v>
      </c>
      <c r="I602" s="38" t="str">
        <f>IF(dataset_A!C602=1,"Spring",IF(dataset_A!C602=2,"Summer",IF(dataset_A!C602=3,"Fail","Winter")))</f>
        <v>Spring</v>
      </c>
      <c r="J602" s="38" t="str">
        <f>IF(dataset_A!I602=1,"Clear",IF(dataset_A!I602,"Mist/Cloudy",IF(dataset_A!I602=3,"Light Rain/Snow","Heavy Rain/Snow")))</f>
        <v>Clear</v>
      </c>
      <c r="K602" s="38">
        <f>dataset_A!N602</f>
        <v>1</v>
      </c>
      <c r="L602" s="38">
        <f>dataset_A!O602</f>
        <v>35</v>
      </c>
      <c r="M602" s="38">
        <f>dataset_A!P602</f>
        <v>36</v>
      </c>
      <c r="N602" s="38" t="str">
        <f t="shared" si="3"/>
        <v>Ok</v>
      </c>
      <c r="O602" s="38" t="str">
        <f>IF(M602&gt;Analysis!$B$3*1.5,"High",IF(M602&lt;Analysis!$B$3*0.5,"Low","Medium"))</f>
        <v>Medium</v>
      </c>
      <c r="P602" s="38" t="str">
        <f>VLOOKUP(dataset_A!C602,$Q$2:$R$5,2,0)</f>
        <v>Spring</v>
      </c>
      <c r="S602" s="38" t="str">
        <f t="array" ref="S602">INDEX($R$2:$R$5,MATCH(dataset_A!C602,$Q$2:$Q$5,0))</f>
        <v>Spring</v>
      </c>
      <c r="T602" s="38" t="str">
        <f t="shared" si="4"/>
        <v>Match</v>
      </c>
    </row>
    <row r="603" ht="12.75" customHeight="1">
      <c r="A603" s="38">
        <f>dataset_A!A603</f>
        <v>584</v>
      </c>
      <c r="B603" s="39">
        <f>dataset_A!B603</f>
        <v>40569</v>
      </c>
      <c r="C603" s="38">
        <f>dataset_A!F603</f>
        <v>14</v>
      </c>
      <c r="D603" s="38">
        <f>dataset_A!H603</f>
        <v>3</v>
      </c>
      <c r="E603" s="38" t="b">
        <f>dataset_A!G603</f>
        <v>0</v>
      </c>
      <c r="F603" s="38" t="b">
        <f>dataset_A!G603</f>
        <v>0</v>
      </c>
      <c r="G603" s="38" t="str">
        <f t="shared" si="1"/>
        <v>Weekday</v>
      </c>
      <c r="H603" s="38" t="str">
        <f t="shared" si="2"/>
        <v>Afternoon</v>
      </c>
      <c r="I603" s="38" t="str">
        <f>IF(dataset_A!C603=1,"Spring",IF(dataset_A!C603=2,"Summer",IF(dataset_A!C603=3,"Fail","Winter")))</f>
        <v>Spring</v>
      </c>
      <c r="J603" s="38" t="str">
        <f>IF(dataset_A!I603=1,"Clear",IF(dataset_A!I603,"Mist/Cloudy",IF(dataset_A!I603=3,"Light Rain/Snow","Heavy Rain/Snow")))</f>
        <v>Mist/Cloudy</v>
      </c>
      <c r="K603" s="38">
        <f>dataset_A!N603</f>
        <v>0</v>
      </c>
      <c r="L603" s="38">
        <f>dataset_A!O603</f>
        <v>36</v>
      </c>
      <c r="M603" s="38">
        <f>dataset_A!P603</f>
        <v>36</v>
      </c>
      <c r="N603" s="38" t="str">
        <f t="shared" si="3"/>
        <v>Ok</v>
      </c>
      <c r="O603" s="38" t="str">
        <f>IF(M603&gt;Analysis!$B$3*1.5,"High",IF(M603&lt;Analysis!$B$3*0.5,"Low","Medium"))</f>
        <v>Medium</v>
      </c>
      <c r="P603" s="38" t="str">
        <f>VLOOKUP(dataset_A!C603,$Q$2:$R$5,2,0)</f>
        <v>Spring</v>
      </c>
      <c r="S603" s="38" t="str">
        <f t="array" ref="S603">INDEX($R$2:$R$5,MATCH(dataset_A!C603,$Q$2:$Q$5,0))</f>
        <v>Spring</v>
      </c>
      <c r="T603" s="38" t="str">
        <f t="shared" si="4"/>
        <v>Match</v>
      </c>
    </row>
    <row r="604" ht="12.75" customHeight="1">
      <c r="A604" s="38">
        <f>dataset_A!A604</f>
        <v>586</v>
      </c>
      <c r="B604" s="39">
        <f>dataset_A!B604</f>
        <v>40569</v>
      </c>
      <c r="C604" s="38">
        <f>dataset_A!F604</f>
        <v>16</v>
      </c>
      <c r="D604" s="38">
        <f>dataset_A!H604</f>
        <v>3</v>
      </c>
      <c r="E604" s="38" t="b">
        <f>dataset_A!G604</f>
        <v>0</v>
      </c>
      <c r="F604" s="38" t="b">
        <f>dataset_A!G604</f>
        <v>0</v>
      </c>
      <c r="G604" s="38" t="str">
        <f t="shared" si="1"/>
        <v>Weekday</v>
      </c>
      <c r="H604" s="38" t="str">
        <f t="shared" si="2"/>
        <v>Afternoon</v>
      </c>
      <c r="I604" s="38" t="str">
        <f>IF(dataset_A!C604=1,"Spring",IF(dataset_A!C604=2,"Summer",IF(dataset_A!C604=3,"Fail","Winter")))</f>
        <v>Spring</v>
      </c>
      <c r="J604" s="38" t="str">
        <f>IF(dataset_A!I604=1,"Clear",IF(dataset_A!I604,"Mist/Cloudy",IF(dataset_A!I604=3,"Light Rain/Snow","Heavy Rain/Snow")))</f>
        <v>Mist/Cloudy</v>
      </c>
      <c r="K604" s="38">
        <f>dataset_A!N604</f>
        <v>1</v>
      </c>
      <c r="L604" s="38">
        <f>dataset_A!O604</f>
        <v>35</v>
      </c>
      <c r="M604" s="38">
        <f>dataset_A!P604</f>
        <v>36</v>
      </c>
      <c r="N604" s="38" t="str">
        <f t="shared" si="3"/>
        <v>Ok</v>
      </c>
      <c r="O604" s="38" t="str">
        <f>IF(M604&gt;Analysis!$B$3*1.5,"High",IF(M604&lt;Analysis!$B$3*0.5,"Low","Medium"))</f>
        <v>Medium</v>
      </c>
      <c r="P604" s="38" t="str">
        <f>VLOOKUP(dataset_A!C604,$Q$2:$R$5,2,0)</f>
        <v>Spring</v>
      </c>
      <c r="S604" s="38" t="str">
        <f t="array" ref="S604">INDEX($R$2:$R$5,MATCH(dataset_A!C604,$Q$2:$Q$5,0))</f>
        <v>Spring</v>
      </c>
      <c r="T604" s="38" t="str">
        <f t="shared" si="4"/>
        <v>Match</v>
      </c>
    </row>
    <row r="605" ht="12.75" customHeight="1">
      <c r="A605" s="38">
        <f>dataset_A!A605</f>
        <v>639</v>
      </c>
      <c r="B605" s="39">
        <f>dataset_A!B605</f>
        <v>40572</v>
      </c>
      <c r="C605" s="38">
        <f>dataset_A!F605</f>
        <v>21</v>
      </c>
      <c r="D605" s="38">
        <f>dataset_A!H605</f>
        <v>6</v>
      </c>
      <c r="E605" s="38" t="b">
        <f>dataset_A!G605</f>
        <v>0</v>
      </c>
      <c r="F605" s="38" t="b">
        <f>dataset_A!G605</f>
        <v>0</v>
      </c>
      <c r="G605" s="38" t="str">
        <f t="shared" si="1"/>
        <v>Weekend</v>
      </c>
      <c r="H605" s="38" t="str">
        <f t="shared" si="2"/>
        <v>Evening</v>
      </c>
      <c r="I605" s="38" t="str">
        <f>IF(dataset_A!C605=1,"Spring",IF(dataset_A!C605=2,"Summer",IF(dataset_A!C605=3,"Fail","Winter")))</f>
        <v>Spring</v>
      </c>
      <c r="J605" s="38" t="str">
        <f>IF(dataset_A!I605=1,"Clear",IF(dataset_A!I605,"Mist/Cloudy",IF(dataset_A!I605=3,"Light Rain/Snow","Heavy Rain/Snow")))</f>
        <v>Clear</v>
      </c>
      <c r="K605" s="38">
        <f>dataset_A!N605</f>
        <v>1</v>
      </c>
      <c r="L605" s="38">
        <f>dataset_A!O605</f>
        <v>35</v>
      </c>
      <c r="M605" s="38">
        <f>dataset_A!P605</f>
        <v>36</v>
      </c>
      <c r="N605" s="38" t="str">
        <f t="shared" si="3"/>
        <v>Ok</v>
      </c>
      <c r="O605" s="38" t="str">
        <f>IF(M605&gt;Analysis!$B$3*1.5,"High",IF(M605&lt;Analysis!$B$3*0.5,"Low","Medium"))</f>
        <v>Medium</v>
      </c>
      <c r="P605" s="38" t="str">
        <f>VLOOKUP(dataset_A!C605,$Q$2:$R$5,2,0)</f>
        <v>Spring</v>
      </c>
      <c r="S605" s="38" t="str">
        <f t="array" ref="S605">INDEX($R$2:$R$5,MATCH(dataset_A!C605,$Q$2:$Q$5,0))</f>
        <v>Spring</v>
      </c>
      <c r="T605" s="38" t="str">
        <f t="shared" si="4"/>
        <v>Match</v>
      </c>
    </row>
    <row r="606" ht="12.75" customHeight="1">
      <c r="A606" s="38">
        <f>dataset_A!A606</f>
        <v>710</v>
      </c>
      <c r="B606" s="39">
        <f>dataset_A!B606</f>
        <v>40575</v>
      </c>
      <c r="C606" s="38">
        <f>dataset_A!F606</f>
        <v>22</v>
      </c>
      <c r="D606" s="38">
        <f>dataset_A!H606</f>
        <v>2</v>
      </c>
      <c r="E606" s="38" t="b">
        <f>dataset_A!G606</f>
        <v>0</v>
      </c>
      <c r="F606" s="38" t="b">
        <f>dataset_A!G606</f>
        <v>0</v>
      </c>
      <c r="G606" s="38" t="str">
        <f t="shared" si="1"/>
        <v>Weekday</v>
      </c>
      <c r="H606" s="38" t="str">
        <f t="shared" si="2"/>
        <v>Evening</v>
      </c>
      <c r="I606" s="38" t="str">
        <f>IF(dataset_A!C606=1,"Spring",IF(dataset_A!C606=2,"Summer",IF(dataset_A!C606=3,"Fail","Winter")))</f>
        <v>Spring</v>
      </c>
      <c r="J606" s="38" t="str">
        <f>IF(dataset_A!I606=1,"Clear",IF(dataset_A!I606,"Mist/Cloudy",IF(dataset_A!I606=3,"Light Rain/Snow","Heavy Rain/Snow")))</f>
        <v>Mist/Cloudy</v>
      </c>
      <c r="K606" s="38">
        <f>dataset_A!N606</f>
        <v>2</v>
      </c>
      <c r="L606" s="38">
        <f>dataset_A!O606</f>
        <v>34</v>
      </c>
      <c r="M606" s="38">
        <f>dataset_A!P606</f>
        <v>36</v>
      </c>
      <c r="N606" s="38" t="str">
        <f t="shared" si="3"/>
        <v>Ok</v>
      </c>
      <c r="O606" s="38" t="str">
        <f>IF(M606&gt;Analysis!$B$3*1.5,"High",IF(M606&lt;Analysis!$B$3*0.5,"Low","Medium"))</f>
        <v>Medium</v>
      </c>
      <c r="P606" s="38" t="str">
        <f>VLOOKUP(dataset_A!C606,$Q$2:$R$5,2,0)</f>
        <v>Spring</v>
      </c>
      <c r="S606" s="38" t="str">
        <f t="array" ref="S606">INDEX($R$2:$R$5,MATCH(dataset_A!C606,$Q$2:$Q$5,0))</f>
        <v>Spring</v>
      </c>
      <c r="T606" s="38" t="str">
        <f t="shared" si="4"/>
        <v>Match</v>
      </c>
    </row>
    <row r="607" ht="12.75" customHeight="1">
      <c r="A607" s="38">
        <f>dataset_A!A607</f>
        <v>991</v>
      </c>
      <c r="B607" s="39">
        <f>dataset_A!B607</f>
        <v>40587</v>
      </c>
      <c r="C607" s="38">
        <f>dataset_A!F607</f>
        <v>22</v>
      </c>
      <c r="D607" s="38">
        <f>dataset_A!H607</f>
        <v>0</v>
      </c>
      <c r="E607" s="38" t="b">
        <f>dataset_A!G607</f>
        <v>0</v>
      </c>
      <c r="F607" s="38" t="b">
        <f>dataset_A!G607</f>
        <v>0</v>
      </c>
      <c r="G607" s="38" t="str">
        <f t="shared" si="1"/>
        <v>Weekend</v>
      </c>
      <c r="H607" s="38" t="str">
        <f t="shared" si="2"/>
        <v>Evening</v>
      </c>
      <c r="I607" s="38" t="str">
        <f>IF(dataset_A!C607=1,"Spring",IF(dataset_A!C607=2,"Summer",IF(dataset_A!C607=3,"Fail","Winter")))</f>
        <v>Spring</v>
      </c>
      <c r="J607" s="38" t="str">
        <f>IF(dataset_A!I607=1,"Clear",IF(dataset_A!I607,"Mist/Cloudy",IF(dataset_A!I607=3,"Light Rain/Snow","Heavy Rain/Snow")))</f>
        <v>Clear</v>
      </c>
      <c r="K607" s="38">
        <f>dataset_A!N607</f>
        <v>5</v>
      </c>
      <c r="L607" s="38">
        <f>dataset_A!O607</f>
        <v>31</v>
      </c>
      <c r="M607" s="38">
        <f>dataset_A!P607</f>
        <v>36</v>
      </c>
      <c r="N607" s="38" t="str">
        <f t="shared" si="3"/>
        <v>Ok</v>
      </c>
      <c r="O607" s="38" t="str">
        <f>IF(M607&gt;Analysis!$B$3*1.5,"High",IF(M607&lt;Analysis!$B$3*0.5,"Low","Medium"))</f>
        <v>Medium</v>
      </c>
      <c r="P607" s="38" t="str">
        <f>VLOOKUP(dataset_A!C607,$Q$2:$R$5,2,0)</f>
        <v>Spring</v>
      </c>
      <c r="S607" s="38" t="str">
        <f t="array" ref="S607">INDEX($R$2:$R$5,MATCH(dataset_A!C607,$Q$2:$Q$5,0))</f>
        <v>Spring</v>
      </c>
      <c r="T607" s="38" t="str">
        <f t="shared" si="4"/>
        <v>Match</v>
      </c>
    </row>
    <row r="608" ht="12.75" customHeight="1">
      <c r="A608" s="38">
        <f>dataset_A!A608</f>
        <v>19</v>
      </c>
      <c r="B608" s="39">
        <f>dataset_A!B608</f>
        <v>40544</v>
      </c>
      <c r="C608" s="38">
        <f>dataset_A!F608</f>
        <v>18</v>
      </c>
      <c r="D608" s="38">
        <f>dataset_A!H608</f>
        <v>6</v>
      </c>
      <c r="E608" s="38" t="b">
        <f>dataset_A!G608</f>
        <v>0</v>
      </c>
      <c r="F608" s="38" t="b">
        <f>dataset_A!G608</f>
        <v>0</v>
      </c>
      <c r="G608" s="38" t="str">
        <f t="shared" si="1"/>
        <v>Weekend</v>
      </c>
      <c r="H608" s="38" t="str">
        <f t="shared" si="2"/>
        <v>Evening</v>
      </c>
      <c r="I608" s="38" t="str">
        <f>IF(dataset_A!C608=1,"Spring",IF(dataset_A!C608=2,"Summer",IF(dataset_A!C608=3,"Fail","Winter")))</f>
        <v>Spring</v>
      </c>
      <c r="J608" s="38" t="str">
        <f>IF(dataset_A!I608=1,"Clear",IF(dataset_A!I608,"Mist/Cloudy",IF(dataset_A!I608=3,"Light Rain/Snow","Heavy Rain/Snow")))</f>
        <v>Mist/Cloudy</v>
      </c>
      <c r="K608" s="38">
        <f>dataset_A!N608</f>
        <v>9</v>
      </c>
      <c r="L608" s="38">
        <f>dataset_A!O608</f>
        <v>26</v>
      </c>
      <c r="M608" s="38">
        <f>dataset_A!P608</f>
        <v>35</v>
      </c>
      <c r="N608" s="38" t="str">
        <f t="shared" si="3"/>
        <v>Ok</v>
      </c>
      <c r="O608" s="38" t="str">
        <f>IF(M608&gt;Analysis!$B$3*1.5,"High",IF(M608&lt;Analysis!$B$3*0.5,"Low","Medium"))</f>
        <v>Medium</v>
      </c>
      <c r="P608" s="38" t="str">
        <f>VLOOKUP(dataset_A!C608,$Q$2:$R$5,2,0)</f>
        <v>Spring</v>
      </c>
      <c r="S608" s="38" t="str">
        <f t="array" ref="S608">INDEX($R$2:$R$5,MATCH(dataset_A!C608,$Q$2:$Q$5,0))</f>
        <v>Spring</v>
      </c>
      <c r="T608" s="38" t="str">
        <f t="shared" si="4"/>
        <v>Match</v>
      </c>
    </row>
    <row r="609" ht="12.75" customHeight="1">
      <c r="A609" s="38">
        <f>dataset_A!A609</f>
        <v>91</v>
      </c>
      <c r="B609" s="39">
        <f>dataset_A!B609</f>
        <v>40547</v>
      </c>
      <c r="C609" s="38">
        <f>dataset_A!F609</f>
        <v>22</v>
      </c>
      <c r="D609" s="38">
        <f>dataset_A!H609</f>
        <v>2</v>
      </c>
      <c r="E609" s="38" t="b">
        <f>dataset_A!G609</f>
        <v>0</v>
      </c>
      <c r="F609" s="38" t="b">
        <f>dataset_A!G609</f>
        <v>0</v>
      </c>
      <c r="G609" s="38" t="str">
        <f t="shared" si="1"/>
        <v>Weekday</v>
      </c>
      <c r="H609" s="38" t="str">
        <f t="shared" si="2"/>
        <v>Evening</v>
      </c>
      <c r="I609" s="38" t="str">
        <f>IF(dataset_A!C609=1,"Spring",IF(dataset_A!C609=2,"Summer",IF(dataset_A!C609=3,"Fail","Winter")))</f>
        <v>Spring</v>
      </c>
      <c r="J609" s="38" t="str">
        <f>IF(dataset_A!I609=1,"Clear",IF(dataset_A!I609,"Mist/Cloudy",IF(dataset_A!I609=3,"Light Rain/Snow","Heavy Rain/Snow")))</f>
        <v>Clear</v>
      </c>
      <c r="K609" s="38">
        <f>dataset_A!N609</f>
        <v>1</v>
      </c>
      <c r="L609" s="38">
        <f>dataset_A!O609</f>
        <v>34</v>
      </c>
      <c r="M609" s="38">
        <f>dataset_A!P609</f>
        <v>35</v>
      </c>
      <c r="N609" s="38" t="str">
        <f t="shared" si="3"/>
        <v>Ok</v>
      </c>
      <c r="O609" s="38" t="str">
        <f>IF(M609&gt;Analysis!$B$3*1.5,"High",IF(M609&lt;Analysis!$B$3*0.5,"Low","Medium"))</f>
        <v>Medium</v>
      </c>
      <c r="P609" s="38" t="str">
        <f>VLOOKUP(dataset_A!C609,$Q$2:$R$5,2,0)</f>
        <v>Spring</v>
      </c>
      <c r="S609" s="38" t="str">
        <f t="array" ref="S609">INDEX($R$2:$R$5,MATCH(dataset_A!C609,$Q$2:$Q$5,0))</f>
        <v>Spring</v>
      </c>
      <c r="T609" s="38" t="str">
        <f t="shared" si="4"/>
        <v>Match</v>
      </c>
    </row>
    <row r="610" ht="12.75" customHeight="1">
      <c r="A610" s="38">
        <f>dataset_A!A610</f>
        <v>243</v>
      </c>
      <c r="B610" s="39">
        <f>dataset_A!B610</f>
        <v>40554</v>
      </c>
      <c r="C610" s="38">
        <f>dataset_A!F610</f>
        <v>11</v>
      </c>
      <c r="D610" s="38">
        <f>dataset_A!H610</f>
        <v>2</v>
      </c>
      <c r="E610" s="38" t="b">
        <f>dataset_A!G610</f>
        <v>0</v>
      </c>
      <c r="F610" s="38" t="b">
        <f>dataset_A!G610</f>
        <v>0</v>
      </c>
      <c r="G610" s="38" t="str">
        <f t="shared" si="1"/>
        <v>Weekday</v>
      </c>
      <c r="H610" s="38" t="str">
        <f t="shared" si="2"/>
        <v>Morning</v>
      </c>
      <c r="I610" s="38" t="str">
        <f>IF(dataset_A!C610=1,"Spring",IF(dataset_A!C610=2,"Summer",IF(dataset_A!C610=3,"Fail","Winter")))</f>
        <v>Spring</v>
      </c>
      <c r="J610" s="38" t="str">
        <f>IF(dataset_A!I610=1,"Clear",IF(dataset_A!I610,"Mist/Cloudy",IF(dataset_A!I610=3,"Light Rain/Snow","Heavy Rain/Snow")))</f>
        <v>Mist/Cloudy</v>
      </c>
      <c r="K610" s="38">
        <f>dataset_A!N610</f>
        <v>4</v>
      </c>
      <c r="L610" s="38">
        <f>dataset_A!O610</f>
        <v>31</v>
      </c>
      <c r="M610" s="38">
        <f>dataset_A!P610</f>
        <v>35</v>
      </c>
      <c r="N610" s="38" t="str">
        <f t="shared" si="3"/>
        <v>Ok</v>
      </c>
      <c r="O610" s="38" t="str">
        <f>IF(M610&gt;Analysis!$B$3*1.5,"High",IF(M610&lt;Analysis!$B$3*0.5,"Low","Medium"))</f>
        <v>Medium</v>
      </c>
      <c r="P610" s="38" t="str">
        <f>VLOOKUP(dataset_A!C610,$Q$2:$R$5,2,0)</f>
        <v>Spring</v>
      </c>
      <c r="S610" s="38" t="str">
        <f t="array" ref="S610">INDEX($R$2:$R$5,MATCH(dataset_A!C610,$Q$2:$Q$5,0))</f>
        <v>Spring</v>
      </c>
      <c r="T610" s="38" t="str">
        <f t="shared" si="4"/>
        <v>Match</v>
      </c>
    </row>
    <row r="611" ht="12.75" customHeight="1">
      <c r="A611" s="38">
        <f>dataset_A!A611</f>
        <v>265</v>
      </c>
      <c r="B611" s="39">
        <f>dataset_A!B611</f>
        <v>40555</v>
      </c>
      <c r="C611" s="38">
        <f>dataset_A!F611</f>
        <v>11</v>
      </c>
      <c r="D611" s="38">
        <f>dataset_A!H611</f>
        <v>3</v>
      </c>
      <c r="E611" s="38" t="b">
        <f>dataset_A!G611</f>
        <v>0</v>
      </c>
      <c r="F611" s="38" t="b">
        <f>dataset_A!G611</f>
        <v>0</v>
      </c>
      <c r="G611" s="38" t="str">
        <f t="shared" si="1"/>
        <v>Weekday</v>
      </c>
      <c r="H611" s="38" t="str">
        <f t="shared" si="2"/>
        <v>Morning</v>
      </c>
      <c r="I611" s="38" t="str">
        <f>IF(dataset_A!C611=1,"Spring",IF(dataset_A!C611=2,"Summer",IF(dataset_A!C611=3,"Fail","Winter")))</f>
        <v>Spring</v>
      </c>
      <c r="J611" s="38" t="str">
        <f>IF(dataset_A!I611=1,"Clear",IF(dataset_A!I611,"Mist/Cloudy",IF(dataset_A!I611=3,"Light Rain/Snow","Heavy Rain/Snow")))</f>
        <v>Clear</v>
      </c>
      <c r="K611" s="38">
        <f>dataset_A!N611</f>
        <v>3</v>
      </c>
      <c r="L611" s="38">
        <f>dataset_A!O611</f>
        <v>32</v>
      </c>
      <c r="M611" s="38">
        <f>dataset_A!P611</f>
        <v>35</v>
      </c>
      <c r="N611" s="38" t="str">
        <f t="shared" si="3"/>
        <v>Ok</v>
      </c>
      <c r="O611" s="38" t="str">
        <f>IF(M611&gt;Analysis!$B$3*1.5,"High",IF(M611&lt;Analysis!$B$3*0.5,"Low","Medium"))</f>
        <v>Medium</v>
      </c>
      <c r="P611" s="38" t="str">
        <f>VLOOKUP(dataset_A!C611,$Q$2:$R$5,2,0)</f>
        <v>Spring</v>
      </c>
      <c r="S611" s="38" t="str">
        <f t="array" ref="S611">INDEX($R$2:$R$5,MATCH(dataset_A!C611,$Q$2:$Q$5,0))</f>
        <v>Spring</v>
      </c>
      <c r="T611" s="38" t="str">
        <f t="shared" si="4"/>
        <v>Match</v>
      </c>
    </row>
    <row r="612" ht="12.75" customHeight="1">
      <c r="A612" s="38">
        <f>dataset_A!A612</f>
        <v>400</v>
      </c>
      <c r="B612" s="39">
        <f>dataset_A!B612</f>
        <v>40561</v>
      </c>
      <c r="C612" s="38">
        <f>dataset_A!F612</f>
        <v>15</v>
      </c>
      <c r="D612" s="38">
        <f>dataset_A!H612</f>
        <v>2</v>
      </c>
      <c r="E612" s="38" t="b">
        <f>dataset_A!G612</f>
        <v>0</v>
      </c>
      <c r="F612" s="38" t="b">
        <f>dataset_A!G612</f>
        <v>0</v>
      </c>
      <c r="G612" s="38" t="str">
        <f t="shared" si="1"/>
        <v>Weekday</v>
      </c>
      <c r="H612" s="38" t="str">
        <f t="shared" si="2"/>
        <v>Afternoon</v>
      </c>
      <c r="I612" s="38" t="str">
        <f>IF(dataset_A!C612=1,"Spring",IF(dataset_A!C612=2,"Summer",IF(dataset_A!C612=3,"Fail","Winter")))</f>
        <v>Spring</v>
      </c>
      <c r="J612" s="38" t="str">
        <f>IF(dataset_A!I612=1,"Clear",IF(dataset_A!I612,"Mist/Cloudy",IF(dataset_A!I612=3,"Light Rain/Snow","Heavy Rain/Snow")))</f>
        <v>Mist/Cloudy</v>
      </c>
      <c r="K612" s="38">
        <f>dataset_A!N612</f>
        <v>3</v>
      </c>
      <c r="L612" s="38">
        <f>dataset_A!O612</f>
        <v>32</v>
      </c>
      <c r="M612" s="38">
        <f>dataset_A!P612</f>
        <v>35</v>
      </c>
      <c r="N612" s="38" t="str">
        <f t="shared" si="3"/>
        <v>Ok</v>
      </c>
      <c r="O612" s="38" t="str">
        <f>IF(M612&gt;Analysis!$B$3*1.5,"High",IF(M612&lt;Analysis!$B$3*0.5,"Low","Medium"))</f>
        <v>Medium</v>
      </c>
      <c r="P612" s="38" t="str">
        <f>VLOOKUP(dataset_A!C612,$Q$2:$R$5,2,0)</f>
        <v>Spring</v>
      </c>
      <c r="S612" s="38" t="str">
        <f t="array" ref="S612">INDEX($R$2:$R$5,MATCH(dataset_A!C612,$Q$2:$Q$5,0))</f>
        <v>Spring</v>
      </c>
      <c r="T612" s="38" t="str">
        <f t="shared" si="4"/>
        <v>Match</v>
      </c>
    </row>
    <row r="613" ht="12.75" customHeight="1">
      <c r="A613" s="38">
        <f>dataset_A!A613</f>
        <v>438</v>
      </c>
      <c r="B613" s="39">
        <f>dataset_A!B613</f>
        <v>40563</v>
      </c>
      <c r="C613" s="38">
        <f>dataset_A!F613</f>
        <v>6</v>
      </c>
      <c r="D613" s="38">
        <f>dataset_A!H613</f>
        <v>4</v>
      </c>
      <c r="E613" s="38" t="b">
        <f>dataset_A!G613</f>
        <v>0</v>
      </c>
      <c r="F613" s="38" t="b">
        <f>dataset_A!G613</f>
        <v>0</v>
      </c>
      <c r="G613" s="38" t="str">
        <f t="shared" si="1"/>
        <v>Weekday</v>
      </c>
      <c r="H613" s="38" t="str">
        <f t="shared" si="2"/>
        <v>Morning</v>
      </c>
      <c r="I613" s="38" t="str">
        <f>IF(dataset_A!C613=1,"Spring",IF(dataset_A!C613=2,"Summer",IF(dataset_A!C613=3,"Fail","Winter")))</f>
        <v>Spring</v>
      </c>
      <c r="J613" s="38" t="str">
        <f>IF(dataset_A!I613=1,"Clear",IF(dataset_A!I613,"Mist/Cloudy",IF(dataset_A!I613=3,"Light Rain/Snow","Heavy Rain/Snow")))</f>
        <v>Clear</v>
      </c>
      <c r="K613" s="38">
        <f>dataset_A!N613</f>
        <v>0</v>
      </c>
      <c r="L613" s="38">
        <f>dataset_A!O613</f>
        <v>35</v>
      </c>
      <c r="M613" s="38">
        <f>dataset_A!P613</f>
        <v>35</v>
      </c>
      <c r="N613" s="38" t="str">
        <f t="shared" si="3"/>
        <v>Ok</v>
      </c>
      <c r="O613" s="38" t="str">
        <f>IF(M613&gt;Analysis!$B$3*1.5,"High",IF(M613&lt;Analysis!$B$3*0.5,"Low","Medium"))</f>
        <v>Medium</v>
      </c>
      <c r="P613" s="38" t="str">
        <f>VLOOKUP(dataset_A!C613,$Q$2:$R$5,2,0)</f>
        <v>Spring</v>
      </c>
      <c r="S613" s="38" t="str">
        <f t="array" ref="S613">INDEX($R$2:$R$5,MATCH(dataset_A!C613,$Q$2:$Q$5,0))</f>
        <v>Spring</v>
      </c>
      <c r="T613" s="38" t="str">
        <f t="shared" si="4"/>
        <v>Match</v>
      </c>
    </row>
    <row r="614" ht="12.75" customHeight="1">
      <c r="A614" s="38">
        <f>dataset_A!A614</f>
        <v>522</v>
      </c>
      <c r="B614" s="39">
        <f>dataset_A!B614</f>
        <v>40566</v>
      </c>
      <c r="C614" s="38">
        <f>dataset_A!F614</f>
        <v>20</v>
      </c>
      <c r="D614" s="38">
        <f>dataset_A!H614</f>
        <v>0</v>
      </c>
      <c r="E614" s="38" t="b">
        <f>dataset_A!G614</f>
        <v>0</v>
      </c>
      <c r="F614" s="38" t="b">
        <f>dataset_A!G614</f>
        <v>0</v>
      </c>
      <c r="G614" s="38" t="str">
        <f t="shared" si="1"/>
        <v>Weekend</v>
      </c>
      <c r="H614" s="38" t="str">
        <f t="shared" si="2"/>
        <v>Evening</v>
      </c>
      <c r="I614" s="38" t="str">
        <f>IF(dataset_A!C614=1,"Spring",IF(dataset_A!C614=2,"Summer",IF(dataset_A!C614=3,"Fail","Winter")))</f>
        <v>Spring</v>
      </c>
      <c r="J614" s="38" t="str">
        <f>IF(dataset_A!I614=1,"Clear",IF(dataset_A!I614,"Mist/Cloudy",IF(dataset_A!I614=3,"Light Rain/Snow","Heavy Rain/Snow")))</f>
        <v>Clear</v>
      </c>
      <c r="K614" s="38">
        <f>dataset_A!N614</f>
        <v>4</v>
      </c>
      <c r="L614" s="38">
        <f>dataset_A!O614</f>
        <v>31</v>
      </c>
      <c r="M614" s="38">
        <f>dataset_A!P614</f>
        <v>35</v>
      </c>
      <c r="N614" s="38" t="str">
        <f t="shared" si="3"/>
        <v>Ok</v>
      </c>
      <c r="O614" s="38" t="str">
        <f>IF(M614&gt;Analysis!$B$3*1.5,"High",IF(M614&lt;Analysis!$B$3*0.5,"Low","Medium"))</f>
        <v>Medium</v>
      </c>
      <c r="P614" s="38" t="str">
        <f>VLOOKUP(dataset_A!C614,$Q$2:$R$5,2,0)</f>
        <v>Spring</v>
      </c>
      <c r="S614" s="38" t="str">
        <f t="array" ref="S614">INDEX($R$2:$R$5,MATCH(dataset_A!C614,$Q$2:$Q$5,0))</f>
        <v>Spring</v>
      </c>
      <c r="T614" s="38" t="str">
        <f t="shared" si="4"/>
        <v>Match</v>
      </c>
    </row>
    <row r="615" ht="12.75" customHeight="1">
      <c r="A615" s="38">
        <f>dataset_A!A615</f>
        <v>547</v>
      </c>
      <c r="B615" s="39">
        <f>dataset_A!B615</f>
        <v>40567</v>
      </c>
      <c r="C615" s="38">
        <f>dataset_A!F615</f>
        <v>22</v>
      </c>
      <c r="D615" s="38">
        <f>dataset_A!H615</f>
        <v>1</v>
      </c>
      <c r="E615" s="38" t="b">
        <f>dataset_A!G615</f>
        <v>0</v>
      </c>
      <c r="F615" s="38" t="b">
        <f>dataset_A!G615</f>
        <v>0</v>
      </c>
      <c r="G615" s="38" t="str">
        <f t="shared" si="1"/>
        <v>Weekday</v>
      </c>
      <c r="H615" s="38" t="str">
        <f t="shared" si="2"/>
        <v>Evening</v>
      </c>
      <c r="I615" s="38" t="str">
        <f>IF(dataset_A!C615=1,"Spring",IF(dataset_A!C615=2,"Summer",IF(dataset_A!C615=3,"Fail","Winter")))</f>
        <v>Spring</v>
      </c>
      <c r="J615" s="38" t="str">
        <f>IF(dataset_A!I615=1,"Clear",IF(dataset_A!I615,"Mist/Cloudy",IF(dataset_A!I615=3,"Light Rain/Snow","Heavy Rain/Snow")))</f>
        <v>Mist/Cloudy</v>
      </c>
      <c r="K615" s="38">
        <f>dataset_A!N615</f>
        <v>3</v>
      </c>
      <c r="L615" s="38">
        <f>dataset_A!O615</f>
        <v>32</v>
      </c>
      <c r="M615" s="38">
        <f>dataset_A!P615</f>
        <v>35</v>
      </c>
      <c r="N615" s="38" t="str">
        <f t="shared" si="3"/>
        <v>Ok</v>
      </c>
      <c r="O615" s="38" t="str">
        <f>IF(M615&gt;Analysis!$B$3*1.5,"High",IF(M615&lt;Analysis!$B$3*0.5,"Low","Medium"))</f>
        <v>Medium</v>
      </c>
      <c r="P615" s="38" t="str">
        <f>VLOOKUP(dataset_A!C615,$Q$2:$R$5,2,0)</f>
        <v>Spring</v>
      </c>
      <c r="S615" s="38" t="str">
        <f t="array" ref="S615">INDEX($R$2:$R$5,MATCH(dataset_A!C615,$Q$2:$Q$5,0))</f>
        <v>Spring</v>
      </c>
      <c r="T615" s="38" t="str">
        <f t="shared" si="4"/>
        <v>Match</v>
      </c>
    </row>
    <row r="616" ht="12.75" customHeight="1">
      <c r="A616" s="38">
        <f>dataset_A!A616</f>
        <v>910</v>
      </c>
      <c r="B616" s="39">
        <f>dataset_A!B616</f>
        <v>40584</v>
      </c>
      <c r="C616" s="38">
        <f>dataset_A!F616</f>
        <v>10</v>
      </c>
      <c r="D616" s="38">
        <f>dataset_A!H616</f>
        <v>4</v>
      </c>
      <c r="E616" s="38" t="b">
        <f>dataset_A!G616</f>
        <v>0</v>
      </c>
      <c r="F616" s="38" t="b">
        <f>dataset_A!G616</f>
        <v>0</v>
      </c>
      <c r="G616" s="38" t="str">
        <f t="shared" si="1"/>
        <v>Weekday</v>
      </c>
      <c r="H616" s="38" t="str">
        <f t="shared" si="2"/>
        <v>Morning</v>
      </c>
      <c r="I616" s="38" t="str">
        <f>IF(dataset_A!C616=1,"Spring",IF(dataset_A!C616=2,"Summer",IF(dataset_A!C616=3,"Fail","Winter")))</f>
        <v>Spring</v>
      </c>
      <c r="J616" s="38" t="str">
        <f>IF(dataset_A!I616=1,"Clear",IF(dataset_A!I616,"Mist/Cloudy",IF(dataset_A!I616=3,"Light Rain/Snow","Heavy Rain/Snow")))</f>
        <v>Clear</v>
      </c>
      <c r="K616" s="38">
        <f>dataset_A!N616</f>
        <v>1</v>
      </c>
      <c r="L616" s="38">
        <f>dataset_A!O616</f>
        <v>34</v>
      </c>
      <c r="M616" s="38">
        <f>dataset_A!P616</f>
        <v>35</v>
      </c>
      <c r="N616" s="38" t="str">
        <f t="shared" si="3"/>
        <v>Ok</v>
      </c>
      <c r="O616" s="38" t="str">
        <f>IF(M616&gt;Analysis!$B$3*1.5,"High",IF(M616&lt;Analysis!$B$3*0.5,"Low","Medium"))</f>
        <v>Medium</v>
      </c>
      <c r="P616" s="38" t="str">
        <f>VLOOKUP(dataset_A!C616,$Q$2:$R$5,2,0)</f>
        <v>Spring</v>
      </c>
      <c r="S616" s="38" t="str">
        <f t="array" ref="S616">INDEX($R$2:$R$5,MATCH(dataset_A!C616,$Q$2:$Q$5,0))</f>
        <v>Spring</v>
      </c>
      <c r="T616" s="38" t="str">
        <f t="shared" si="4"/>
        <v>Match</v>
      </c>
    </row>
    <row r="617" ht="12.75" customHeight="1">
      <c r="A617" s="38">
        <f>dataset_A!A617</f>
        <v>22</v>
      </c>
      <c r="B617" s="39">
        <f>dataset_A!B617</f>
        <v>40544</v>
      </c>
      <c r="C617" s="38">
        <f>dataset_A!F617</f>
        <v>21</v>
      </c>
      <c r="D617" s="38">
        <f>dataset_A!H617</f>
        <v>6</v>
      </c>
      <c r="E617" s="38" t="b">
        <f>dataset_A!G617</f>
        <v>0</v>
      </c>
      <c r="F617" s="38" t="b">
        <f>dataset_A!G617</f>
        <v>0</v>
      </c>
      <c r="G617" s="38" t="str">
        <f t="shared" si="1"/>
        <v>Weekend</v>
      </c>
      <c r="H617" s="38" t="str">
        <f t="shared" si="2"/>
        <v>Evening</v>
      </c>
      <c r="I617" s="38" t="str">
        <f>IF(dataset_A!C617=1,"Spring",IF(dataset_A!C617=2,"Summer",IF(dataset_A!C617=3,"Fail","Winter")))</f>
        <v>Spring</v>
      </c>
      <c r="J617" s="38" t="str">
        <f>IF(dataset_A!I617=1,"Clear",IF(dataset_A!I617,"Mist/Cloudy",IF(dataset_A!I617=3,"Light Rain/Snow","Heavy Rain/Snow")))</f>
        <v>Mist/Cloudy</v>
      </c>
      <c r="K617" s="38">
        <f>dataset_A!N617</f>
        <v>3</v>
      </c>
      <c r="L617" s="38">
        <f>dataset_A!O617</f>
        <v>31</v>
      </c>
      <c r="M617" s="38">
        <f>dataset_A!P617</f>
        <v>34</v>
      </c>
      <c r="N617" s="38" t="str">
        <f t="shared" si="3"/>
        <v>Ok</v>
      </c>
      <c r="O617" s="38" t="str">
        <f>IF(M617&gt;Analysis!$B$3*1.5,"High",IF(M617&lt;Analysis!$B$3*0.5,"Low","Medium"))</f>
        <v>Medium</v>
      </c>
      <c r="P617" s="38" t="str">
        <f>VLOOKUP(dataset_A!C617,$Q$2:$R$5,2,0)</f>
        <v>Spring</v>
      </c>
      <c r="S617" s="38" t="str">
        <f t="array" ref="S617">INDEX($R$2:$R$5,MATCH(dataset_A!C617,$Q$2:$Q$5,0))</f>
        <v>Spring</v>
      </c>
      <c r="T617" s="38" t="str">
        <f t="shared" si="4"/>
        <v>Match</v>
      </c>
    </row>
    <row r="618" ht="12.75" customHeight="1">
      <c r="A618" s="38">
        <f>dataset_A!A618</f>
        <v>144</v>
      </c>
      <c r="B618" s="39">
        <f>dataset_A!B618</f>
        <v>40550</v>
      </c>
      <c r="C618" s="38">
        <f>dataset_A!F618</f>
        <v>6</v>
      </c>
      <c r="D618" s="38">
        <f>dataset_A!H618</f>
        <v>5</v>
      </c>
      <c r="E618" s="38" t="b">
        <f>dataset_A!G618</f>
        <v>0</v>
      </c>
      <c r="F618" s="38" t="b">
        <f>dataset_A!G618</f>
        <v>0</v>
      </c>
      <c r="G618" s="38" t="str">
        <f t="shared" si="1"/>
        <v>Weekday</v>
      </c>
      <c r="H618" s="38" t="str">
        <f t="shared" si="2"/>
        <v>Morning</v>
      </c>
      <c r="I618" s="38" t="str">
        <f>IF(dataset_A!C618=1,"Spring",IF(dataset_A!C618=2,"Summer",IF(dataset_A!C618=3,"Fail","Winter")))</f>
        <v>Spring</v>
      </c>
      <c r="J618" s="38" t="str">
        <f>IF(dataset_A!I618=1,"Clear",IF(dataset_A!I618,"Mist/Cloudy",IF(dataset_A!I618=3,"Light Rain/Snow","Heavy Rain/Snow")))</f>
        <v>Mist/Cloudy</v>
      </c>
      <c r="K618" s="38">
        <f>dataset_A!N618</f>
        <v>8</v>
      </c>
      <c r="L618" s="38">
        <f>dataset_A!O618</f>
        <v>26</v>
      </c>
      <c r="M618" s="38">
        <f>dataset_A!P618</f>
        <v>34</v>
      </c>
      <c r="N618" s="38" t="str">
        <f t="shared" si="3"/>
        <v>Ok</v>
      </c>
      <c r="O618" s="38" t="str">
        <f>IF(M618&gt;Analysis!$B$3*1.5,"High",IF(M618&lt;Analysis!$B$3*0.5,"Low","Medium"))</f>
        <v>Medium</v>
      </c>
      <c r="P618" s="38" t="str">
        <f>VLOOKUP(dataset_A!C618,$Q$2:$R$5,2,0)</f>
        <v>Spring</v>
      </c>
      <c r="S618" s="38" t="str">
        <f t="array" ref="S618">INDEX($R$2:$R$5,MATCH(dataset_A!C618,$Q$2:$Q$5,0))</f>
        <v>Spring</v>
      </c>
      <c r="T618" s="38" t="str">
        <f t="shared" si="4"/>
        <v>Match</v>
      </c>
    </row>
    <row r="619" ht="12.75" customHeight="1">
      <c r="A619" s="38">
        <f>dataset_A!A619</f>
        <v>184</v>
      </c>
      <c r="B619" s="39">
        <f>dataset_A!B619</f>
        <v>40551</v>
      </c>
      <c r="C619" s="38">
        <f>dataset_A!F619</f>
        <v>22</v>
      </c>
      <c r="D619" s="38">
        <f>dataset_A!H619</f>
        <v>6</v>
      </c>
      <c r="E619" s="38" t="b">
        <f>dataset_A!G619</f>
        <v>0</v>
      </c>
      <c r="F619" s="38" t="b">
        <f>dataset_A!G619</f>
        <v>0</v>
      </c>
      <c r="G619" s="38" t="str">
        <f t="shared" si="1"/>
        <v>Weekend</v>
      </c>
      <c r="H619" s="38" t="str">
        <f t="shared" si="2"/>
        <v>Evening</v>
      </c>
      <c r="I619" s="38" t="str">
        <f>IF(dataset_A!C619=1,"Spring",IF(dataset_A!C619=2,"Summer",IF(dataset_A!C619=3,"Fail","Winter")))</f>
        <v>Spring</v>
      </c>
      <c r="J619" s="38" t="str">
        <f>IF(dataset_A!I619=1,"Clear",IF(dataset_A!I619,"Mist/Cloudy",IF(dataset_A!I619=3,"Light Rain/Snow","Heavy Rain/Snow")))</f>
        <v>Clear</v>
      </c>
      <c r="K619" s="38">
        <f>dataset_A!N619</f>
        <v>1</v>
      </c>
      <c r="L619" s="38">
        <f>dataset_A!O619</f>
        <v>33</v>
      </c>
      <c r="M619" s="38">
        <f>dataset_A!P619</f>
        <v>34</v>
      </c>
      <c r="N619" s="38" t="str">
        <f t="shared" si="3"/>
        <v>Ok</v>
      </c>
      <c r="O619" s="38" t="str">
        <f>IF(M619&gt;Analysis!$B$3*1.5,"High",IF(M619&lt;Analysis!$B$3*0.5,"Low","Medium"))</f>
        <v>Medium</v>
      </c>
      <c r="P619" s="38" t="str">
        <f>VLOOKUP(dataset_A!C619,$Q$2:$R$5,2,0)</f>
        <v>Spring</v>
      </c>
      <c r="S619" s="38" t="str">
        <f t="array" ref="S619">INDEX($R$2:$R$5,MATCH(dataset_A!C619,$Q$2:$Q$5,0))</f>
        <v>Spring</v>
      </c>
      <c r="T619" s="38" t="str">
        <f t="shared" si="4"/>
        <v>Match</v>
      </c>
    </row>
    <row r="620" ht="12.75" customHeight="1">
      <c r="A620" s="38">
        <f>dataset_A!A620</f>
        <v>478</v>
      </c>
      <c r="B620" s="39">
        <f>dataset_A!B620</f>
        <v>40564</v>
      </c>
      <c r="C620" s="38">
        <f>dataset_A!F620</f>
        <v>22</v>
      </c>
      <c r="D620" s="38">
        <f>dataset_A!H620</f>
        <v>5</v>
      </c>
      <c r="E620" s="38" t="b">
        <f>dataset_A!G620</f>
        <v>0</v>
      </c>
      <c r="F620" s="38" t="b">
        <f>dataset_A!G620</f>
        <v>0</v>
      </c>
      <c r="G620" s="38" t="str">
        <f t="shared" si="1"/>
        <v>Weekday</v>
      </c>
      <c r="H620" s="38" t="str">
        <f t="shared" si="2"/>
        <v>Evening</v>
      </c>
      <c r="I620" s="38" t="str">
        <f>IF(dataset_A!C620=1,"Spring",IF(dataset_A!C620=2,"Summer",IF(dataset_A!C620=3,"Fail","Winter")))</f>
        <v>Spring</v>
      </c>
      <c r="J620" s="38" t="str">
        <f>IF(dataset_A!I620=1,"Clear",IF(dataset_A!I620,"Mist/Cloudy",IF(dataset_A!I620=3,"Light Rain/Snow","Heavy Rain/Snow")))</f>
        <v>Clear</v>
      </c>
      <c r="K620" s="38">
        <f>dataset_A!N620</f>
        <v>1</v>
      </c>
      <c r="L620" s="38">
        <f>dataset_A!O620</f>
        <v>33</v>
      </c>
      <c r="M620" s="38">
        <f>dataset_A!P620</f>
        <v>34</v>
      </c>
      <c r="N620" s="38" t="str">
        <f t="shared" si="3"/>
        <v>Ok</v>
      </c>
      <c r="O620" s="38" t="str">
        <f>IF(M620&gt;Analysis!$B$3*1.5,"High",IF(M620&lt;Analysis!$B$3*0.5,"Low","Medium"))</f>
        <v>Medium</v>
      </c>
      <c r="P620" s="38" t="str">
        <f>VLOOKUP(dataset_A!C620,$Q$2:$R$5,2,0)</f>
        <v>Spring</v>
      </c>
      <c r="S620" s="38" t="str">
        <f t="array" ref="S620">INDEX($R$2:$R$5,MATCH(dataset_A!C620,$Q$2:$Q$5,0))</f>
        <v>Spring</v>
      </c>
      <c r="T620" s="38" t="str">
        <f t="shared" si="4"/>
        <v>Match</v>
      </c>
    </row>
    <row r="621" ht="12.75" customHeight="1">
      <c r="A621" s="38">
        <f>dataset_A!A621</f>
        <v>626</v>
      </c>
      <c r="B621" s="39">
        <f>dataset_A!B621</f>
        <v>40572</v>
      </c>
      <c r="C621" s="38">
        <f>dataset_A!F621</f>
        <v>8</v>
      </c>
      <c r="D621" s="38">
        <f>dataset_A!H621</f>
        <v>6</v>
      </c>
      <c r="E621" s="38" t="b">
        <f>dataset_A!G621</f>
        <v>0</v>
      </c>
      <c r="F621" s="38" t="b">
        <f>dataset_A!G621</f>
        <v>0</v>
      </c>
      <c r="G621" s="38" t="str">
        <f t="shared" si="1"/>
        <v>Weekend</v>
      </c>
      <c r="H621" s="38" t="str">
        <f t="shared" si="2"/>
        <v>Morning</v>
      </c>
      <c r="I621" s="38" t="str">
        <f>IF(dataset_A!C621=1,"Spring",IF(dataset_A!C621=2,"Summer",IF(dataset_A!C621=3,"Fail","Winter")))</f>
        <v>Spring</v>
      </c>
      <c r="J621" s="38" t="str">
        <f>IF(dataset_A!I621=1,"Clear",IF(dataset_A!I621,"Mist/Cloudy",IF(dataset_A!I621=3,"Light Rain/Snow","Heavy Rain/Snow")))</f>
        <v>Clear</v>
      </c>
      <c r="K621" s="38">
        <f>dataset_A!N621</f>
        <v>3</v>
      </c>
      <c r="L621" s="38">
        <f>dataset_A!O621</f>
        <v>31</v>
      </c>
      <c r="M621" s="38">
        <f>dataset_A!P621</f>
        <v>34</v>
      </c>
      <c r="N621" s="38" t="str">
        <f t="shared" si="3"/>
        <v>Ok</v>
      </c>
      <c r="O621" s="38" t="str">
        <f>IF(M621&gt;Analysis!$B$3*1.5,"High",IF(M621&lt;Analysis!$B$3*0.5,"Low","Medium"))</f>
        <v>Medium</v>
      </c>
      <c r="P621" s="38" t="str">
        <f>VLOOKUP(dataset_A!C621,$Q$2:$R$5,2,0)</f>
        <v>Spring</v>
      </c>
      <c r="S621" s="38" t="str">
        <f t="array" ref="S621">INDEX($R$2:$R$5,MATCH(dataset_A!C621,$Q$2:$Q$5,0))</f>
        <v>Spring</v>
      </c>
      <c r="T621" s="38" t="str">
        <f t="shared" si="4"/>
        <v>Match</v>
      </c>
    </row>
    <row r="622" ht="12.75" customHeight="1">
      <c r="A622" s="38">
        <f>dataset_A!A622</f>
        <v>627</v>
      </c>
      <c r="B622" s="39">
        <f>dataset_A!B622</f>
        <v>40572</v>
      </c>
      <c r="C622" s="38">
        <f>dataset_A!F622</f>
        <v>9</v>
      </c>
      <c r="D622" s="38">
        <f>dataset_A!H622</f>
        <v>6</v>
      </c>
      <c r="E622" s="38" t="b">
        <f>dataset_A!G622</f>
        <v>0</v>
      </c>
      <c r="F622" s="38" t="b">
        <f>dataset_A!G622</f>
        <v>0</v>
      </c>
      <c r="G622" s="38" t="str">
        <f t="shared" si="1"/>
        <v>Weekend</v>
      </c>
      <c r="H622" s="38" t="str">
        <f t="shared" si="2"/>
        <v>Morning</v>
      </c>
      <c r="I622" s="38" t="str">
        <f>IF(dataset_A!C622=1,"Spring",IF(dataset_A!C622=2,"Summer",IF(dataset_A!C622=3,"Fail","Winter")))</f>
        <v>Spring</v>
      </c>
      <c r="J622" s="38" t="str">
        <f>IF(dataset_A!I622=1,"Clear",IF(dataset_A!I622,"Mist/Cloudy",IF(dataset_A!I622=3,"Light Rain/Snow","Heavy Rain/Snow")))</f>
        <v>Clear</v>
      </c>
      <c r="K622" s="38">
        <f>dataset_A!N622</f>
        <v>0</v>
      </c>
      <c r="L622" s="38">
        <f>dataset_A!O622</f>
        <v>34</v>
      </c>
      <c r="M622" s="38">
        <f>dataset_A!P622</f>
        <v>34</v>
      </c>
      <c r="N622" s="38" t="str">
        <f t="shared" si="3"/>
        <v>Ok</v>
      </c>
      <c r="O622" s="38" t="str">
        <f>IF(M622&gt;Analysis!$B$3*1.5,"High",IF(M622&lt;Analysis!$B$3*0.5,"Low","Medium"))</f>
        <v>Medium</v>
      </c>
      <c r="P622" s="38" t="str">
        <f>VLOOKUP(dataset_A!C622,$Q$2:$R$5,2,0)</f>
        <v>Spring</v>
      </c>
      <c r="S622" s="38" t="str">
        <f t="array" ref="S622">INDEX($R$2:$R$5,MATCH(dataset_A!C622,$Q$2:$Q$5,0))</f>
        <v>Spring</v>
      </c>
      <c r="T622" s="38" t="str">
        <f t="shared" si="4"/>
        <v>Match</v>
      </c>
    </row>
    <row r="623" ht="12.75" customHeight="1">
      <c r="A623" s="38">
        <f>dataset_A!A623</f>
        <v>687</v>
      </c>
      <c r="B623" s="39">
        <f>dataset_A!B623</f>
        <v>40574</v>
      </c>
      <c r="C623" s="38">
        <f>dataset_A!F623</f>
        <v>22</v>
      </c>
      <c r="D623" s="38">
        <f>dataset_A!H623</f>
        <v>1</v>
      </c>
      <c r="E623" s="38" t="b">
        <f>dataset_A!G623</f>
        <v>0</v>
      </c>
      <c r="F623" s="38" t="b">
        <f>dataset_A!G623</f>
        <v>0</v>
      </c>
      <c r="G623" s="38" t="str">
        <f t="shared" si="1"/>
        <v>Weekday</v>
      </c>
      <c r="H623" s="38" t="str">
        <f t="shared" si="2"/>
        <v>Evening</v>
      </c>
      <c r="I623" s="38" t="str">
        <f>IF(dataset_A!C623=1,"Spring",IF(dataset_A!C623=2,"Summer",IF(dataset_A!C623=3,"Fail","Winter")))</f>
        <v>Spring</v>
      </c>
      <c r="J623" s="38" t="str">
        <f>IF(dataset_A!I623=1,"Clear",IF(dataset_A!I623,"Mist/Cloudy",IF(dataset_A!I623=3,"Light Rain/Snow","Heavy Rain/Snow")))</f>
        <v>Mist/Cloudy</v>
      </c>
      <c r="K623" s="38">
        <f>dataset_A!N623</f>
        <v>0</v>
      </c>
      <c r="L623" s="38">
        <f>dataset_A!O623</f>
        <v>34</v>
      </c>
      <c r="M623" s="38">
        <f>dataset_A!P623</f>
        <v>34</v>
      </c>
      <c r="N623" s="38" t="str">
        <f t="shared" si="3"/>
        <v>Ok</v>
      </c>
      <c r="O623" s="38" t="str">
        <f>IF(M623&gt;Analysis!$B$3*1.5,"High",IF(M623&lt;Analysis!$B$3*0.5,"Low","Medium"))</f>
        <v>Medium</v>
      </c>
      <c r="P623" s="38" t="str">
        <f>VLOOKUP(dataset_A!C623,$Q$2:$R$5,2,0)</f>
        <v>Spring</v>
      </c>
      <c r="S623" s="38" t="str">
        <f t="array" ref="S623">INDEX($R$2:$R$5,MATCH(dataset_A!C623,$Q$2:$Q$5,0))</f>
        <v>Spring</v>
      </c>
      <c r="T623" s="38" t="str">
        <f t="shared" si="4"/>
        <v>Match</v>
      </c>
    </row>
    <row r="624" ht="12.75" customHeight="1">
      <c r="A624" s="38">
        <f>dataset_A!A624</f>
        <v>792</v>
      </c>
      <c r="B624" s="39">
        <f>dataset_A!B624</f>
        <v>40579</v>
      </c>
      <c r="C624" s="38">
        <f>dataset_A!F624</f>
        <v>10</v>
      </c>
      <c r="D624" s="38">
        <f>dataset_A!H624</f>
        <v>6</v>
      </c>
      <c r="E624" s="38" t="b">
        <f>dataset_A!G624</f>
        <v>0</v>
      </c>
      <c r="F624" s="38" t="b">
        <f>dataset_A!G624</f>
        <v>0</v>
      </c>
      <c r="G624" s="38" t="str">
        <f t="shared" si="1"/>
        <v>Weekend</v>
      </c>
      <c r="H624" s="38" t="str">
        <f t="shared" si="2"/>
        <v>Morning</v>
      </c>
      <c r="I624" s="38" t="str">
        <f>IF(dataset_A!C624=1,"Spring",IF(dataset_A!C624=2,"Summer",IF(dataset_A!C624=3,"Fail","Winter")))</f>
        <v>Spring</v>
      </c>
      <c r="J624" s="38" t="str">
        <f>IF(dataset_A!I624=1,"Clear",IF(dataset_A!I624,"Mist/Cloudy",IF(dataset_A!I624=3,"Light Rain/Snow","Heavy Rain/Snow")))</f>
        <v>Mist/Cloudy</v>
      </c>
      <c r="K624" s="38">
        <f>dataset_A!N624</f>
        <v>3</v>
      </c>
      <c r="L624" s="38">
        <f>dataset_A!O624</f>
        <v>31</v>
      </c>
      <c r="M624" s="38">
        <f>dataset_A!P624</f>
        <v>34</v>
      </c>
      <c r="N624" s="38" t="str">
        <f t="shared" si="3"/>
        <v>Ok</v>
      </c>
      <c r="O624" s="38" t="str">
        <f>IF(M624&gt;Analysis!$B$3*1.5,"High",IF(M624&lt;Analysis!$B$3*0.5,"Low","Medium"))</f>
        <v>Medium</v>
      </c>
      <c r="P624" s="38" t="str">
        <f>VLOOKUP(dataset_A!C624,$Q$2:$R$5,2,0)</f>
        <v>Spring</v>
      </c>
      <c r="S624" s="38" t="str">
        <f t="array" ref="S624">INDEX($R$2:$R$5,MATCH(dataset_A!C624,$Q$2:$Q$5,0))</f>
        <v>Spring</v>
      </c>
      <c r="T624" s="38" t="str">
        <f t="shared" si="4"/>
        <v>Match</v>
      </c>
    </row>
    <row r="625" ht="12.75" customHeight="1">
      <c r="A625" s="38">
        <f>dataset_A!A625</f>
        <v>923</v>
      </c>
      <c r="B625" s="39">
        <f>dataset_A!B625</f>
        <v>40584</v>
      </c>
      <c r="C625" s="38">
        <f>dataset_A!F625</f>
        <v>23</v>
      </c>
      <c r="D625" s="38">
        <f>dataset_A!H625</f>
        <v>4</v>
      </c>
      <c r="E625" s="38" t="b">
        <f>dataset_A!G625</f>
        <v>0</v>
      </c>
      <c r="F625" s="38" t="b">
        <f>dataset_A!G625</f>
        <v>0</v>
      </c>
      <c r="G625" s="38" t="str">
        <f t="shared" si="1"/>
        <v>Weekday</v>
      </c>
      <c r="H625" s="38" t="str">
        <f t="shared" si="2"/>
        <v>Evening</v>
      </c>
      <c r="I625" s="38" t="str">
        <f>IF(dataset_A!C625=1,"Spring",IF(dataset_A!C625=2,"Summer",IF(dataset_A!C625=3,"Fail","Winter")))</f>
        <v>Spring</v>
      </c>
      <c r="J625" s="38" t="str">
        <f>IF(dataset_A!I625=1,"Clear",IF(dataset_A!I625,"Mist/Cloudy",IF(dataset_A!I625=3,"Light Rain/Snow","Heavy Rain/Snow")))</f>
        <v>Clear</v>
      </c>
      <c r="K625" s="38">
        <f>dataset_A!N625</f>
        <v>1</v>
      </c>
      <c r="L625" s="38">
        <f>dataset_A!O625</f>
        <v>33</v>
      </c>
      <c r="M625" s="38">
        <f>dataset_A!P625</f>
        <v>34</v>
      </c>
      <c r="N625" s="38" t="str">
        <f t="shared" si="3"/>
        <v>Ok</v>
      </c>
      <c r="O625" s="38" t="str">
        <f>IF(M625&gt;Analysis!$B$3*1.5,"High",IF(M625&lt;Analysis!$B$3*0.5,"Low","Medium"))</f>
        <v>Medium</v>
      </c>
      <c r="P625" s="38" t="str">
        <f>VLOOKUP(dataset_A!C625,$Q$2:$R$5,2,0)</f>
        <v>Spring</v>
      </c>
      <c r="S625" s="38" t="str">
        <f t="array" ref="S625">INDEX($R$2:$R$5,MATCH(dataset_A!C625,$Q$2:$Q$5,0))</f>
        <v>Spring</v>
      </c>
      <c r="T625" s="38" t="str">
        <f t="shared" si="4"/>
        <v>Match</v>
      </c>
    </row>
    <row r="626" ht="12.75" customHeight="1">
      <c r="A626" s="38">
        <f>dataset_A!A626</f>
        <v>98</v>
      </c>
      <c r="B626" s="39">
        <f>dataset_A!B626</f>
        <v>40548</v>
      </c>
      <c r="C626" s="38">
        <f>dataset_A!F626</f>
        <v>6</v>
      </c>
      <c r="D626" s="38">
        <f>dataset_A!H626</f>
        <v>3</v>
      </c>
      <c r="E626" s="38" t="b">
        <f>dataset_A!G626</f>
        <v>0</v>
      </c>
      <c r="F626" s="38" t="b">
        <f>dataset_A!G626</f>
        <v>0</v>
      </c>
      <c r="G626" s="38" t="str">
        <f t="shared" si="1"/>
        <v>Weekday</v>
      </c>
      <c r="H626" s="38" t="str">
        <f t="shared" si="2"/>
        <v>Morning</v>
      </c>
      <c r="I626" s="38" t="str">
        <f>IF(dataset_A!C626=1,"Spring",IF(dataset_A!C626=2,"Summer",IF(dataset_A!C626=3,"Fail","Winter")))</f>
        <v>Spring</v>
      </c>
      <c r="J626" s="38" t="str">
        <f>IF(dataset_A!I626=1,"Clear",IF(dataset_A!I626,"Mist/Cloudy",IF(dataset_A!I626=3,"Light Rain/Snow","Heavy Rain/Snow")))</f>
        <v>Clear</v>
      </c>
      <c r="K626" s="38">
        <f>dataset_A!N626</f>
        <v>0</v>
      </c>
      <c r="L626" s="38">
        <f>dataset_A!O626</f>
        <v>33</v>
      </c>
      <c r="M626" s="38">
        <f>dataset_A!P626</f>
        <v>33</v>
      </c>
      <c r="N626" s="38" t="str">
        <f t="shared" si="3"/>
        <v>Ok</v>
      </c>
      <c r="O626" s="38" t="str">
        <f>IF(M626&gt;Analysis!$B$3*1.5,"High",IF(M626&lt;Analysis!$B$3*0.5,"Low","Medium"))</f>
        <v>Medium</v>
      </c>
      <c r="P626" s="38" t="str">
        <f>VLOOKUP(dataset_A!C626,$Q$2:$R$5,2,0)</f>
        <v>Spring</v>
      </c>
      <c r="S626" s="38" t="str">
        <f t="array" ref="S626">INDEX($R$2:$R$5,MATCH(dataset_A!C626,$Q$2:$Q$5,0))</f>
        <v>Spring</v>
      </c>
      <c r="T626" s="38" t="str">
        <f t="shared" si="4"/>
        <v>Match</v>
      </c>
    </row>
    <row r="627" ht="12.75" customHeight="1">
      <c r="A627" s="38">
        <f>dataset_A!A627</f>
        <v>276</v>
      </c>
      <c r="B627" s="39">
        <f>dataset_A!B627</f>
        <v>40555</v>
      </c>
      <c r="C627" s="38">
        <f>dataset_A!F627</f>
        <v>22</v>
      </c>
      <c r="D627" s="38">
        <f>dataset_A!H627</f>
        <v>3</v>
      </c>
      <c r="E627" s="38" t="b">
        <f>dataset_A!G627</f>
        <v>0</v>
      </c>
      <c r="F627" s="38" t="b">
        <f>dataset_A!G627</f>
        <v>0</v>
      </c>
      <c r="G627" s="38" t="str">
        <f t="shared" si="1"/>
        <v>Weekday</v>
      </c>
      <c r="H627" s="38" t="str">
        <f t="shared" si="2"/>
        <v>Evening</v>
      </c>
      <c r="I627" s="38" t="str">
        <f>IF(dataset_A!C627=1,"Spring",IF(dataset_A!C627=2,"Summer",IF(dataset_A!C627=3,"Fail","Winter")))</f>
        <v>Spring</v>
      </c>
      <c r="J627" s="38" t="str">
        <f>IF(dataset_A!I627=1,"Clear",IF(dataset_A!I627,"Mist/Cloudy",IF(dataset_A!I627=3,"Light Rain/Snow","Heavy Rain/Snow")))</f>
        <v>Clear</v>
      </c>
      <c r="K627" s="38">
        <f>dataset_A!N627</f>
        <v>1</v>
      </c>
      <c r="L627" s="38">
        <f>dataset_A!O627</f>
        <v>32</v>
      </c>
      <c r="M627" s="38">
        <f>dataset_A!P627</f>
        <v>33</v>
      </c>
      <c r="N627" s="38" t="str">
        <f t="shared" si="3"/>
        <v>Ok</v>
      </c>
      <c r="O627" s="38" t="str">
        <f>IF(M627&gt;Analysis!$B$3*1.5,"High",IF(M627&lt;Analysis!$B$3*0.5,"Low","Medium"))</f>
        <v>Medium</v>
      </c>
      <c r="P627" s="38" t="str">
        <f>VLOOKUP(dataset_A!C627,$Q$2:$R$5,2,0)</f>
        <v>Spring</v>
      </c>
      <c r="S627" s="38" t="str">
        <f t="array" ref="S627">INDEX($R$2:$R$5,MATCH(dataset_A!C627,$Q$2:$Q$5,0))</f>
        <v>Spring</v>
      </c>
      <c r="T627" s="38" t="str">
        <f t="shared" si="4"/>
        <v>Match</v>
      </c>
    </row>
    <row r="628" ht="12.75" customHeight="1">
      <c r="A628" s="38">
        <f>dataset_A!A628</f>
        <v>334</v>
      </c>
      <c r="B628" s="39">
        <f>dataset_A!B628</f>
        <v>40558</v>
      </c>
      <c r="C628" s="38">
        <f>dataset_A!F628</f>
        <v>9</v>
      </c>
      <c r="D628" s="38">
        <f>dataset_A!H628</f>
        <v>6</v>
      </c>
      <c r="E628" s="38" t="b">
        <f>dataset_A!G628</f>
        <v>0</v>
      </c>
      <c r="F628" s="38" t="b">
        <f>dataset_A!G628</f>
        <v>0</v>
      </c>
      <c r="G628" s="38" t="str">
        <f t="shared" si="1"/>
        <v>Weekend</v>
      </c>
      <c r="H628" s="38" t="str">
        <f t="shared" si="2"/>
        <v>Morning</v>
      </c>
      <c r="I628" s="38" t="str">
        <f>IF(dataset_A!C628=1,"Spring",IF(dataset_A!C628=2,"Summer",IF(dataset_A!C628=3,"Fail","Winter")))</f>
        <v>Spring</v>
      </c>
      <c r="J628" s="38" t="str">
        <f>IF(dataset_A!I628=1,"Clear",IF(dataset_A!I628,"Mist/Cloudy",IF(dataset_A!I628=3,"Light Rain/Snow","Heavy Rain/Snow")))</f>
        <v>Clear</v>
      </c>
      <c r="K628" s="38">
        <f>dataset_A!N628</f>
        <v>2</v>
      </c>
      <c r="L628" s="38">
        <f>dataset_A!O628</f>
        <v>31</v>
      </c>
      <c r="M628" s="38">
        <f>dataset_A!P628</f>
        <v>33</v>
      </c>
      <c r="N628" s="38" t="str">
        <f t="shared" si="3"/>
        <v>Ok</v>
      </c>
      <c r="O628" s="38" t="str">
        <f>IF(M628&gt;Analysis!$B$3*1.5,"High",IF(M628&lt;Analysis!$B$3*0.5,"Low","Medium"))</f>
        <v>Medium</v>
      </c>
      <c r="P628" s="38" t="str">
        <f>VLOOKUP(dataset_A!C628,$Q$2:$R$5,2,0)</f>
        <v>Spring</v>
      </c>
      <c r="S628" s="38" t="str">
        <f t="array" ref="S628">INDEX($R$2:$R$5,MATCH(dataset_A!C628,$Q$2:$Q$5,0))</f>
        <v>Spring</v>
      </c>
      <c r="T628" s="38" t="str">
        <f t="shared" si="4"/>
        <v>Match</v>
      </c>
    </row>
    <row r="629" ht="12.75" customHeight="1">
      <c r="A629" s="38">
        <f>dataset_A!A629</f>
        <v>381</v>
      </c>
      <c r="B629" s="39">
        <f>dataset_A!B629</f>
        <v>40560</v>
      </c>
      <c r="C629" s="38">
        <f>dataset_A!F629</f>
        <v>8</v>
      </c>
      <c r="D629" s="38">
        <f>dataset_A!H629</f>
        <v>1</v>
      </c>
      <c r="E629" s="38" t="b">
        <f>dataset_A!G629</f>
        <v>1</v>
      </c>
      <c r="F629" s="38" t="b">
        <f>dataset_A!G629</f>
        <v>1</v>
      </c>
      <c r="G629" s="38" t="str">
        <f t="shared" si="1"/>
        <v>Weekday</v>
      </c>
      <c r="H629" s="38" t="str">
        <f t="shared" si="2"/>
        <v>Morning</v>
      </c>
      <c r="I629" s="38" t="str">
        <f>IF(dataset_A!C629=1,"Spring",IF(dataset_A!C629=2,"Summer",IF(dataset_A!C629=3,"Fail","Winter")))</f>
        <v>Spring</v>
      </c>
      <c r="J629" s="38" t="str">
        <f>IF(dataset_A!I629=1,"Clear",IF(dataset_A!I629,"Mist/Cloudy",IF(dataset_A!I629=3,"Light Rain/Snow","Heavy Rain/Snow")))</f>
        <v>Mist/Cloudy</v>
      </c>
      <c r="K629" s="38">
        <f>dataset_A!N629</f>
        <v>3</v>
      </c>
      <c r="L629" s="38">
        <f>dataset_A!O629</f>
        <v>30</v>
      </c>
      <c r="M629" s="38">
        <f>dataset_A!P629</f>
        <v>33</v>
      </c>
      <c r="N629" s="38" t="str">
        <f t="shared" si="3"/>
        <v>Ok</v>
      </c>
      <c r="O629" s="38" t="str">
        <f>IF(M629&gt;Analysis!$B$3*1.5,"High",IF(M629&lt;Analysis!$B$3*0.5,"Low","Medium"))</f>
        <v>Medium</v>
      </c>
      <c r="P629" s="38" t="str">
        <f>VLOOKUP(dataset_A!C629,$Q$2:$R$5,2,0)</f>
        <v>Spring</v>
      </c>
      <c r="S629" s="38" t="str">
        <f t="array" ref="S629">INDEX($R$2:$R$5,MATCH(dataset_A!C629,$Q$2:$Q$5,0))</f>
        <v>Spring</v>
      </c>
      <c r="T629" s="38" t="str">
        <f t="shared" si="4"/>
        <v>Match</v>
      </c>
    </row>
    <row r="630" ht="12.75" customHeight="1">
      <c r="A630" s="38">
        <f>dataset_A!A630</f>
        <v>393</v>
      </c>
      <c r="B630" s="39">
        <f>dataset_A!B630</f>
        <v>40560</v>
      </c>
      <c r="C630" s="38">
        <f>dataset_A!F630</f>
        <v>20</v>
      </c>
      <c r="D630" s="38">
        <f>dataset_A!H630</f>
        <v>1</v>
      </c>
      <c r="E630" s="38" t="b">
        <f>dataset_A!G630</f>
        <v>1</v>
      </c>
      <c r="F630" s="38" t="b">
        <f>dataset_A!G630</f>
        <v>1</v>
      </c>
      <c r="G630" s="38" t="str">
        <f t="shared" si="1"/>
        <v>Weekday</v>
      </c>
      <c r="H630" s="38" t="str">
        <f t="shared" si="2"/>
        <v>Evening</v>
      </c>
      <c r="I630" s="38" t="str">
        <f>IF(dataset_A!C630=1,"Spring",IF(dataset_A!C630=2,"Summer",IF(dataset_A!C630=3,"Fail","Winter")))</f>
        <v>Spring</v>
      </c>
      <c r="J630" s="38" t="str">
        <f>IF(dataset_A!I630=1,"Clear",IF(dataset_A!I630,"Mist/Cloudy",IF(dataset_A!I630=3,"Light Rain/Snow","Heavy Rain/Snow")))</f>
        <v>Mist/Cloudy</v>
      </c>
      <c r="K630" s="38">
        <f>dataset_A!N630</f>
        <v>4</v>
      </c>
      <c r="L630" s="38">
        <f>dataset_A!O630</f>
        <v>29</v>
      </c>
      <c r="M630" s="38">
        <f>dataset_A!P630</f>
        <v>33</v>
      </c>
      <c r="N630" s="38" t="str">
        <f t="shared" si="3"/>
        <v>Ok</v>
      </c>
      <c r="O630" s="38" t="str">
        <f>IF(M630&gt;Analysis!$B$3*1.5,"High",IF(M630&lt;Analysis!$B$3*0.5,"Low","Medium"))</f>
        <v>Medium</v>
      </c>
      <c r="P630" s="38" t="str">
        <f>VLOOKUP(dataset_A!C630,$Q$2:$R$5,2,0)</f>
        <v>Spring</v>
      </c>
      <c r="S630" s="38" t="str">
        <f t="array" ref="S630">INDEX($R$2:$R$5,MATCH(dataset_A!C630,$Q$2:$Q$5,0))</f>
        <v>Spring</v>
      </c>
      <c r="T630" s="38" t="str">
        <f t="shared" si="4"/>
        <v>Match</v>
      </c>
    </row>
    <row r="631" ht="12.75" customHeight="1">
      <c r="A631" s="38">
        <f>dataset_A!A631</f>
        <v>407</v>
      </c>
      <c r="B631" s="39">
        <f>dataset_A!B631</f>
        <v>40561</v>
      </c>
      <c r="C631" s="38">
        <f>dataset_A!F631</f>
        <v>22</v>
      </c>
      <c r="D631" s="38">
        <f>dataset_A!H631</f>
        <v>2</v>
      </c>
      <c r="E631" s="38" t="b">
        <f>dataset_A!G631</f>
        <v>0</v>
      </c>
      <c r="F631" s="38" t="b">
        <f>dataset_A!G631</f>
        <v>0</v>
      </c>
      <c r="G631" s="38" t="str">
        <f t="shared" si="1"/>
        <v>Weekday</v>
      </c>
      <c r="H631" s="38" t="str">
        <f t="shared" si="2"/>
        <v>Evening</v>
      </c>
      <c r="I631" s="38" t="str">
        <f>IF(dataset_A!C631=1,"Spring",IF(dataset_A!C631=2,"Summer",IF(dataset_A!C631=3,"Fail","Winter")))</f>
        <v>Spring</v>
      </c>
      <c r="J631" s="38" t="str">
        <f>IF(dataset_A!I631=1,"Clear",IF(dataset_A!I631,"Mist/Cloudy",IF(dataset_A!I631=3,"Light Rain/Snow","Heavy Rain/Snow")))</f>
        <v>Mist/Cloudy</v>
      </c>
      <c r="K631" s="38">
        <f>dataset_A!N631</f>
        <v>0</v>
      </c>
      <c r="L631" s="38">
        <f>dataset_A!O631</f>
        <v>33</v>
      </c>
      <c r="M631" s="38">
        <f>dataset_A!P631</f>
        <v>33</v>
      </c>
      <c r="N631" s="38" t="str">
        <f t="shared" si="3"/>
        <v>Ok</v>
      </c>
      <c r="O631" s="38" t="str">
        <f>IF(M631&gt;Analysis!$B$3*1.5,"High",IF(M631&lt;Analysis!$B$3*0.5,"Low","Medium"))</f>
        <v>Medium</v>
      </c>
      <c r="P631" s="38" t="str">
        <f>VLOOKUP(dataset_A!C631,$Q$2:$R$5,2,0)</f>
        <v>Spring</v>
      </c>
      <c r="S631" s="38" t="str">
        <f t="array" ref="S631">INDEX($R$2:$R$5,MATCH(dataset_A!C631,$Q$2:$Q$5,0))</f>
        <v>Spring</v>
      </c>
      <c r="T631" s="38" t="str">
        <f t="shared" si="4"/>
        <v>Match</v>
      </c>
    </row>
    <row r="632" ht="12.75" customHeight="1">
      <c r="A632" s="38">
        <f>dataset_A!A632</f>
        <v>502</v>
      </c>
      <c r="B632" s="39">
        <f>dataset_A!B632</f>
        <v>40565</v>
      </c>
      <c r="C632" s="38">
        <f>dataset_A!F632</f>
        <v>23</v>
      </c>
      <c r="D632" s="38">
        <f>dataset_A!H632</f>
        <v>6</v>
      </c>
      <c r="E632" s="38" t="b">
        <f>dataset_A!G632</f>
        <v>0</v>
      </c>
      <c r="F632" s="38" t="b">
        <f>dataset_A!G632</f>
        <v>0</v>
      </c>
      <c r="G632" s="38" t="str">
        <f t="shared" si="1"/>
        <v>Weekend</v>
      </c>
      <c r="H632" s="38" t="str">
        <f t="shared" si="2"/>
        <v>Evening</v>
      </c>
      <c r="I632" s="38" t="str">
        <f>IF(dataset_A!C632=1,"Spring",IF(dataset_A!C632=2,"Summer",IF(dataset_A!C632=3,"Fail","Winter")))</f>
        <v>Spring</v>
      </c>
      <c r="J632" s="38" t="str">
        <f>IF(dataset_A!I632=1,"Clear",IF(dataset_A!I632,"Mist/Cloudy",IF(dataset_A!I632=3,"Light Rain/Snow","Heavy Rain/Snow")))</f>
        <v>Clear</v>
      </c>
      <c r="K632" s="38">
        <f>dataset_A!N632</f>
        <v>2</v>
      </c>
      <c r="L632" s="38">
        <f>dataset_A!O632</f>
        <v>31</v>
      </c>
      <c r="M632" s="38">
        <f>dataset_A!P632</f>
        <v>33</v>
      </c>
      <c r="N632" s="38" t="str">
        <f t="shared" si="3"/>
        <v>Ok</v>
      </c>
      <c r="O632" s="38" t="str">
        <f>IF(M632&gt;Analysis!$B$3*1.5,"High",IF(M632&lt;Analysis!$B$3*0.5,"Low","Medium"))</f>
        <v>Medium</v>
      </c>
      <c r="P632" s="38" t="str">
        <f>VLOOKUP(dataset_A!C632,$Q$2:$R$5,2,0)</f>
        <v>Spring</v>
      </c>
      <c r="S632" s="38" t="str">
        <f t="array" ref="S632">INDEX($R$2:$R$5,MATCH(dataset_A!C632,$Q$2:$Q$5,0))</f>
        <v>Spring</v>
      </c>
      <c r="T632" s="38" t="str">
        <f t="shared" si="4"/>
        <v>Match</v>
      </c>
    </row>
    <row r="633" ht="12.75" customHeight="1">
      <c r="A633" s="38">
        <f>dataset_A!A633</f>
        <v>641</v>
      </c>
      <c r="B633" s="39">
        <f>dataset_A!B633</f>
        <v>40572</v>
      </c>
      <c r="C633" s="38">
        <f>dataset_A!F633</f>
        <v>23</v>
      </c>
      <c r="D633" s="38">
        <f>dataset_A!H633</f>
        <v>6</v>
      </c>
      <c r="E633" s="38" t="b">
        <f>dataset_A!G633</f>
        <v>0</v>
      </c>
      <c r="F633" s="38" t="b">
        <f>dataset_A!G633</f>
        <v>0</v>
      </c>
      <c r="G633" s="38" t="str">
        <f t="shared" si="1"/>
        <v>Weekend</v>
      </c>
      <c r="H633" s="38" t="str">
        <f t="shared" si="2"/>
        <v>Evening</v>
      </c>
      <c r="I633" s="38" t="str">
        <f>IF(dataset_A!C633=1,"Spring",IF(dataset_A!C633=2,"Summer",IF(dataset_A!C633=3,"Fail","Winter")))</f>
        <v>Spring</v>
      </c>
      <c r="J633" s="38" t="str">
        <f>IF(dataset_A!I633=1,"Clear",IF(dataset_A!I633,"Mist/Cloudy",IF(dataset_A!I633=3,"Light Rain/Snow","Heavy Rain/Snow")))</f>
        <v>Clear</v>
      </c>
      <c r="K633" s="38">
        <f>dataset_A!N633</f>
        <v>3</v>
      </c>
      <c r="L633" s="38">
        <f>dataset_A!O633</f>
        <v>30</v>
      </c>
      <c r="M633" s="38">
        <f>dataset_A!P633</f>
        <v>33</v>
      </c>
      <c r="N633" s="38" t="str">
        <f t="shared" si="3"/>
        <v>Ok</v>
      </c>
      <c r="O633" s="38" t="str">
        <f>IF(M633&gt;Analysis!$B$3*1.5,"High",IF(M633&lt;Analysis!$B$3*0.5,"Low","Medium"))</f>
        <v>Medium</v>
      </c>
      <c r="P633" s="38" t="str">
        <f>VLOOKUP(dataset_A!C633,$Q$2:$R$5,2,0)</f>
        <v>Spring</v>
      </c>
      <c r="S633" s="38" t="str">
        <f t="array" ref="S633">INDEX($R$2:$R$5,MATCH(dataset_A!C633,$Q$2:$Q$5,0))</f>
        <v>Spring</v>
      </c>
      <c r="T633" s="38" t="str">
        <f t="shared" si="4"/>
        <v>Match</v>
      </c>
    </row>
    <row r="634" ht="12.75" customHeight="1">
      <c r="A634" s="38">
        <f>dataset_A!A634</f>
        <v>642</v>
      </c>
      <c r="B634" s="39">
        <f>dataset_A!B634</f>
        <v>40573</v>
      </c>
      <c r="C634" s="38">
        <f>dataset_A!F634</f>
        <v>0</v>
      </c>
      <c r="D634" s="38">
        <f>dataset_A!H634</f>
        <v>0</v>
      </c>
      <c r="E634" s="38" t="b">
        <f>dataset_A!G634</f>
        <v>0</v>
      </c>
      <c r="F634" s="38" t="b">
        <f>dataset_A!G634</f>
        <v>0</v>
      </c>
      <c r="G634" s="38" t="str">
        <f t="shared" si="1"/>
        <v>Weekend</v>
      </c>
      <c r="H634" s="38" t="str">
        <f t="shared" si="2"/>
        <v>Night</v>
      </c>
      <c r="I634" s="38" t="str">
        <f>IF(dataset_A!C634=1,"Spring",IF(dataset_A!C634=2,"Summer",IF(dataset_A!C634=3,"Fail","Winter")))</f>
        <v>Spring</v>
      </c>
      <c r="J634" s="38" t="str">
        <f>IF(dataset_A!I634=1,"Clear",IF(dataset_A!I634,"Mist/Cloudy",IF(dataset_A!I634=3,"Light Rain/Snow","Heavy Rain/Snow")))</f>
        <v>Clear</v>
      </c>
      <c r="K634" s="38">
        <f>dataset_A!N634</f>
        <v>0</v>
      </c>
      <c r="L634" s="38">
        <f>dataset_A!O634</f>
        <v>33</v>
      </c>
      <c r="M634" s="38">
        <f>dataset_A!P634</f>
        <v>33</v>
      </c>
      <c r="N634" s="38" t="str">
        <f t="shared" si="3"/>
        <v>Ok</v>
      </c>
      <c r="O634" s="38" t="str">
        <f>IF(M634&gt;Analysis!$B$3*1.5,"High",IF(M634&lt;Analysis!$B$3*0.5,"Low","Medium"))</f>
        <v>Medium</v>
      </c>
      <c r="P634" s="38" t="str">
        <f>VLOOKUP(dataset_A!C634,$Q$2:$R$5,2,0)</f>
        <v>Spring</v>
      </c>
      <c r="S634" s="38" t="str">
        <f t="array" ref="S634">INDEX($R$2:$R$5,MATCH(dataset_A!C634,$Q$2:$Q$5,0))</f>
        <v>Spring</v>
      </c>
      <c r="T634" s="38" t="str">
        <f t="shared" si="4"/>
        <v>Match</v>
      </c>
    </row>
    <row r="635" ht="12.75" customHeight="1">
      <c r="A635" s="38">
        <f>dataset_A!A635</f>
        <v>661</v>
      </c>
      <c r="B635" s="39">
        <f>dataset_A!B635</f>
        <v>40573</v>
      </c>
      <c r="C635" s="38">
        <f>dataset_A!F635</f>
        <v>20</v>
      </c>
      <c r="D635" s="38">
        <f>dataset_A!H635</f>
        <v>0</v>
      </c>
      <c r="E635" s="38" t="b">
        <f>dataset_A!G635</f>
        <v>0</v>
      </c>
      <c r="F635" s="38" t="b">
        <f>dataset_A!G635</f>
        <v>0</v>
      </c>
      <c r="G635" s="38" t="str">
        <f t="shared" si="1"/>
        <v>Weekend</v>
      </c>
      <c r="H635" s="38" t="str">
        <f t="shared" si="2"/>
        <v>Evening</v>
      </c>
      <c r="I635" s="38" t="str">
        <f>IF(dataset_A!C635=1,"Spring",IF(dataset_A!C635=2,"Summer",IF(dataset_A!C635=3,"Fail","Winter")))</f>
        <v>Spring</v>
      </c>
      <c r="J635" s="38" t="str">
        <f>IF(dataset_A!I635=1,"Clear",IF(dataset_A!I635,"Mist/Cloudy",IF(dataset_A!I635=3,"Light Rain/Snow","Heavy Rain/Snow")))</f>
        <v>Mist/Cloudy</v>
      </c>
      <c r="K635" s="38">
        <f>dataset_A!N635</f>
        <v>3</v>
      </c>
      <c r="L635" s="38">
        <f>dataset_A!O635</f>
        <v>30</v>
      </c>
      <c r="M635" s="38">
        <f>dataset_A!P635</f>
        <v>33</v>
      </c>
      <c r="N635" s="38" t="str">
        <f t="shared" si="3"/>
        <v>Ok</v>
      </c>
      <c r="O635" s="38" t="str">
        <f>IF(M635&gt;Analysis!$B$3*1.5,"High",IF(M635&lt;Analysis!$B$3*0.5,"Low","Medium"))</f>
        <v>Medium</v>
      </c>
      <c r="P635" s="38" t="str">
        <f>VLOOKUP(dataset_A!C635,$Q$2:$R$5,2,0)</f>
        <v>Spring</v>
      </c>
      <c r="S635" s="38" t="str">
        <f t="array" ref="S635">INDEX($R$2:$R$5,MATCH(dataset_A!C635,$Q$2:$Q$5,0))</f>
        <v>Spring</v>
      </c>
      <c r="T635" s="38" t="str">
        <f t="shared" si="4"/>
        <v>Match</v>
      </c>
    </row>
    <row r="636" ht="12.75" customHeight="1">
      <c r="A636" s="38">
        <f>dataset_A!A636</f>
        <v>3</v>
      </c>
      <c r="B636" s="39">
        <f>dataset_A!B636</f>
        <v>40544</v>
      </c>
      <c r="C636" s="38">
        <f>dataset_A!F636</f>
        <v>2</v>
      </c>
      <c r="D636" s="38">
        <f>dataset_A!H636</f>
        <v>6</v>
      </c>
      <c r="E636" s="38" t="b">
        <f>dataset_A!G636</f>
        <v>0</v>
      </c>
      <c r="F636" s="38" t="b">
        <f>dataset_A!G636</f>
        <v>0</v>
      </c>
      <c r="G636" s="38" t="str">
        <f t="shared" si="1"/>
        <v>Weekend</v>
      </c>
      <c r="H636" s="38" t="str">
        <f t="shared" si="2"/>
        <v>Night</v>
      </c>
      <c r="I636" s="38" t="str">
        <f>IF(dataset_A!C636=1,"Spring",IF(dataset_A!C636=2,"Summer",IF(dataset_A!C636=3,"Fail","Winter")))</f>
        <v>Spring</v>
      </c>
      <c r="J636" s="38" t="str">
        <f>IF(dataset_A!I636=1,"Clear",IF(dataset_A!I636,"Mist/Cloudy",IF(dataset_A!I636=3,"Light Rain/Snow","Heavy Rain/Snow")))</f>
        <v>Clear</v>
      </c>
      <c r="K636" s="38">
        <f>dataset_A!N636</f>
        <v>5</v>
      </c>
      <c r="L636" s="38">
        <f>dataset_A!O636</f>
        <v>27</v>
      </c>
      <c r="M636" s="38">
        <f>dataset_A!P636</f>
        <v>32</v>
      </c>
      <c r="N636" s="38" t="str">
        <f t="shared" si="3"/>
        <v>Ok</v>
      </c>
      <c r="O636" s="38" t="str">
        <f>IF(M636&gt;Analysis!$B$3*1.5,"High",IF(M636&lt;Analysis!$B$3*0.5,"Low","Medium"))</f>
        <v>Medium</v>
      </c>
      <c r="P636" s="38" t="str">
        <f>VLOOKUP(dataset_A!C636,$Q$2:$R$5,2,0)</f>
        <v>Spring</v>
      </c>
      <c r="S636" s="38" t="str">
        <f t="array" ref="S636">INDEX($R$2:$R$5,MATCH(dataset_A!C636,$Q$2:$Q$5,0))</f>
        <v>Spring</v>
      </c>
      <c r="T636" s="38" t="str">
        <f t="shared" si="4"/>
        <v>Match</v>
      </c>
    </row>
    <row r="637" ht="12.75" customHeight="1">
      <c r="A637" s="38">
        <f>dataset_A!A637</f>
        <v>252</v>
      </c>
      <c r="B637" s="39">
        <f>dataset_A!B637</f>
        <v>40554</v>
      </c>
      <c r="C637" s="38">
        <f>dataset_A!F637</f>
        <v>20</v>
      </c>
      <c r="D637" s="38">
        <f>dataset_A!H637</f>
        <v>2</v>
      </c>
      <c r="E637" s="38" t="b">
        <f>dataset_A!G637</f>
        <v>0</v>
      </c>
      <c r="F637" s="38" t="b">
        <f>dataset_A!G637</f>
        <v>0</v>
      </c>
      <c r="G637" s="38" t="str">
        <f t="shared" si="1"/>
        <v>Weekday</v>
      </c>
      <c r="H637" s="38" t="str">
        <f t="shared" si="2"/>
        <v>Evening</v>
      </c>
      <c r="I637" s="38" t="str">
        <f>IF(dataset_A!C637=1,"Spring",IF(dataset_A!C637=2,"Summer",IF(dataset_A!C637=3,"Fail","Winter")))</f>
        <v>Spring</v>
      </c>
      <c r="J637" s="38" t="str">
        <f>IF(dataset_A!I637=1,"Clear",IF(dataset_A!I637,"Mist/Cloudy",IF(dataset_A!I637=3,"Light Rain/Snow","Heavy Rain/Snow")))</f>
        <v>Mist/Cloudy</v>
      </c>
      <c r="K637" s="38">
        <f>dataset_A!N637</f>
        <v>0</v>
      </c>
      <c r="L637" s="38">
        <f>dataset_A!O637</f>
        <v>32</v>
      </c>
      <c r="M637" s="38">
        <f>dataset_A!P637</f>
        <v>32</v>
      </c>
      <c r="N637" s="38" t="str">
        <f t="shared" si="3"/>
        <v>Ok</v>
      </c>
      <c r="O637" s="38" t="str">
        <f>IF(M637&gt;Analysis!$B$3*1.5,"High",IF(M637&lt;Analysis!$B$3*0.5,"Low","Medium"))</f>
        <v>Medium</v>
      </c>
      <c r="P637" s="38" t="str">
        <f>VLOOKUP(dataset_A!C637,$Q$2:$R$5,2,0)</f>
        <v>Spring</v>
      </c>
      <c r="S637" s="38" t="str">
        <f t="array" ref="S637">INDEX($R$2:$R$5,MATCH(dataset_A!C637,$Q$2:$Q$5,0))</f>
        <v>Spring</v>
      </c>
      <c r="T637" s="38" t="str">
        <f t="shared" si="4"/>
        <v>Match</v>
      </c>
    </row>
    <row r="638" ht="12.75" customHeight="1">
      <c r="A638" s="38">
        <f>dataset_A!A638</f>
        <v>358</v>
      </c>
      <c r="B638" s="39">
        <f>dataset_A!B638</f>
        <v>40559</v>
      </c>
      <c r="C638" s="38">
        <f>dataset_A!F638</f>
        <v>9</v>
      </c>
      <c r="D638" s="38">
        <f>dataset_A!H638</f>
        <v>0</v>
      </c>
      <c r="E638" s="38" t="b">
        <f>dataset_A!G638</f>
        <v>0</v>
      </c>
      <c r="F638" s="38" t="b">
        <f>dataset_A!G638</f>
        <v>0</v>
      </c>
      <c r="G638" s="38" t="str">
        <f t="shared" si="1"/>
        <v>Weekend</v>
      </c>
      <c r="H638" s="38" t="str">
        <f t="shared" si="2"/>
        <v>Morning</v>
      </c>
      <c r="I638" s="38" t="str">
        <f>IF(dataset_A!C638=1,"Spring",IF(dataset_A!C638=2,"Summer",IF(dataset_A!C638=3,"Fail","Winter")))</f>
        <v>Spring</v>
      </c>
      <c r="J638" s="38" t="str">
        <f>IF(dataset_A!I638=1,"Clear",IF(dataset_A!I638,"Mist/Cloudy",IF(dataset_A!I638=3,"Light Rain/Snow","Heavy Rain/Snow")))</f>
        <v>Clear</v>
      </c>
      <c r="K638" s="38">
        <f>dataset_A!N638</f>
        <v>3</v>
      </c>
      <c r="L638" s="38">
        <f>dataset_A!O638</f>
        <v>29</v>
      </c>
      <c r="M638" s="38">
        <f>dataset_A!P638</f>
        <v>32</v>
      </c>
      <c r="N638" s="38" t="str">
        <f t="shared" si="3"/>
        <v>Ok</v>
      </c>
      <c r="O638" s="38" t="str">
        <f>IF(M638&gt;Analysis!$B$3*1.5,"High",IF(M638&lt;Analysis!$B$3*0.5,"Low","Medium"))</f>
        <v>Medium</v>
      </c>
      <c r="P638" s="38" t="str">
        <f>VLOOKUP(dataset_A!C638,$Q$2:$R$5,2,0)</f>
        <v>Spring</v>
      </c>
      <c r="S638" s="38" t="str">
        <f t="array" ref="S638">INDEX($R$2:$R$5,MATCH(dataset_A!C638,$Q$2:$Q$5,0))</f>
        <v>Spring</v>
      </c>
      <c r="T638" s="38" t="str">
        <f t="shared" si="4"/>
        <v>Match</v>
      </c>
    </row>
    <row r="639" ht="12.75" customHeight="1">
      <c r="A639" s="38">
        <f>dataset_A!A639</f>
        <v>414</v>
      </c>
      <c r="B639" s="39">
        <f>dataset_A!B639</f>
        <v>40562</v>
      </c>
      <c r="C639" s="38">
        <f>dataset_A!F639</f>
        <v>6</v>
      </c>
      <c r="D639" s="38">
        <f>dataset_A!H639</f>
        <v>3</v>
      </c>
      <c r="E639" s="38" t="b">
        <f>dataset_A!G639</f>
        <v>0</v>
      </c>
      <c r="F639" s="38" t="b">
        <f>dataset_A!G639</f>
        <v>0</v>
      </c>
      <c r="G639" s="38" t="str">
        <f t="shared" si="1"/>
        <v>Weekday</v>
      </c>
      <c r="H639" s="38" t="str">
        <f t="shared" si="2"/>
        <v>Morning</v>
      </c>
      <c r="I639" s="38" t="str">
        <f>IF(dataset_A!C639=1,"Spring",IF(dataset_A!C639=2,"Summer",IF(dataset_A!C639=3,"Fail","Winter")))</f>
        <v>Spring</v>
      </c>
      <c r="J639" s="38" t="str">
        <f>IF(dataset_A!I639=1,"Clear",IF(dataset_A!I639,"Mist/Cloudy",IF(dataset_A!I639=3,"Light Rain/Snow","Heavy Rain/Snow")))</f>
        <v>Mist/Cloudy</v>
      </c>
      <c r="K639" s="38">
        <f>dataset_A!N639</f>
        <v>0</v>
      </c>
      <c r="L639" s="38">
        <f>dataset_A!O639</f>
        <v>32</v>
      </c>
      <c r="M639" s="38">
        <f>dataset_A!P639</f>
        <v>32</v>
      </c>
      <c r="N639" s="38" t="str">
        <f t="shared" si="3"/>
        <v>Ok</v>
      </c>
      <c r="O639" s="38" t="str">
        <f>IF(M639&gt;Analysis!$B$3*1.5,"High",IF(M639&lt;Analysis!$B$3*0.5,"Low","Medium"))</f>
        <v>Medium</v>
      </c>
      <c r="P639" s="38" t="str">
        <f>VLOOKUP(dataset_A!C639,$Q$2:$R$5,2,0)</f>
        <v>Spring</v>
      </c>
      <c r="S639" s="38" t="str">
        <f t="array" ref="S639">INDEX($R$2:$R$5,MATCH(dataset_A!C639,$Q$2:$Q$5,0))</f>
        <v>Spring</v>
      </c>
      <c r="T639" s="38" t="str">
        <f t="shared" si="4"/>
        <v>Match</v>
      </c>
    </row>
    <row r="640" ht="12.75" customHeight="1">
      <c r="A640" s="38">
        <f>dataset_A!A640</f>
        <v>640</v>
      </c>
      <c r="B640" s="39">
        <f>dataset_A!B640</f>
        <v>40572</v>
      </c>
      <c r="C640" s="38">
        <f>dataset_A!F640</f>
        <v>22</v>
      </c>
      <c r="D640" s="38">
        <f>dataset_A!H640</f>
        <v>6</v>
      </c>
      <c r="E640" s="38" t="b">
        <f>dataset_A!G640</f>
        <v>0</v>
      </c>
      <c r="F640" s="38" t="b">
        <f>dataset_A!G640</f>
        <v>0</v>
      </c>
      <c r="G640" s="38" t="str">
        <f t="shared" si="1"/>
        <v>Weekend</v>
      </c>
      <c r="H640" s="38" t="str">
        <f t="shared" si="2"/>
        <v>Evening</v>
      </c>
      <c r="I640" s="38" t="str">
        <f>IF(dataset_A!C640=1,"Spring",IF(dataset_A!C640=2,"Summer",IF(dataset_A!C640=3,"Fail","Winter")))</f>
        <v>Spring</v>
      </c>
      <c r="J640" s="38" t="str">
        <f>IF(dataset_A!I640=1,"Clear",IF(dataset_A!I640,"Mist/Cloudy",IF(dataset_A!I640=3,"Light Rain/Snow","Heavy Rain/Snow")))</f>
        <v>Clear</v>
      </c>
      <c r="K640" s="38">
        <f>dataset_A!N640</f>
        <v>4</v>
      </c>
      <c r="L640" s="38">
        <f>dataset_A!O640</f>
        <v>28</v>
      </c>
      <c r="M640" s="38">
        <f>dataset_A!P640</f>
        <v>32</v>
      </c>
      <c r="N640" s="38" t="str">
        <f t="shared" si="3"/>
        <v>Ok</v>
      </c>
      <c r="O640" s="38" t="str">
        <f>IF(M640&gt;Analysis!$B$3*1.5,"High",IF(M640&lt;Analysis!$B$3*0.5,"Low","Medium"))</f>
        <v>Medium</v>
      </c>
      <c r="P640" s="38" t="str">
        <f>VLOOKUP(dataset_A!C640,$Q$2:$R$5,2,0)</f>
        <v>Spring</v>
      </c>
      <c r="S640" s="38" t="str">
        <f t="array" ref="S640">INDEX($R$2:$R$5,MATCH(dataset_A!C640,$Q$2:$Q$5,0))</f>
        <v>Spring</v>
      </c>
      <c r="T640" s="38" t="str">
        <f t="shared" si="4"/>
        <v>Match</v>
      </c>
    </row>
    <row r="641" ht="12.75" customHeight="1">
      <c r="A641" s="38">
        <f>dataset_A!A641</f>
        <v>735</v>
      </c>
      <c r="B641" s="39">
        <f>dataset_A!B641</f>
        <v>40576</v>
      </c>
      <c r="C641" s="38">
        <f>dataset_A!F641</f>
        <v>23</v>
      </c>
      <c r="D641" s="38">
        <f>dataset_A!H641</f>
        <v>3</v>
      </c>
      <c r="E641" s="38" t="b">
        <f>dataset_A!G641</f>
        <v>0</v>
      </c>
      <c r="F641" s="38" t="b">
        <f>dataset_A!G641</f>
        <v>0</v>
      </c>
      <c r="G641" s="38" t="str">
        <f t="shared" si="1"/>
        <v>Weekday</v>
      </c>
      <c r="H641" s="38" t="str">
        <f t="shared" si="2"/>
        <v>Evening</v>
      </c>
      <c r="I641" s="38" t="str">
        <f>IF(dataset_A!C641=1,"Spring",IF(dataset_A!C641=2,"Summer",IF(dataset_A!C641=3,"Fail","Winter")))</f>
        <v>Spring</v>
      </c>
      <c r="J641" s="38" t="str">
        <f>IF(dataset_A!I641=1,"Clear",IF(dataset_A!I641,"Mist/Cloudy",IF(dataset_A!I641=3,"Light Rain/Snow","Heavy Rain/Snow")))</f>
        <v>Clear</v>
      </c>
      <c r="K641" s="38">
        <f>dataset_A!N641</f>
        <v>3</v>
      </c>
      <c r="L641" s="38">
        <f>dataset_A!O641</f>
        <v>29</v>
      </c>
      <c r="M641" s="38">
        <f>dataset_A!P641</f>
        <v>32</v>
      </c>
      <c r="N641" s="38" t="str">
        <f t="shared" si="3"/>
        <v>Ok</v>
      </c>
      <c r="O641" s="38" t="str">
        <f>IF(M641&gt;Analysis!$B$3*1.5,"High",IF(M641&lt;Analysis!$B$3*0.5,"Low","Medium"))</f>
        <v>Medium</v>
      </c>
      <c r="P641" s="38" t="str">
        <f>VLOOKUP(dataset_A!C641,$Q$2:$R$5,2,0)</f>
        <v>Spring</v>
      </c>
      <c r="S641" s="38" t="str">
        <f t="array" ref="S641">INDEX($R$2:$R$5,MATCH(dataset_A!C641,$Q$2:$Q$5,0))</f>
        <v>Spring</v>
      </c>
      <c r="T641" s="38" t="str">
        <f t="shared" si="4"/>
        <v>Match</v>
      </c>
    </row>
    <row r="642" ht="12.75" customHeight="1">
      <c r="A642" s="38">
        <f>dataset_A!A642</f>
        <v>969</v>
      </c>
      <c r="B642" s="39">
        <f>dataset_A!B642</f>
        <v>40586</v>
      </c>
      <c r="C642" s="38">
        <f>dataset_A!F642</f>
        <v>23</v>
      </c>
      <c r="D642" s="38">
        <f>dataset_A!H642</f>
        <v>6</v>
      </c>
      <c r="E642" s="38" t="b">
        <f>dataset_A!G642</f>
        <v>0</v>
      </c>
      <c r="F642" s="38" t="b">
        <f>dataset_A!G642</f>
        <v>0</v>
      </c>
      <c r="G642" s="38" t="str">
        <f t="shared" si="1"/>
        <v>Weekend</v>
      </c>
      <c r="H642" s="38" t="str">
        <f t="shared" si="2"/>
        <v>Evening</v>
      </c>
      <c r="I642" s="38" t="str">
        <f>IF(dataset_A!C642=1,"Spring",IF(dataset_A!C642=2,"Summer",IF(dataset_A!C642=3,"Fail","Winter")))</f>
        <v>Spring</v>
      </c>
      <c r="J642" s="38" t="str">
        <f>IF(dataset_A!I642=1,"Clear",IF(dataset_A!I642,"Mist/Cloudy",IF(dataset_A!I642=3,"Light Rain/Snow","Heavy Rain/Snow")))</f>
        <v>Clear</v>
      </c>
      <c r="K642" s="38">
        <f>dataset_A!N642</f>
        <v>1</v>
      </c>
      <c r="L642" s="38">
        <f>dataset_A!O642</f>
        <v>31</v>
      </c>
      <c r="M642" s="38">
        <f>dataset_A!P642</f>
        <v>32</v>
      </c>
      <c r="N642" s="38" t="str">
        <f t="shared" si="3"/>
        <v>Ok</v>
      </c>
      <c r="O642" s="38" t="str">
        <f>IF(M642&gt;Analysis!$B$3*1.5,"High",IF(M642&lt;Analysis!$B$3*0.5,"Low","Medium"))</f>
        <v>Medium</v>
      </c>
      <c r="P642" s="38" t="str">
        <f>VLOOKUP(dataset_A!C642,$Q$2:$R$5,2,0)</f>
        <v>Spring</v>
      </c>
      <c r="S642" s="38" t="str">
        <f t="array" ref="S642">INDEX($R$2:$R$5,MATCH(dataset_A!C642,$Q$2:$Q$5,0))</f>
        <v>Spring</v>
      </c>
      <c r="T642" s="38" t="str">
        <f t="shared" si="4"/>
        <v>Match</v>
      </c>
    </row>
    <row r="643" ht="12.75" customHeight="1">
      <c r="A643" s="38">
        <f>dataset_A!A643</f>
        <v>45</v>
      </c>
      <c r="B643" s="39">
        <f>dataset_A!B643</f>
        <v>40545</v>
      </c>
      <c r="C643" s="38">
        <f>dataset_A!F643</f>
        <v>21</v>
      </c>
      <c r="D643" s="38">
        <f>dataset_A!H643</f>
        <v>0</v>
      </c>
      <c r="E643" s="38" t="b">
        <f>dataset_A!G643</f>
        <v>0</v>
      </c>
      <c r="F643" s="38" t="b">
        <f>dataset_A!G643</f>
        <v>0</v>
      </c>
      <c r="G643" s="38" t="str">
        <f t="shared" si="1"/>
        <v>Weekend</v>
      </c>
      <c r="H643" s="38" t="str">
        <f t="shared" si="2"/>
        <v>Evening</v>
      </c>
      <c r="I643" s="38" t="str">
        <f>IF(dataset_A!C643=1,"Spring",IF(dataset_A!C643=2,"Summer",IF(dataset_A!C643=3,"Fail","Winter")))</f>
        <v>Spring</v>
      </c>
      <c r="J643" s="38" t="str">
        <f>IF(dataset_A!I643=1,"Clear",IF(dataset_A!I643,"Mist/Cloudy",IF(dataset_A!I643=3,"Light Rain/Snow","Heavy Rain/Snow")))</f>
        <v>Clear</v>
      </c>
      <c r="K643" s="38">
        <f>dataset_A!N643</f>
        <v>11</v>
      </c>
      <c r="L643" s="38">
        <f>dataset_A!O643</f>
        <v>20</v>
      </c>
      <c r="M643" s="38">
        <f>dataset_A!P643</f>
        <v>31</v>
      </c>
      <c r="N643" s="38" t="str">
        <f t="shared" si="3"/>
        <v>Ok</v>
      </c>
      <c r="O643" s="38" t="str">
        <f>IF(M643&gt;Analysis!$B$3*1.5,"High",IF(M643&lt;Analysis!$B$3*0.5,"Low","Medium"))</f>
        <v>Medium</v>
      </c>
      <c r="P643" s="38" t="str">
        <f>VLOOKUP(dataset_A!C643,$Q$2:$R$5,2,0)</f>
        <v>Spring</v>
      </c>
      <c r="S643" s="38" t="str">
        <f t="array" ref="S643">INDEX($R$2:$R$5,MATCH(dataset_A!C643,$Q$2:$Q$5,0))</f>
        <v>Spring</v>
      </c>
      <c r="T643" s="38" t="str">
        <f t="shared" si="4"/>
        <v>Match</v>
      </c>
    </row>
    <row r="644" ht="12.75" customHeight="1">
      <c r="A644" s="38">
        <f>dataset_A!A644</f>
        <v>216</v>
      </c>
      <c r="B644" s="39">
        <f>dataset_A!B644</f>
        <v>40553</v>
      </c>
      <c r="C644" s="38">
        <f>dataset_A!F644</f>
        <v>6</v>
      </c>
      <c r="D644" s="38">
        <f>dataset_A!H644</f>
        <v>1</v>
      </c>
      <c r="E644" s="38" t="b">
        <f>dataset_A!G644</f>
        <v>0</v>
      </c>
      <c r="F644" s="38" t="b">
        <f>dataset_A!G644</f>
        <v>0</v>
      </c>
      <c r="G644" s="38" t="str">
        <f t="shared" si="1"/>
        <v>Weekday</v>
      </c>
      <c r="H644" s="38" t="str">
        <f t="shared" si="2"/>
        <v>Morning</v>
      </c>
      <c r="I644" s="38" t="str">
        <f>IF(dataset_A!C644=1,"Spring",IF(dataset_A!C644=2,"Summer",IF(dataset_A!C644=3,"Fail","Winter")))</f>
        <v>Spring</v>
      </c>
      <c r="J644" s="38" t="str">
        <f>IF(dataset_A!I644=1,"Clear",IF(dataset_A!I644,"Mist/Cloudy",IF(dataset_A!I644=3,"Light Rain/Snow","Heavy Rain/Snow")))</f>
        <v>Clear</v>
      </c>
      <c r="K644" s="38">
        <f>dataset_A!N644</f>
        <v>0</v>
      </c>
      <c r="L644" s="38">
        <f>dataset_A!O644</f>
        <v>31</v>
      </c>
      <c r="M644" s="38">
        <f>dataset_A!P644</f>
        <v>31</v>
      </c>
      <c r="N644" s="38" t="str">
        <f t="shared" si="3"/>
        <v>Ok</v>
      </c>
      <c r="O644" s="38" t="str">
        <f>IF(M644&gt;Analysis!$B$3*1.5,"High",IF(M644&lt;Analysis!$B$3*0.5,"Low","Medium"))</f>
        <v>Medium</v>
      </c>
      <c r="P644" s="38" t="str">
        <f>VLOOKUP(dataset_A!C644,$Q$2:$R$5,2,0)</f>
        <v>Spring</v>
      </c>
      <c r="S644" s="38" t="str">
        <f t="array" ref="S644">INDEX($R$2:$R$5,MATCH(dataset_A!C644,$Q$2:$Q$5,0))</f>
        <v>Spring</v>
      </c>
      <c r="T644" s="38" t="str">
        <f t="shared" si="4"/>
        <v>Match</v>
      </c>
    </row>
    <row r="645" ht="12.75" customHeight="1">
      <c r="A645" s="38">
        <f>dataset_A!A645</f>
        <v>220</v>
      </c>
      <c r="B645" s="39">
        <f>dataset_A!B645</f>
        <v>40553</v>
      </c>
      <c r="C645" s="38">
        <f>dataset_A!F645</f>
        <v>10</v>
      </c>
      <c r="D645" s="38">
        <f>dataset_A!H645</f>
        <v>1</v>
      </c>
      <c r="E645" s="38" t="b">
        <f>dataset_A!G645</f>
        <v>0</v>
      </c>
      <c r="F645" s="38" t="b">
        <f>dataset_A!G645</f>
        <v>0</v>
      </c>
      <c r="G645" s="38" t="str">
        <f t="shared" si="1"/>
        <v>Weekday</v>
      </c>
      <c r="H645" s="38" t="str">
        <f t="shared" si="2"/>
        <v>Morning</v>
      </c>
      <c r="I645" s="38" t="str">
        <f>IF(dataset_A!C645=1,"Spring",IF(dataset_A!C645=2,"Summer",IF(dataset_A!C645=3,"Fail","Winter")))</f>
        <v>Spring</v>
      </c>
      <c r="J645" s="38" t="str">
        <f>IF(dataset_A!I645=1,"Clear",IF(dataset_A!I645,"Mist/Cloudy",IF(dataset_A!I645=3,"Light Rain/Snow","Heavy Rain/Snow")))</f>
        <v>Mist/Cloudy</v>
      </c>
      <c r="K645" s="38">
        <f>dataset_A!N645</f>
        <v>0</v>
      </c>
      <c r="L645" s="38">
        <f>dataset_A!O645</f>
        <v>31</v>
      </c>
      <c r="M645" s="38">
        <f>dataset_A!P645</f>
        <v>31</v>
      </c>
      <c r="N645" s="38" t="str">
        <f t="shared" si="3"/>
        <v>Ok</v>
      </c>
      <c r="O645" s="38" t="str">
        <f>IF(M645&gt;Analysis!$B$3*1.5,"High",IF(M645&lt;Analysis!$B$3*0.5,"Low","Medium"))</f>
        <v>Medium</v>
      </c>
      <c r="P645" s="38" t="str">
        <f>VLOOKUP(dataset_A!C645,$Q$2:$R$5,2,0)</f>
        <v>Spring</v>
      </c>
      <c r="S645" s="38" t="str">
        <f t="array" ref="S645">INDEX($R$2:$R$5,MATCH(dataset_A!C645,$Q$2:$Q$5,0))</f>
        <v>Spring</v>
      </c>
      <c r="T645" s="38" t="str">
        <f t="shared" si="4"/>
        <v>Match</v>
      </c>
    </row>
    <row r="646" ht="12.75" customHeight="1">
      <c r="A646" s="38">
        <f>dataset_A!A646</f>
        <v>455</v>
      </c>
      <c r="B646" s="39">
        <f>dataset_A!B646</f>
        <v>40563</v>
      </c>
      <c r="C646" s="38">
        <f>dataset_A!F646</f>
        <v>23</v>
      </c>
      <c r="D646" s="38">
        <f>dataset_A!H646</f>
        <v>4</v>
      </c>
      <c r="E646" s="38" t="b">
        <f>dataset_A!G646</f>
        <v>0</v>
      </c>
      <c r="F646" s="38" t="b">
        <f>dataset_A!G646</f>
        <v>0</v>
      </c>
      <c r="G646" s="38" t="str">
        <f t="shared" si="1"/>
        <v>Weekday</v>
      </c>
      <c r="H646" s="38" t="str">
        <f t="shared" si="2"/>
        <v>Evening</v>
      </c>
      <c r="I646" s="38" t="str">
        <f>IF(dataset_A!C646=1,"Spring",IF(dataset_A!C646=2,"Summer",IF(dataset_A!C646=3,"Fail","Winter")))</f>
        <v>Spring</v>
      </c>
      <c r="J646" s="38" t="str">
        <f>IF(dataset_A!I646=1,"Clear",IF(dataset_A!I646,"Mist/Cloudy",IF(dataset_A!I646=3,"Light Rain/Snow","Heavy Rain/Snow")))</f>
        <v>Mist/Cloudy</v>
      </c>
      <c r="K646" s="38">
        <f>dataset_A!N646</f>
        <v>3</v>
      </c>
      <c r="L646" s="38">
        <f>dataset_A!O646</f>
        <v>28</v>
      </c>
      <c r="M646" s="38">
        <f>dataset_A!P646</f>
        <v>31</v>
      </c>
      <c r="N646" s="38" t="str">
        <f t="shared" si="3"/>
        <v>Ok</v>
      </c>
      <c r="O646" s="38" t="str">
        <f>IF(M646&gt;Analysis!$B$3*1.5,"High",IF(M646&lt;Analysis!$B$3*0.5,"Low","Medium"))</f>
        <v>Medium</v>
      </c>
      <c r="P646" s="38" t="str">
        <f>VLOOKUP(dataset_A!C646,$Q$2:$R$5,2,0)</f>
        <v>Spring</v>
      </c>
      <c r="S646" s="38" t="str">
        <f t="array" ref="S646">INDEX($R$2:$R$5,MATCH(dataset_A!C646,$Q$2:$Q$5,0))</f>
        <v>Spring</v>
      </c>
      <c r="T646" s="38" t="str">
        <f t="shared" si="4"/>
        <v>Match</v>
      </c>
    </row>
    <row r="647" ht="12.75" customHeight="1">
      <c r="A647" s="38">
        <f>dataset_A!A647</f>
        <v>608</v>
      </c>
      <c r="B647" s="39">
        <f>dataset_A!B647</f>
        <v>40571</v>
      </c>
      <c r="C647" s="38">
        <f>dataset_A!F647</f>
        <v>13</v>
      </c>
      <c r="D647" s="38">
        <f>dataset_A!H647</f>
        <v>5</v>
      </c>
      <c r="E647" s="38" t="b">
        <f>dataset_A!G647</f>
        <v>0</v>
      </c>
      <c r="F647" s="38" t="b">
        <f>dataset_A!G647</f>
        <v>0</v>
      </c>
      <c r="G647" s="38" t="str">
        <f t="shared" si="1"/>
        <v>Weekday</v>
      </c>
      <c r="H647" s="38" t="str">
        <f t="shared" si="2"/>
        <v>Afternoon</v>
      </c>
      <c r="I647" s="38" t="str">
        <f>IF(dataset_A!C647=1,"Spring",IF(dataset_A!C647=2,"Summer",IF(dataset_A!C647=3,"Fail","Winter")))</f>
        <v>Spring</v>
      </c>
      <c r="J647" s="38" t="str">
        <f>IF(dataset_A!I647=1,"Clear",IF(dataset_A!I647,"Mist/Cloudy",IF(dataset_A!I647=3,"Light Rain/Snow","Heavy Rain/Snow")))</f>
        <v>Mist/Cloudy</v>
      </c>
      <c r="K647" s="38">
        <f>dataset_A!N647</f>
        <v>0</v>
      </c>
      <c r="L647" s="38">
        <f>dataset_A!O647</f>
        <v>31</v>
      </c>
      <c r="M647" s="38">
        <f>dataset_A!P647</f>
        <v>31</v>
      </c>
      <c r="N647" s="38" t="str">
        <f t="shared" si="3"/>
        <v>Ok</v>
      </c>
      <c r="O647" s="38" t="str">
        <f>IF(M647&gt;Analysis!$B$3*1.5,"High",IF(M647&lt;Analysis!$B$3*0.5,"Low","Medium"))</f>
        <v>Medium</v>
      </c>
      <c r="P647" s="38" t="str">
        <f>VLOOKUP(dataset_A!C647,$Q$2:$R$5,2,0)</f>
        <v>Spring</v>
      </c>
      <c r="S647" s="38" t="str">
        <f t="array" ref="S647">INDEX($R$2:$R$5,MATCH(dataset_A!C647,$Q$2:$Q$5,0))</f>
        <v>Spring</v>
      </c>
      <c r="T647" s="38" t="str">
        <f t="shared" si="4"/>
        <v>Match</v>
      </c>
    </row>
    <row r="648" ht="12.75" customHeight="1">
      <c r="A648" s="38">
        <f>dataset_A!A648</f>
        <v>781</v>
      </c>
      <c r="B648" s="39">
        <f>dataset_A!B648</f>
        <v>40578</v>
      </c>
      <c r="C648" s="38">
        <f>dataset_A!F648</f>
        <v>23</v>
      </c>
      <c r="D648" s="38">
        <f>dataset_A!H648</f>
        <v>5</v>
      </c>
      <c r="E648" s="38" t="b">
        <f>dataset_A!G648</f>
        <v>0</v>
      </c>
      <c r="F648" s="38" t="b">
        <f>dataset_A!G648</f>
        <v>0</v>
      </c>
      <c r="G648" s="38" t="str">
        <f t="shared" si="1"/>
        <v>Weekday</v>
      </c>
      <c r="H648" s="38" t="str">
        <f t="shared" si="2"/>
        <v>Evening</v>
      </c>
      <c r="I648" s="38" t="str">
        <f>IF(dataset_A!C648=1,"Spring",IF(dataset_A!C648=2,"Summer",IF(dataset_A!C648=3,"Fail","Winter")))</f>
        <v>Spring</v>
      </c>
      <c r="J648" s="38" t="str">
        <f>IF(dataset_A!I648=1,"Clear",IF(dataset_A!I648,"Mist/Cloudy",IF(dataset_A!I648=3,"Light Rain/Snow","Heavy Rain/Snow")))</f>
        <v>Mist/Cloudy</v>
      </c>
      <c r="K648" s="38">
        <f>dataset_A!N648</f>
        <v>1</v>
      </c>
      <c r="L648" s="38">
        <f>dataset_A!O648</f>
        <v>30</v>
      </c>
      <c r="M648" s="38">
        <f>dataset_A!P648</f>
        <v>31</v>
      </c>
      <c r="N648" s="38" t="str">
        <f t="shared" si="3"/>
        <v>Ok</v>
      </c>
      <c r="O648" s="38" t="str">
        <f>IF(M648&gt;Analysis!$B$3*1.5,"High",IF(M648&lt;Analysis!$B$3*0.5,"Low","Medium"))</f>
        <v>Medium</v>
      </c>
      <c r="P648" s="38" t="str">
        <f>VLOOKUP(dataset_A!C648,$Q$2:$R$5,2,0)</f>
        <v>Spring</v>
      </c>
      <c r="S648" s="38" t="str">
        <f t="array" ref="S648">INDEX($R$2:$R$5,MATCH(dataset_A!C648,$Q$2:$Q$5,0))</f>
        <v>Spring</v>
      </c>
      <c r="T648" s="38" t="str">
        <f t="shared" si="4"/>
        <v>Match</v>
      </c>
    </row>
    <row r="649" ht="12.75" customHeight="1">
      <c r="A649" s="38">
        <f>dataset_A!A649</f>
        <v>43</v>
      </c>
      <c r="B649" s="39">
        <f>dataset_A!B649</f>
        <v>40545</v>
      </c>
      <c r="C649" s="38">
        <f>dataset_A!F649</f>
        <v>19</v>
      </c>
      <c r="D649" s="38">
        <f>dataset_A!H649</f>
        <v>0</v>
      </c>
      <c r="E649" s="38" t="b">
        <f>dataset_A!G649</f>
        <v>0</v>
      </c>
      <c r="F649" s="38" t="b">
        <f>dataset_A!G649</f>
        <v>0</v>
      </c>
      <c r="G649" s="38" t="str">
        <f t="shared" si="1"/>
        <v>Weekend</v>
      </c>
      <c r="H649" s="38" t="str">
        <f t="shared" si="2"/>
        <v>Evening</v>
      </c>
      <c r="I649" s="38" t="str">
        <f>IF(dataset_A!C649=1,"Spring",IF(dataset_A!C649=2,"Summer",IF(dataset_A!C649=3,"Fail","Winter")))</f>
        <v>Spring</v>
      </c>
      <c r="J649" s="38" t="str">
        <f>IF(dataset_A!I649=1,"Clear",IF(dataset_A!I649,"Mist/Cloudy",IF(dataset_A!I649=3,"Light Rain/Snow","Heavy Rain/Snow")))</f>
        <v>Clear</v>
      </c>
      <c r="K649" s="38">
        <f>dataset_A!N649</f>
        <v>1</v>
      </c>
      <c r="L649" s="38">
        <f>dataset_A!O649</f>
        <v>29</v>
      </c>
      <c r="M649" s="38">
        <f>dataset_A!P649</f>
        <v>30</v>
      </c>
      <c r="N649" s="38" t="str">
        <f t="shared" si="3"/>
        <v>Ok</v>
      </c>
      <c r="O649" s="38" t="str">
        <f>IF(M649&gt;Analysis!$B$3*1.5,"High",IF(M649&lt;Analysis!$B$3*0.5,"Low","Medium"))</f>
        <v>Medium</v>
      </c>
      <c r="P649" s="38" t="str">
        <f>VLOOKUP(dataset_A!C649,$Q$2:$R$5,2,0)</f>
        <v>Spring</v>
      </c>
      <c r="S649" s="38" t="str">
        <f t="array" ref="S649">INDEX($R$2:$R$5,MATCH(dataset_A!C649,$Q$2:$Q$5,0))</f>
        <v>Spring</v>
      </c>
      <c r="T649" s="38" t="str">
        <f t="shared" si="4"/>
        <v>Match</v>
      </c>
    </row>
    <row r="650" ht="12.75" customHeight="1">
      <c r="A650" s="38">
        <f>dataset_A!A650</f>
        <v>52</v>
      </c>
      <c r="B650" s="39">
        <f>dataset_A!B650</f>
        <v>40546</v>
      </c>
      <c r="C650" s="38">
        <f>dataset_A!F650</f>
        <v>6</v>
      </c>
      <c r="D650" s="38">
        <f>dataset_A!H650</f>
        <v>1</v>
      </c>
      <c r="E650" s="38" t="b">
        <f>dataset_A!G650</f>
        <v>0</v>
      </c>
      <c r="F650" s="38" t="b">
        <f>dataset_A!G650</f>
        <v>0</v>
      </c>
      <c r="G650" s="38" t="str">
        <f t="shared" si="1"/>
        <v>Weekday</v>
      </c>
      <c r="H650" s="38" t="str">
        <f t="shared" si="2"/>
        <v>Morning</v>
      </c>
      <c r="I650" s="38" t="str">
        <f>IF(dataset_A!C650=1,"Spring",IF(dataset_A!C650=2,"Summer",IF(dataset_A!C650=3,"Fail","Winter")))</f>
        <v>Spring</v>
      </c>
      <c r="J650" s="38" t="str">
        <f>IF(dataset_A!I650=1,"Clear",IF(dataset_A!I650,"Mist/Cloudy",IF(dataset_A!I650=3,"Light Rain/Snow","Heavy Rain/Snow")))</f>
        <v>Clear</v>
      </c>
      <c r="K650" s="38">
        <f>dataset_A!N650</f>
        <v>0</v>
      </c>
      <c r="L650" s="38">
        <f>dataset_A!O650</f>
        <v>30</v>
      </c>
      <c r="M650" s="38">
        <f>dataset_A!P650</f>
        <v>30</v>
      </c>
      <c r="N650" s="38" t="str">
        <f t="shared" si="3"/>
        <v>Ok</v>
      </c>
      <c r="O650" s="38" t="str">
        <f>IF(M650&gt;Analysis!$B$3*1.5,"High",IF(M650&lt;Analysis!$B$3*0.5,"Low","Medium"))</f>
        <v>Medium</v>
      </c>
      <c r="P650" s="38" t="str">
        <f>VLOOKUP(dataset_A!C650,$Q$2:$R$5,2,0)</f>
        <v>Spring</v>
      </c>
      <c r="S650" s="38" t="str">
        <f t="array" ref="S650">INDEX($R$2:$R$5,MATCH(dataset_A!C650,$Q$2:$Q$5,0))</f>
        <v>Spring</v>
      </c>
      <c r="T650" s="38" t="str">
        <f t="shared" si="4"/>
        <v>Match</v>
      </c>
    </row>
    <row r="651" ht="12.75" customHeight="1">
      <c r="A651" s="38">
        <f>dataset_A!A651</f>
        <v>181</v>
      </c>
      <c r="B651" s="39">
        <f>dataset_A!B651</f>
        <v>40551</v>
      </c>
      <c r="C651" s="38">
        <f>dataset_A!F651</f>
        <v>19</v>
      </c>
      <c r="D651" s="38">
        <f>dataset_A!H651</f>
        <v>6</v>
      </c>
      <c r="E651" s="38" t="b">
        <f>dataset_A!G651</f>
        <v>0</v>
      </c>
      <c r="F651" s="38" t="b">
        <f>dataset_A!G651</f>
        <v>0</v>
      </c>
      <c r="G651" s="38" t="str">
        <f t="shared" si="1"/>
        <v>Weekend</v>
      </c>
      <c r="H651" s="38" t="str">
        <f t="shared" si="2"/>
        <v>Evening</v>
      </c>
      <c r="I651" s="38" t="str">
        <f>IF(dataset_A!C651=1,"Spring",IF(dataset_A!C651=2,"Summer",IF(dataset_A!C651=3,"Fail","Winter")))</f>
        <v>Spring</v>
      </c>
      <c r="J651" s="38" t="str">
        <f>IF(dataset_A!I651=1,"Clear",IF(dataset_A!I651,"Mist/Cloudy",IF(dataset_A!I651=3,"Light Rain/Snow","Heavy Rain/Snow")))</f>
        <v>Clear</v>
      </c>
      <c r="K651" s="38">
        <f>dataset_A!N651</f>
        <v>4</v>
      </c>
      <c r="L651" s="38">
        <f>dataset_A!O651</f>
        <v>26</v>
      </c>
      <c r="M651" s="38">
        <f>dataset_A!P651</f>
        <v>30</v>
      </c>
      <c r="N651" s="38" t="str">
        <f t="shared" si="3"/>
        <v>Ok</v>
      </c>
      <c r="O651" s="38" t="str">
        <f>IF(M651&gt;Analysis!$B$3*1.5,"High",IF(M651&lt;Analysis!$B$3*0.5,"Low","Medium"))</f>
        <v>Medium</v>
      </c>
      <c r="P651" s="38" t="str">
        <f>VLOOKUP(dataset_A!C651,$Q$2:$R$5,2,0)</f>
        <v>Spring</v>
      </c>
      <c r="S651" s="38" t="str">
        <f t="array" ref="S651">INDEX($R$2:$R$5,MATCH(dataset_A!C651,$Q$2:$Q$5,0))</f>
        <v>Spring</v>
      </c>
      <c r="T651" s="38" t="str">
        <f t="shared" si="4"/>
        <v>Match</v>
      </c>
    </row>
    <row r="652" ht="12.75" customHeight="1">
      <c r="A652" s="38">
        <f>dataset_A!A652</f>
        <v>221</v>
      </c>
      <c r="B652" s="39">
        <f>dataset_A!B652</f>
        <v>40553</v>
      </c>
      <c r="C652" s="38">
        <f>dataset_A!F652</f>
        <v>11</v>
      </c>
      <c r="D652" s="38">
        <f>dataset_A!H652</f>
        <v>1</v>
      </c>
      <c r="E652" s="38" t="b">
        <f>dataset_A!G652</f>
        <v>0</v>
      </c>
      <c r="F652" s="38" t="b">
        <f>dataset_A!G652</f>
        <v>0</v>
      </c>
      <c r="G652" s="38" t="str">
        <f t="shared" si="1"/>
        <v>Weekday</v>
      </c>
      <c r="H652" s="38" t="str">
        <f t="shared" si="2"/>
        <v>Morning</v>
      </c>
      <c r="I652" s="38" t="str">
        <f>IF(dataset_A!C652=1,"Spring",IF(dataset_A!C652=2,"Summer",IF(dataset_A!C652=3,"Fail","Winter")))</f>
        <v>Spring</v>
      </c>
      <c r="J652" s="38" t="str">
        <f>IF(dataset_A!I652=1,"Clear",IF(dataset_A!I652,"Mist/Cloudy",IF(dataset_A!I652=3,"Light Rain/Snow","Heavy Rain/Snow")))</f>
        <v>Mist/Cloudy</v>
      </c>
      <c r="K652" s="38">
        <f>dataset_A!N652</f>
        <v>2</v>
      </c>
      <c r="L652" s="38">
        <f>dataset_A!O652</f>
        <v>28</v>
      </c>
      <c r="M652" s="38">
        <f>dataset_A!P652</f>
        <v>30</v>
      </c>
      <c r="N652" s="38" t="str">
        <f t="shared" si="3"/>
        <v>Ok</v>
      </c>
      <c r="O652" s="38" t="str">
        <f>IF(M652&gt;Analysis!$B$3*1.5,"High",IF(M652&lt;Analysis!$B$3*0.5,"Low","Medium"))</f>
        <v>Medium</v>
      </c>
      <c r="P652" s="38" t="str">
        <f>VLOOKUP(dataset_A!C652,$Q$2:$R$5,2,0)</f>
        <v>Spring</v>
      </c>
      <c r="S652" s="38" t="str">
        <f t="array" ref="S652">INDEX($R$2:$R$5,MATCH(dataset_A!C652,$Q$2:$Q$5,0))</f>
        <v>Spring</v>
      </c>
      <c r="T652" s="38" t="str">
        <f t="shared" si="4"/>
        <v>Match</v>
      </c>
    </row>
    <row r="653" ht="12.75" customHeight="1">
      <c r="A653" s="38">
        <f>dataset_A!A653</f>
        <v>300</v>
      </c>
      <c r="B653" s="39">
        <f>dataset_A!B653</f>
        <v>40556</v>
      </c>
      <c r="C653" s="38">
        <f>dataset_A!F653</f>
        <v>22</v>
      </c>
      <c r="D653" s="38">
        <f>dataset_A!H653</f>
        <v>4</v>
      </c>
      <c r="E653" s="38" t="b">
        <f>dataset_A!G653</f>
        <v>0</v>
      </c>
      <c r="F653" s="38" t="b">
        <f>dataset_A!G653</f>
        <v>0</v>
      </c>
      <c r="G653" s="38" t="str">
        <f t="shared" si="1"/>
        <v>Weekday</v>
      </c>
      <c r="H653" s="38" t="str">
        <f t="shared" si="2"/>
        <v>Evening</v>
      </c>
      <c r="I653" s="38" t="str">
        <f>IF(dataset_A!C653=1,"Spring",IF(dataset_A!C653=2,"Summer",IF(dataset_A!C653=3,"Fail","Winter")))</f>
        <v>Spring</v>
      </c>
      <c r="J653" s="38" t="str">
        <f>IF(dataset_A!I653=1,"Clear",IF(dataset_A!I653,"Mist/Cloudy",IF(dataset_A!I653=3,"Light Rain/Snow","Heavy Rain/Snow")))</f>
        <v>Clear</v>
      </c>
      <c r="K653" s="38">
        <f>dataset_A!N653</f>
        <v>0</v>
      </c>
      <c r="L653" s="38">
        <f>dataset_A!O653</f>
        <v>30</v>
      </c>
      <c r="M653" s="38">
        <f>dataset_A!P653</f>
        <v>30</v>
      </c>
      <c r="N653" s="38" t="str">
        <f t="shared" si="3"/>
        <v>Ok</v>
      </c>
      <c r="O653" s="38" t="str">
        <f>IF(M653&gt;Analysis!$B$3*1.5,"High",IF(M653&lt;Analysis!$B$3*0.5,"Low","Medium"))</f>
        <v>Medium</v>
      </c>
      <c r="P653" s="38" t="str">
        <f>VLOOKUP(dataset_A!C653,$Q$2:$R$5,2,0)</f>
        <v>Spring</v>
      </c>
      <c r="S653" s="38" t="str">
        <f t="array" ref="S653">INDEX($R$2:$R$5,MATCH(dataset_A!C653,$Q$2:$Q$5,0))</f>
        <v>Spring</v>
      </c>
      <c r="T653" s="38" t="str">
        <f t="shared" si="4"/>
        <v>Match</v>
      </c>
    </row>
    <row r="654" ht="12.75" customHeight="1">
      <c r="A654" s="38">
        <f>dataset_A!A654</f>
        <v>501</v>
      </c>
      <c r="B654" s="39">
        <f>dataset_A!B654</f>
        <v>40565</v>
      </c>
      <c r="C654" s="38">
        <f>dataset_A!F654</f>
        <v>22</v>
      </c>
      <c r="D654" s="38">
        <f>dataset_A!H654</f>
        <v>6</v>
      </c>
      <c r="E654" s="38" t="b">
        <f>dataset_A!G654</f>
        <v>0</v>
      </c>
      <c r="F654" s="38" t="b">
        <f>dataset_A!G654</f>
        <v>0</v>
      </c>
      <c r="G654" s="38" t="str">
        <f t="shared" si="1"/>
        <v>Weekend</v>
      </c>
      <c r="H654" s="38" t="str">
        <f t="shared" si="2"/>
        <v>Evening</v>
      </c>
      <c r="I654" s="38" t="str">
        <f>IF(dataset_A!C654=1,"Spring",IF(dataset_A!C654=2,"Summer",IF(dataset_A!C654=3,"Fail","Winter")))</f>
        <v>Spring</v>
      </c>
      <c r="J654" s="38" t="str">
        <f>IF(dataset_A!I654=1,"Clear",IF(dataset_A!I654,"Mist/Cloudy",IF(dataset_A!I654=3,"Light Rain/Snow","Heavy Rain/Snow")))</f>
        <v>Clear</v>
      </c>
      <c r="K654" s="38">
        <f>dataset_A!N654</f>
        <v>7</v>
      </c>
      <c r="L654" s="38">
        <f>dataset_A!O654</f>
        <v>23</v>
      </c>
      <c r="M654" s="38">
        <f>dataset_A!P654</f>
        <v>30</v>
      </c>
      <c r="N654" s="38" t="str">
        <f t="shared" si="3"/>
        <v>Ok</v>
      </c>
      <c r="O654" s="38" t="str">
        <f>IF(M654&gt;Analysis!$B$3*1.5,"High",IF(M654&lt;Analysis!$B$3*0.5,"Low","Medium"))</f>
        <v>Medium</v>
      </c>
      <c r="P654" s="38" t="str">
        <f>VLOOKUP(dataset_A!C654,$Q$2:$R$5,2,0)</f>
        <v>Spring</v>
      </c>
      <c r="S654" s="38" t="str">
        <f t="array" ref="S654">INDEX($R$2:$R$5,MATCH(dataset_A!C654,$Q$2:$Q$5,0))</f>
        <v>Spring</v>
      </c>
      <c r="T654" s="38" t="str">
        <f t="shared" si="4"/>
        <v>Match</v>
      </c>
    </row>
    <row r="655" ht="12.75" customHeight="1">
      <c r="A655" s="38">
        <f>dataset_A!A655</f>
        <v>577</v>
      </c>
      <c r="B655" s="39">
        <f>dataset_A!B655</f>
        <v>40569</v>
      </c>
      <c r="C655" s="38">
        <f>dataset_A!F655</f>
        <v>7</v>
      </c>
      <c r="D655" s="38">
        <f>dataset_A!H655</f>
        <v>3</v>
      </c>
      <c r="E655" s="38" t="b">
        <f>dataset_A!G655</f>
        <v>0</v>
      </c>
      <c r="F655" s="38" t="b">
        <f>dataset_A!G655</f>
        <v>0</v>
      </c>
      <c r="G655" s="38" t="str">
        <f t="shared" si="1"/>
        <v>Weekday</v>
      </c>
      <c r="H655" s="38" t="str">
        <f t="shared" si="2"/>
        <v>Morning</v>
      </c>
      <c r="I655" s="38" t="str">
        <f>IF(dataset_A!C655=1,"Spring",IF(dataset_A!C655=2,"Summer",IF(dataset_A!C655=3,"Fail","Winter")))</f>
        <v>Spring</v>
      </c>
      <c r="J655" s="38" t="str">
        <f>IF(dataset_A!I655=1,"Clear",IF(dataset_A!I655,"Mist/Cloudy",IF(dataset_A!I655=3,"Light Rain/Snow","Heavy Rain/Snow")))</f>
        <v>Mist/Cloudy</v>
      </c>
      <c r="K655" s="38">
        <f>dataset_A!N655</f>
        <v>1</v>
      </c>
      <c r="L655" s="38">
        <f>dataset_A!O655</f>
        <v>29</v>
      </c>
      <c r="M655" s="38">
        <f>dataset_A!P655</f>
        <v>30</v>
      </c>
      <c r="N655" s="38" t="str">
        <f t="shared" si="3"/>
        <v>Ok</v>
      </c>
      <c r="O655" s="38" t="str">
        <f>IF(M655&gt;Analysis!$B$3*1.5,"High",IF(M655&lt;Analysis!$B$3*0.5,"Low","Medium"))</f>
        <v>Medium</v>
      </c>
      <c r="P655" s="38" t="str">
        <f>VLOOKUP(dataset_A!C655,$Q$2:$R$5,2,0)</f>
        <v>Spring</v>
      </c>
      <c r="S655" s="38" t="str">
        <f t="array" ref="S655">INDEX($R$2:$R$5,MATCH(dataset_A!C655,$Q$2:$Q$5,0))</f>
        <v>Spring</v>
      </c>
      <c r="T655" s="38" t="str">
        <f t="shared" si="4"/>
        <v>Match</v>
      </c>
    </row>
    <row r="656" ht="12.75" customHeight="1">
      <c r="A656" s="38">
        <f>dataset_A!A656</f>
        <v>606</v>
      </c>
      <c r="B656" s="39">
        <f>dataset_A!B656</f>
        <v>40571</v>
      </c>
      <c r="C656" s="38">
        <f>dataset_A!F656</f>
        <v>11</v>
      </c>
      <c r="D656" s="38">
        <f>dataset_A!H656</f>
        <v>5</v>
      </c>
      <c r="E656" s="38" t="b">
        <f>dataset_A!G656</f>
        <v>0</v>
      </c>
      <c r="F656" s="38" t="b">
        <f>dataset_A!G656</f>
        <v>0</v>
      </c>
      <c r="G656" s="38" t="str">
        <f t="shared" si="1"/>
        <v>Weekday</v>
      </c>
      <c r="H656" s="38" t="str">
        <f t="shared" si="2"/>
        <v>Morning</v>
      </c>
      <c r="I656" s="38" t="str">
        <f>IF(dataset_A!C656=1,"Spring",IF(dataset_A!C656=2,"Summer",IF(dataset_A!C656=3,"Fail","Winter")))</f>
        <v>Spring</v>
      </c>
      <c r="J656" s="38" t="str">
        <f>IF(dataset_A!I656=1,"Clear",IF(dataset_A!I656,"Mist/Cloudy",IF(dataset_A!I656=3,"Light Rain/Snow","Heavy Rain/Snow")))</f>
        <v>Mist/Cloudy</v>
      </c>
      <c r="K656" s="38">
        <f>dataset_A!N656</f>
        <v>0</v>
      </c>
      <c r="L656" s="38">
        <f>dataset_A!O656</f>
        <v>30</v>
      </c>
      <c r="M656" s="38">
        <f>dataset_A!P656</f>
        <v>30</v>
      </c>
      <c r="N656" s="38" t="str">
        <f t="shared" si="3"/>
        <v>Ok</v>
      </c>
      <c r="O656" s="38" t="str">
        <f>IF(M656&gt;Analysis!$B$3*1.5,"High",IF(M656&lt;Analysis!$B$3*0.5,"Low","Medium"))</f>
        <v>Medium</v>
      </c>
      <c r="P656" s="38" t="str">
        <f>VLOOKUP(dataset_A!C656,$Q$2:$R$5,2,0)</f>
        <v>Spring</v>
      </c>
      <c r="S656" s="38" t="str">
        <f t="array" ref="S656">INDEX($R$2:$R$5,MATCH(dataset_A!C656,$Q$2:$Q$5,0))</f>
        <v>Spring</v>
      </c>
      <c r="T656" s="38" t="str">
        <f t="shared" si="4"/>
        <v>Match</v>
      </c>
    </row>
    <row r="657" ht="12.75" customHeight="1">
      <c r="A657" s="38">
        <f>dataset_A!A657</f>
        <v>829</v>
      </c>
      <c r="B657" s="39">
        <f>dataset_A!B657</f>
        <v>40580</v>
      </c>
      <c r="C657" s="38">
        <f>dataset_A!F657</f>
        <v>23</v>
      </c>
      <c r="D657" s="38">
        <f>dataset_A!H657</f>
        <v>0</v>
      </c>
      <c r="E657" s="38" t="b">
        <f>dataset_A!G657</f>
        <v>0</v>
      </c>
      <c r="F657" s="38" t="b">
        <f>dataset_A!G657</f>
        <v>0</v>
      </c>
      <c r="G657" s="38" t="str">
        <f t="shared" si="1"/>
        <v>Weekend</v>
      </c>
      <c r="H657" s="38" t="str">
        <f t="shared" si="2"/>
        <v>Evening</v>
      </c>
      <c r="I657" s="38" t="str">
        <f>IF(dataset_A!C657=1,"Spring",IF(dataset_A!C657=2,"Summer",IF(dataset_A!C657=3,"Fail","Winter")))</f>
        <v>Spring</v>
      </c>
      <c r="J657" s="38" t="str">
        <f>IF(dataset_A!I657=1,"Clear",IF(dataset_A!I657,"Mist/Cloudy",IF(dataset_A!I657=3,"Light Rain/Snow","Heavy Rain/Snow")))</f>
        <v>Clear</v>
      </c>
      <c r="K657" s="38">
        <f>dataset_A!N657</f>
        <v>4</v>
      </c>
      <c r="L657" s="38">
        <f>dataset_A!O657</f>
        <v>26</v>
      </c>
      <c r="M657" s="38">
        <f>dataset_A!P657</f>
        <v>30</v>
      </c>
      <c r="N657" s="38" t="str">
        <f t="shared" si="3"/>
        <v>Ok</v>
      </c>
      <c r="O657" s="38" t="str">
        <f>IF(M657&gt;Analysis!$B$3*1.5,"High",IF(M657&lt;Analysis!$B$3*0.5,"Low","Medium"))</f>
        <v>Medium</v>
      </c>
      <c r="P657" s="38" t="str">
        <f>VLOOKUP(dataset_A!C657,$Q$2:$R$5,2,0)</f>
        <v>Spring</v>
      </c>
      <c r="S657" s="38" t="str">
        <f t="array" ref="S657">INDEX($R$2:$R$5,MATCH(dataset_A!C657,$Q$2:$Q$5,0))</f>
        <v>Spring</v>
      </c>
      <c r="T657" s="38" t="str">
        <f t="shared" si="4"/>
        <v>Match</v>
      </c>
    </row>
    <row r="658" ht="12.75" customHeight="1">
      <c r="A658" s="38">
        <f>dataset_A!A658</f>
        <v>836</v>
      </c>
      <c r="B658" s="39">
        <f>dataset_A!B658</f>
        <v>40581</v>
      </c>
      <c r="C658" s="38">
        <f>dataset_A!F658</f>
        <v>6</v>
      </c>
      <c r="D658" s="38">
        <f>dataset_A!H658</f>
        <v>1</v>
      </c>
      <c r="E658" s="38" t="b">
        <f>dataset_A!G658</f>
        <v>0</v>
      </c>
      <c r="F658" s="38" t="b">
        <f>dataset_A!G658</f>
        <v>0</v>
      </c>
      <c r="G658" s="38" t="str">
        <f t="shared" si="1"/>
        <v>Weekday</v>
      </c>
      <c r="H658" s="38" t="str">
        <f t="shared" si="2"/>
        <v>Morning</v>
      </c>
      <c r="I658" s="38" t="str">
        <f>IF(dataset_A!C658=1,"Spring",IF(dataset_A!C658=2,"Summer",IF(dataset_A!C658=3,"Fail","Winter")))</f>
        <v>Spring</v>
      </c>
      <c r="J658" s="38" t="str">
        <f>IF(dataset_A!I658=1,"Clear",IF(dataset_A!I658,"Mist/Cloudy",IF(dataset_A!I658=3,"Light Rain/Snow","Heavy Rain/Snow")))</f>
        <v>Clear</v>
      </c>
      <c r="K658" s="38">
        <f>dataset_A!N658</f>
        <v>1</v>
      </c>
      <c r="L658" s="38">
        <f>dataset_A!O658</f>
        <v>29</v>
      </c>
      <c r="M658" s="38">
        <f>dataset_A!P658</f>
        <v>30</v>
      </c>
      <c r="N658" s="38" t="str">
        <f t="shared" si="3"/>
        <v>Ok</v>
      </c>
      <c r="O658" s="38" t="str">
        <f>IF(M658&gt;Analysis!$B$3*1.5,"High",IF(M658&lt;Analysis!$B$3*0.5,"Low","Medium"))</f>
        <v>Medium</v>
      </c>
      <c r="P658" s="38" t="str">
        <f>VLOOKUP(dataset_A!C658,$Q$2:$R$5,2,0)</f>
        <v>Spring</v>
      </c>
      <c r="S658" s="38" t="str">
        <f t="array" ref="S658">INDEX($R$2:$R$5,MATCH(dataset_A!C658,$Q$2:$Q$5,0))</f>
        <v>Spring</v>
      </c>
      <c r="T658" s="38" t="str">
        <f t="shared" si="4"/>
        <v>Match</v>
      </c>
    </row>
    <row r="659" ht="12.75" customHeight="1">
      <c r="A659" s="38">
        <f>dataset_A!A659</f>
        <v>946</v>
      </c>
      <c r="B659" s="39">
        <f>dataset_A!B659</f>
        <v>40586</v>
      </c>
      <c r="C659" s="38">
        <f>dataset_A!F659</f>
        <v>0</v>
      </c>
      <c r="D659" s="38">
        <f>dataset_A!H659</f>
        <v>6</v>
      </c>
      <c r="E659" s="38" t="b">
        <f>dataset_A!G659</f>
        <v>0</v>
      </c>
      <c r="F659" s="38" t="b">
        <f>dataset_A!G659</f>
        <v>0</v>
      </c>
      <c r="G659" s="38" t="str">
        <f t="shared" si="1"/>
        <v>Weekend</v>
      </c>
      <c r="H659" s="38" t="str">
        <f t="shared" si="2"/>
        <v>Night</v>
      </c>
      <c r="I659" s="38" t="str">
        <f>IF(dataset_A!C659=1,"Spring",IF(dataset_A!C659=2,"Summer",IF(dataset_A!C659=3,"Fail","Winter")))</f>
        <v>Spring</v>
      </c>
      <c r="J659" s="38" t="str">
        <f>IF(dataset_A!I659=1,"Clear",IF(dataset_A!I659,"Mist/Cloudy",IF(dataset_A!I659=3,"Light Rain/Snow","Heavy Rain/Snow")))</f>
        <v>Clear</v>
      </c>
      <c r="K659" s="38">
        <f>dataset_A!N659</f>
        <v>3</v>
      </c>
      <c r="L659" s="38">
        <f>dataset_A!O659</f>
        <v>27</v>
      </c>
      <c r="M659" s="38">
        <f>dataset_A!P659</f>
        <v>30</v>
      </c>
      <c r="N659" s="38" t="str">
        <f t="shared" si="3"/>
        <v>Ok</v>
      </c>
      <c r="O659" s="38" t="str">
        <f>IF(M659&gt;Analysis!$B$3*1.5,"High",IF(M659&lt;Analysis!$B$3*0.5,"Low","Medium"))</f>
        <v>Medium</v>
      </c>
      <c r="P659" s="38" t="str">
        <f>VLOOKUP(dataset_A!C659,$Q$2:$R$5,2,0)</f>
        <v>Spring</v>
      </c>
      <c r="S659" s="38" t="str">
        <f t="array" ref="S659">INDEX($R$2:$R$5,MATCH(dataset_A!C659,$Q$2:$Q$5,0))</f>
        <v>Spring</v>
      </c>
      <c r="T659" s="38" t="str">
        <f t="shared" si="4"/>
        <v>Match</v>
      </c>
    </row>
    <row r="660" ht="12.75" customHeight="1">
      <c r="A660" s="38">
        <f>dataset_A!A660</f>
        <v>954</v>
      </c>
      <c r="B660" s="39">
        <f>dataset_A!B660</f>
        <v>40586</v>
      </c>
      <c r="C660" s="38">
        <f>dataset_A!F660</f>
        <v>8</v>
      </c>
      <c r="D660" s="38">
        <f>dataset_A!H660</f>
        <v>6</v>
      </c>
      <c r="E660" s="38" t="b">
        <f>dataset_A!G660</f>
        <v>0</v>
      </c>
      <c r="F660" s="38" t="b">
        <f>dataset_A!G660</f>
        <v>0</v>
      </c>
      <c r="G660" s="38" t="str">
        <f t="shared" si="1"/>
        <v>Weekend</v>
      </c>
      <c r="H660" s="38" t="str">
        <f t="shared" si="2"/>
        <v>Morning</v>
      </c>
      <c r="I660" s="38" t="str">
        <f>IF(dataset_A!C660=1,"Spring",IF(dataset_A!C660=2,"Summer",IF(dataset_A!C660=3,"Fail","Winter")))</f>
        <v>Spring</v>
      </c>
      <c r="J660" s="38" t="str">
        <f>IF(dataset_A!I660=1,"Clear",IF(dataset_A!I660,"Mist/Cloudy",IF(dataset_A!I660=3,"Light Rain/Snow","Heavy Rain/Snow")))</f>
        <v>Clear</v>
      </c>
      <c r="K660" s="38">
        <f>dataset_A!N660</f>
        <v>2</v>
      </c>
      <c r="L660" s="38">
        <f>dataset_A!O660</f>
        <v>28</v>
      </c>
      <c r="M660" s="38">
        <f>dataset_A!P660</f>
        <v>30</v>
      </c>
      <c r="N660" s="38" t="str">
        <f t="shared" si="3"/>
        <v>Ok</v>
      </c>
      <c r="O660" s="38" t="str">
        <f>IF(M660&gt;Analysis!$B$3*1.5,"High",IF(M660&lt;Analysis!$B$3*0.5,"Low","Medium"))</f>
        <v>Medium</v>
      </c>
      <c r="P660" s="38" t="str">
        <f>VLOOKUP(dataset_A!C660,$Q$2:$R$5,2,0)</f>
        <v>Spring</v>
      </c>
      <c r="S660" s="38" t="str">
        <f t="array" ref="S660">INDEX($R$2:$R$5,MATCH(dataset_A!C660,$Q$2:$Q$5,0))</f>
        <v>Spring</v>
      </c>
      <c r="T660" s="38" t="str">
        <f t="shared" si="4"/>
        <v>Match</v>
      </c>
    </row>
    <row r="661" ht="12.75" customHeight="1">
      <c r="A661" s="38">
        <f>dataset_A!A661</f>
        <v>992</v>
      </c>
      <c r="B661" s="39">
        <f>dataset_A!B661</f>
        <v>40587</v>
      </c>
      <c r="C661" s="38">
        <f>dataset_A!F661</f>
        <v>23</v>
      </c>
      <c r="D661" s="38">
        <f>dataset_A!H661</f>
        <v>0</v>
      </c>
      <c r="E661" s="38" t="b">
        <f>dataset_A!G661</f>
        <v>0</v>
      </c>
      <c r="F661" s="38" t="b">
        <f>dataset_A!G661</f>
        <v>0</v>
      </c>
      <c r="G661" s="38" t="str">
        <f t="shared" si="1"/>
        <v>Weekend</v>
      </c>
      <c r="H661" s="38" t="str">
        <f t="shared" si="2"/>
        <v>Evening</v>
      </c>
      <c r="I661" s="38" t="str">
        <f>IF(dataset_A!C661=1,"Spring",IF(dataset_A!C661=2,"Summer",IF(dataset_A!C661=3,"Fail","Winter")))</f>
        <v>Spring</v>
      </c>
      <c r="J661" s="38" t="str">
        <f>IF(dataset_A!I661=1,"Clear",IF(dataset_A!I661,"Mist/Cloudy",IF(dataset_A!I661=3,"Light Rain/Snow","Heavy Rain/Snow")))</f>
        <v>Clear</v>
      </c>
      <c r="K661" s="38">
        <f>dataset_A!N661</f>
        <v>3</v>
      </c>
      <c r="L661" s="38">
        <f>dataset_A!O661</f>
        <v>27</v>
      </c>
      <c r="M661" s="38">
        <f>dataset_A!P661</f>
        <v>30</v>
      </c>
      <c r="N661" s="38" t="str">
        <f t="shared" si="3"/>
        <v>Ok</v>
      </c>
      <c r="O661" s="38" t="str">
        <f>IF(M661&gt;Analysis!$B$3*1.5,"High",IF(M661&lt;Analysis!$B$3*0.5,"Low","Medium"))</f>
        <v>Medium</v>
      </c>
      <c r="P661" s="38" t="str">
        <f>VLOOKUP(dataset_A!C661,$Q$2:$R$5,2,0)</f>
        <v>Spring</v>
      </c>
      <c r="S661" s="38" t="str">
        <f t="array" ref="S661">INDEX($R$2:$R$5,MATCH(dataset_A!C661,$Q$2:$Q$5,0))</f>
        <v>Spring</v>
      </c>
      <c r="T661" s="38" t="str">
        <f t="shared" si="4"/>
        <v>Match</v>
      </c>
    </row>
    <row r="662" ht="12.75" customHeight="1">
      <c r="A662" s="38">
        <f>dataset_A!A662</f>
        <v>254</v>
      </c>
      <c r="B662" s="39">
        <f>dataset_A!B662</f>
        <v>40554</v>
      </c>
      <c r="C662" s="38">
        <f>dataset_A!F662</f>
        <v>22</v>
      </c>
      <c r="D662" s="38">
        <f>dataset_A!H662</f>
        <v>2</v>
      </c>
      <c r="E662" s="38" t="b">
        <f>dataset_A!G662</f>
        <v>0</v>
      </c>
      <c r="F662" s="38" t="b">
        <f>dataset_A!G662</f>
        <v>0</v>
      </c>
      <c r="G662" s="38" t="str">
        <f t="shared" si="1"/>
        <v>Weekday</v>
      </c>
      <c r="H662" s="38" t="str">
        <f t="shared" si="2"/>
        <v>Evening</v>
      </c>
      <c r="I662" s="38" t="str">
        <f>IF(dataset_A!C662=1,"Spring",IF(dataset_A!C662=2,"Summer",IF(dataset_A!C662=3,"Fail","Winter")))</f>
        <v>Spring</v>
      </c>
      <c r="J662" s="38" t="str">
        <f>IF(dataset_A!I662=1,"Clear",IF(dataset_A!I662,"Mist/Cloudy",IF(dataset_A!I662=3,"Light Rain/Snow","Heavy Rain/Snow")))</f>
        <v>Mist/Cloudy</v>
      </c>
      <c r="K662" s="38">
        <f>dataset_A!N662</f>
        <v>1</v>
      </c>
      <c r="L662" s="38">
        <f>dataset_A!O662</f>
        <v>28</v>
      </c>
      <c r="M662" s="38">
        <f>dataset_A!P662</f>
        <v>29</v>
      </c>
      <c r="N662" s="38" t="str">
        <f t="shared" si="3"/>
        <v>Ok</v>
      </c>
      <c r="O662" s="38" t="str">
        <f>IF(M662&gt;Analysis!$B$3*1.5,"High",IF(M662&lt;Analysis!$B$3*0.5,"Low","Medium"))</f>
        <v>Low</v>
      </c>
      <c r="P662" s="38" t="str">
        <f>VLOOKUP(dataset_A!C662,$Q$2:$R$5,2,0)</f>
        <v>Spring</v>
      </c>
      <c r="S662" s="38" t="str">
        <f t="array" ref="S662">INDEX($R$2:$R$5,MATCH(dataset_A!C662,$Q$2:$Q$5,0))</f>
        <v>Spring</v>
      </c>
      <c r="T662" s="38" t="str">
        <f t="shared" si="4"/>
        <v>Match</v>
      </c>
    </row>
    <row r="663" ht="12.75" customHeight="1">
      <c r="A663" s="38">
        <f>dataset_A!A663</f>
        <v>607</v>
      </c>
      <c r="B663" s="39">
        <f>dataset_A!B663</f>
        <v>40571</v>
      </c>
      <c r="C663" s="38">
        <f>dataset_A!F663</f>
        <v>12</v>
      </c>
      <c r="D663" s="38">
        <f>dataset_A!H663</f>
        <v>5</v>
      </c>
      <c r="E663" s="38" t="b">
        <f>dataset_A!G663</f>
        <v>0</v>
      </c>
      <c r="F663" s="38" t="b">
        <f>dataset_A!G663</f>
        <v>0</v>
      </c>
      <c r="G663" s="38" t="str">
        <f t="shared" si="1"/>
        <v>Weekday</v>
      </c>
      <c r="H663" s="38" t="str">
        <f t="shared" si="2"/>
        <v>Afternoon</v>
      </c>
      <c r="I663" s="38" t="str">
        <f>IF(dataset_A!C663=1,"Spring",IF(dataset_A!C663=2,"Summer",IF(dataset_A!C663=3,"Fail","Winter")))</f>
        <v>Spring</v>
      </c>
      <c r="J663" s="38" t="str">
        <f>IF(dataset_A!I663=1,"Clear",IF(dataset_A!I663,"Mist/Cloudy",IF(dataset_A!I663=3,"Light Rain/Snow","Heavy Rain/Snow")))</f>
        <v>Mist/Cloudy</v>
      </c>
      <c r="K663" s="38">
        <f>dataset_A!N663</f>
        <v>1</v>
      </c>
      <c r="L663" s="38">
        <f>dataset_A!O663</f>
        <v>28</v>
      </c>
      <c r="M663" s="38">
        <f>dataset_A!P663</f>
        <v>29</v>
      </c>
      <c r="N663" s="38" t="str">
        <f t="shared" si="3"/>
        <v>Ok</v>
      </c>
      <c r="O663" s="38" t="str">
        <f>IF(M663&gt;Analysis!$B$3*1.5,"High",IF(M663&lt;Analysis!$B$3*0.5,"Low","Medium"))</f>
        <v>Low</v>
      </c>
      <c r="P663" s="38" t="str">
        <f>VLOOKUP(dataset_A!C663,$Q$2:$R$5,2,0)</f>
        <v>Spring</v>
      </c>
      <c r="S663" s="38" t="str">
        <f t="array" ref="S663">INDEX($R$2:$R$5,MATCH(dataset_A!C663,$Q$2:$Q$5,0))</f>
        <v>Spring</v>
      </c>
      <c r="T663" s="38" t="str">
        <f t="shared" si="4"/>
        <v>Match</v>
      </c>
    </row>
    <row r="664" ht="12.75" customHeight="1">
      <c r="A664" s="38">
        <f>dataset_A!A664</f>
        <v>643</v>
      </c>
      <c r="B664" s="39">
        <f>dataset_A!B664</f>
        <v>40573</v>
      </c>
      <c r="C664" s="38">
        <f>dataset_A!F664</f>
        <v>1</v>
      </c>
      <c r="D664" s="38">
        <f>dataset_A!H664</f>
        <v>0</v>
      </c>
      <c r="E664" s="38" t="b">
        <f>dataset_A!G664</f>
        <v>0</v>
      </c>
      <c r="F664" s="38" t="b">
        <f>dataset_A!G664</f>
        <v>0</v>
      </c>
      <c r="G664" s="38" t="str">
        <f t="shared" si="1"/>
        <v>Weekend</v>
      </c>
      <c r="H664" s="38" t="str">
        <f t="shared" si="2"/>
        <v>Night</v>
      </c>
      <c r="I664" s="38" t="str">
        <f>IF(dataset_A!C664=1,"Spring",IF(dataset_A!C664=2,"Summer",IF(dataset_A!C664=3,"Fail","Winter")))</f>
        <v>Spring</v>
      </c>
      <c r="J664" s="38" t="str">
        <f>IF(dataset_A!I664=1,"Clear",IF(dataset_A!I664,"Mist/Cloudy",IF(dataset_A!I664=3,"Light Rain/Snow","Heavy Rain/Snow")))</f>
        <v>Clear</v>
      </c>
      <c r="K664" s="38">
        <f>dataset_A!N664</f>
        <v>7</v>
      </c>
      <c r="L664" s="38">
        <f>dataset_A!O664</f>
        <v>22</v>
      </c>
      <c r="M664" s="38">
        <f>dataset_A!P664</f>
        <v>29</v>
      </c>
      <c r="N664" s="38" t="str">
        <f t="shared" si="3"/>
        <v>Ok</v>
      </c>
      <c r="O664" s="38" t="str">
        <f>IF(M664&gt;Analysis!$B$3*1.5,"High",IF(M664&lt;Analysis!$B$3*0.5,"Low","Medium"))</f>
        <v>Low</v>
      </c>
      <c r="P664" s="38" t="str">
        <f>VLOOKUP(dataset_A!C664,$Q$2:$R$5,2,0)</f>
        <v>Spring</v>
      </c>
      <c r="S664" s="38" t="str">
        <f t="array" ref="S664">INDEX($R$2:$R$5,MATCH(dataset_A!C664,$Q$2:$Q$5,0))</f>
        <v>Spring</v>
      </c>
      <c r="T664" s="38" t="str">
        <f t="shared" si="4"/>
        <v>Match</v>
      </c>
    </row>
    <row r="665" ht="12.75" customHeight="1">
      <c r="A665" s="38">
        <f>dataset_A!A665</f>
        <v>876</v>
      </c>
      <c r="B665" s="39">
        <f>dataset_A!B665</f>
        <v>40582</v>
      </c>
      <c r="C665" s="38">
        <f>dataset_A!F665</f>
        <v>22</v>
      </c>
      <c r="D665" s="38">
        <f>dataset_A!H665</f>
        <v>2</v>
      </c>
      <c r="E665" s="38" t="b">
        <f>dataset_A!G665</f>
        <v>0</v>
      </c>
      <c r="F665" s="38" t="b">
        <f>dataset_A!G665</f>
        <v>0</v>
      </c>
      <c r="G665" s="38" t="str">
        <f t="shared" si="1"/>
        <v>Weekday</v>
      </c>
      <c r="H665" s="38" t="str">
        <f t="shared" si="2"/>
        <v>Evening</v>
      </c>
      <c r="I665" s="38" t="str">
        <f>IF(dataset_A!C665=1,"Spring",IF(dataset_A!C665=2,"Summer",IF(dataset_A!C665=3,"Fail","Winter")))</f>
        <v>Spring</v>
      </c>
      <c r="J665" s="38" t="str">
        <f>IF(dataset_A!I665=1,"Clear",IF(dataset_A!I665,"Mist/Cloudy",IF(dataset_A!I665=3,"Light Rain/Snow","Heavy Rain/Snow")))</f>
        <v>Clear</v>
      </c>
      <c r="K665" s="38">
        <f>dataset_A!N665</f>
        <v>0</v>
      </c>
      <c r="L665" s="38">
        <f>dataset_A!O665</f>
        <v>29</v>
      </c>
      <c r="M665" s="38">
        <f>dataset_A!P665</f>
        <v>29</v>
      </c>
      <c r="N665" s="38" t="str">
        <f t="shared" si="3"/>
        <v>Ok</v>
      </c>
      <c r="O665" s="38" t="str">
        <f>IF(M665&gt;Analysis!$B$3*1.5,"High",IF(M665&lt;Analysis!$B$3*0.5,"Low","Medium"))</f>
        <v>Low</v>
      </c>
      <c r="P665" s="38" t="str">
        <f>VLOOKUP(dataset_A!C665,$Q$2:$R$5,2,0)</f>
        <v>Spring</v>
      </c>
      <c r="S665" s="38" t="str">
        <f t="array" ref="S665">INDEX($R$2:$R$5,MATCH(dataset_A!C665,$Q$2:$Q$5,0))</f>
        <v>Spring</v>
      </c>
      <c r="T665" s="38" t="str">
        <f t="shared" si="4"/>
        <v>Match</v>
      </c>
    </row>
    <row r="666" ht="12.75" customHeight="1">
      <c r="A666" s="38">
        <f>dataset_A!A666</f>
        <v>23</v>
      </c>
      <c r="B666" s="39">
        <f>dataset_A!B666</f>
        <v>40544</v>
      </c>
      <c r="C666" s="38">
        <f>dataset_A!F666</f>
        <v>22</v>
      </c>
      <c r="D666" s="38">
        <f>dataset_A!H666</f>
        <v>6</v>
      </c>
      <c r="E666" s="38" t="b">
        <f>dataset_A!G666</f>
        <v>0</v>
      </c>
      <c r="F666" s="38" t="b">
        <f>dataset_A!G666</f>
        <v>0</v>
      </c>
      <c r="G666" s="38" t="str">
        <f t="shared" si="1"/>
        <v>Weekend</v>
      </c>
      <c r="H666" s="38" t="str">
        <f t="shared" si="2"/>
        <v>Evening</v>
      </c>
      <c r="I666" s="38" t="str">
        <f>IF(dataset_A!C666=1,"Spring",IF(dataset_A!C666=2,"Summer",IF(dataset_A!C666=3,"Fail","Winter")))</f>
        <v>Spring</v>
      </c>
      <c r="J666" s="38" t="str">
        <f>IF(dataset_A!I666=1,"Clear",IF(dataset_A!I666,"Mist/Cloudy",IF(dataset_A!I666=3,"Light Rain/Snow","Heavy Rain/Snow")))</f>
        <v>Mist/Cloudy</v>
      </c>
      <c r="K666" s="38">
        <f>dataset_A!N666</f>
        <v>11</v>
      </c>
      <c r="L666" s="38">
        <f>dataset_A!O666</f>
        <v>17</v>
      </c>
      <c r="M666" s="38">
        <f>dataset_A!P666</f>
        <v>28</v>
      </c>
      <c r="N666" s="38" t="str">
        <f t="shared" si="3"/>
        <v>Ok</v>
      </c>
      <c r="O666" s="38" t="str">
        <f>IF(M666&gt;Analysis!$B$3*1.5,"High",IF(M666&lt;Analysis!$B$3*0.5,"Low","Medium"))</f>
        <v>Low</v>
      </c>
      <c r="P666" s="38" t="str">
        <f>VLOOKUP(dataset_A!C666,$Q$2:$R$5,2,0)</f>
        <v>Spring</v>
      </c>
      <c r="S666" s="38" t="str">
        <f t="array" ref="S666">INDEX($R$2:$R$5,MATCH(dataset_A!C666,$Q$2:$Q$5,0))</f>
        <v>Spring</v>
      </c>
      <c r="T666" s="38" t="str">
        <f t="shared" si="4"/>
        <v>Match</v>
      </c>
    </row>
    <row r="667" ht="12.75" customHeight="1">
      <c r="A667" s="38">
        <f>dataset_A!A667</f>
        <v>182</v>
      </c>
      <c r="B667" s="39">
        <f>dataset_A!B667</f>
        <v>40551</v>
      </c>
      <c r="C667" s="38">
        <f>dataset_A!F667</f>
        <v>20</v>
      </c>
      <c r="D667" s="38">
        <f>dataset_A!H667</f>
        <v>6</v>
      </c>
      <c r="E667" s="38" t="b">
        <f>dataset_A!G667</f>
        <v>0</v>
      </c>
      <c r="F667" s="38" t="b">
        <f>dataset_A!G667</f>
        <v>0</v>
      </c>
      <c r="G667" s="38" t="str">
        <f t="shared" si="1"/>
        <v>Weekend</v>
      </c>
      <c r="H667" s="38" t="str">
        <f t="shared" si="2"/>
        <v>Evening</v>
      </c>
      <c r="I667" s="38" t="str">
        <f>IF(dataset_A!C667=1,"Spring",IF(dataset_A!C667=2,"Summer",IF(dataset_A!C667=3,"Fail","Winter")))</f>
        <v>Spring</v>
      </c>
      <c r="J667" s="38" t="str">
        <f>IF(dataset_A!I667=1,"Clear",IF(dataset_A!I667,"Mist/Cloudy",IF(dataset_A!I667=3,"Light Rain/Snow","Heavy Rain/Snow")))</f>
        <v>Clear</v>
      </c>
      <c r="K667" s="38">
        <f>dataset_A!N667</f>
        <v>0</v>
      </c>
      <c r="L667" s="38">
        <f>dataset_A!O667</f>
        <v>28</v>
      </c>
      <c r="M667" s="38">
        <f>dataset_A!P667</f>
        <v>28</v>
      </c>
      <c r="N667" s="38" t="str">
        <f t="shared" si="3"/>
        <v>Ok</v>
      </c>
      <c r="O667" s="38" t="str">
        <f>IF(M667&gt;Analysis!$B$3*1.5,"High",IF(M667&lt;Analysis!$B$3*0.5,"Low","Medium"))</f>
        <v>Low</v>
      </c>
      <c r="P667" s="38" t="str">
        <f>VLOOKUP(dataset_A!C667,$Q$2:$R$5,2,0)</f>
        <v>Spring</v>
      </c>
      <c r="S667" s="38" t="str">
        <f t="array" ref="S667">INDEX($R$2:$R$5,MATCH(dataset_A!C667,$Q$2:$Q$5,0))</f>
        <v>Spring</v>
      </c>
      <c r="T667" s="38" t="str">
        <f t="shared" si="4"/>
        <v>Match</v>
      </c>
    </row>
    <row r="668" ht="12.75" customHeight="1">
      <c r="A668" s="38">
        <f>dataset_A!A668</f>
        <v>284</v>
      </c>
      <c r="B668" s="39">
        <f>dataset_A!B668</f>
        <v>40556</v>
      </c>
      <c r="C668" s="38">
        <f>dataset_A!F668</f>
        <v>6</v>
      </c>
      <c r="D668" s="38">
        <f>dataset_A!H668</f>
        <v>4</v>
      </c>
      <c r="E668" s="38" t="b">
        <f>dataset_A!G668</f>
        <v>0</v>
      </c>
      <c r="F668" s="38" t="b">
        <f>dataset_A!G668</f>
        <v>0</v>
      </c>
      <c r="G668" s="38" t="str">
        <f t="shared" si="1"/>
        <v>Weekday</v>
      </c>
      <c r="H668" s="38" t="str">
        <f t="shared" si="2"/>
        <v>Morning</v>
      </c>
      <c r="I668" s="38" t="str">
        <f>IF(dataset_A!C668=1,"Spring",IF(dataset_A!C668=2,"Summer",IF(dataset_A!C668=3,"Fail","Winter")))</f>
        <v>Spring</v>
      </c>
      <c r="J668" s="38" t="str">
        <f>IF(dataset_A!I668=1,"Clear",IF(dataset_A!I668,"Mist/Cloudy",IF(dataset_A!I668=3,"Light Rain/Snow","Heavy Rain/Snow")))</f>
        <v>Clear</v>
      </c>
      <c r="K668" s="38">
        <f>dataset_A!N668</f>
        <v>0</v>
      </c>
      <c r="L668" s="38">
        <f>dataset_A!O668</f>
        <v>28</v>
      </c>
      <c r="M668" s="38">
        <f>dataset_A!P668</f>
        <v>28</v>
      </c>
      <c r="N668" s="38" t="str">
        <f t="shared" si="3"/>
        <v>Ok</v>
      </c>
      <c r="O668" s="38" t="str">
        <f>IF(M668&gt;Analysis!$B$3*1.5,"High",IF(M668&lt;Analysis!$B$3*0.5,"Low","Medium"))</f>
        <v>Low</v>
      </c>
      <c r="P668" s="38" t="str">
        <f>VLOOKUP(dataset_A!C668,$Q$2:$R$5,2,0)</f>
        <v>Spring</v>
      </c>
      <c r="S668" s="38" t="str">
        <f t="array" ref="S668">INDEX($R$2:$R$5,MATCH(dataset_A!C668,$Q$2:$Q$5,0))</f>
        <v>Spring</v>
      </c>
      <c r="T668" s="38" t="str">
        <f t="shared" si="4"/>
        <v>Match</v>
      </c>
    </row>
    <row r="669" ht="12.75" customHeight="1">
      <c r="A669" s="38">
        <f>dataset_A!A669</f>
        <v>325</v>
      </c>
      <c r="B669" s="39">
        <f>dataset_A!B669</f>
        <v>40558</v>
      </c>
      <c r="C669" s="38">
        <f>dataset_A!F669</f>
        <v>0</v>
      </c>
      <c r="D669" s="38">
        <f>dataset_A!H669</f>
        <v>6</v>
      </c>
      <c r="E669" s="38" t="b">
        <f>dataset_A!G669</f>
        <v>0</v>
      </c>
      <c r="F669" s="38" t="b">
        <f>dataset_A!G669</f>
        <v>0</v>
      </c>
      <c r="G669" s="38" t="str">
        <f t="shared" si="1"/>
        <v>Weekend</v>
      </c>
      <c r="H669" s="38" t="str">
        <f t="shared" si="2"/>
        <v>Night</v>
      </c>
      <c r="I669" s="38" t="str">
        <f>IF(dataset_A!C669=1,"Spring",IF(dataset_A!C669=2,"Summer",IF(dataset_A!C669=3,"Fail","Winter")))</f>
        <v>Spring</v>
      </c>
      <c r="J669" s="38" t="str">
        <f>IF(dataset_A!I669=1,"Clear",IF(dataset_A!I669,"Mist/Cloudy",IF(dataset_A!I669=3,"Light Rain/Snow","Heavy Rain/Snow")))</f>
        <v>Clear</v>
      </c>
      <c r="K669" s="38">
        <f>dataset_A!N669</f>
        <v>3</v>
      </c>
      <c r="L669" s="38">
        <f>dataset_A!O669</f>
        <v>25</v>
      </c>
      <c r="M669" s="38">
        <f>dataset_A!P669</f>
        <v>28</v>
      </c>
      <c r="N669" s="38" t="str">
        <f t="shared" si="3"/>
        <v>Ok</v>
      </c>
      <c r="O669" s="38" t="str">
        <f>IF(M669&gt;Analysis!$B$3*1.5,"High",IF(M669&lt;Analysis!$B$3*0.5,"Low","Medium"))</f>
        <v>Low</v>
      </c>
      <c r="P669" s="38" t="str">
        <f>VLOOKUP(dataset_A!C669,$Q$2:$R$5,2,0)</f>
        <v>Spring</v>
      </c>
      <c r="S669" s="38" t="str">
        <f t="array" ref="S669">INDEX($R$2:$R$5,MATCH(dataset_A!C669,$Q$2:$Q$5,0))</f>
        <v>Spring</v>
      </c>
      <c r="T669" s="38" t="str">
        <f t="shared" si="4"/>
        <v>Match</v>
      </c>
    </row>
    <row r="670" ht="12.75" customHeight="1">
      <c r="A670" s="38">
        <f>dataset_A!A670</f>
        <v>370</v>
      </c>
      <c r="B670" s="39">
        <f>dataset_A!B670</f>
        <v>40559</v>
      </c>
      <c r="C670" s="38">
        <f>dataset_A!F670</f>
        <v>21</v>
      </c>
      <c r="D670" s="38">
        <f>dataset_A!H670</f>
        <v>0</v>
      </c>
      <c r="E670" s="38" t="b">
        <f>dataset_A!G670</f>
        <v>0</v>
      </c>
      <c r="F670" s="38" t="b">
        <f>dataset_A!G670</f>
        <v>0</v>
      </c>
      <c r="G670" s="38" t="str">
        <f t="shared" si="1"/>
        <v>Weekend</v>
      </c>
      <c r="H670" s="38" t="str">
        <f t="shared" si="2"/>
        <v>Evening</v>
      </c>
      <c r="I670" s="38" t="str">
        <f>IF(dataset_A!C670=1,"Spring",IF(dataset_A!C670=2,"Summer",IF(dataset_A!C670=3,"Fail","Winter")))</f>
        <v>Spring</v>
      </c>
      <c r="J670" s="38" t="str">
        <f>IF(dataset_A!I670=1,"Clear",IF(dataset_A!I670,"Mist/Cloudy",IF(dataset_A!I670=3,"Light Rain/Snow","Heavy Rain/Snow")))</f>
        <v>Clear</v>
      </c>
      <c r="K670" s="38">
        <f>dataset_A!N670</f>
        <v>6</v>
      </c>
      <c r="L670" s="38">
        <f>dataset_A!O670</f>
        <v>22</v>
      </c>
      <c r="M670" s="38">
        <f>dataset_A!P670</f>
        <v>28</v>
      </c>
      <c r="N670" s="38" t="str">
        <f t="shared" si="3"/>
        <v>Ok</v>
      </c>
      <c r="O670" s="38" t="str">
        <f>IF(M670&gt;Analysis!$B$3*1.5,"High",IF(M670&lt;Analysis!$B$3*0.5,"Low","Medium"))</f>
        <v>Low</v>
      </c>
      <c r="P670" s="38" t="str">
        <f>VLOOKUP(dataset_A!C670,$Q$2:$R$5,2,0)</f>
        <v>Spring</v>
      </c>
      <c r="S670" s="38" t="str">
        <f t="array" ref="S670">INDEX($R$2:$R$5,MATCH(dataset_A!C670,$Q$2:$Q$5,0))</f>
        <v>Spring</v>
      </c>
      <c r="T670" s="38" t="str">
        <f t="shared" si="4"/>
        <v>Match</v>
      </c>
    </row>
    <row r="671" ht="12.75" customHeight="1">
      <c r="A671" s="38">
        <f>dataset_A!A671</f>
        <v>399</v>
      </c>
      <c r="B671" s="39">
        <f>dataset_A!B671</f>
        <v>40561</v>
      </c>
      <c r="C671" s="38">
        <f>dataset_A!F671</f>
        <v>14</v>
      </c>
      <c r="D671" s="38">
        <f>dataset_A!H671</f>
        <v>2</v>
      </c>
      <c r="E671" s="38" t="b">
        <f>dataset_A!G671</f>
        <v>0</v>
      </c>
      <c r="F671" s="38" t="b">
        <f>dataset_A!G671</f>
        <v>0</v>
      </c>
      <c r="G671" s="38" t="str">
        <f t="shared" si="1"/>
        <v>Weekday</v>
      </c>
      <c r="H671" s="38" t="str">
        <f t="shared" si="2"/>
        <v>Afternoon</v>
      </c>
      <c r="I671" s="38" t="str">
        <f>IF(dataset_A!C671=1,"Spring",IF(dataset_A!C671=2,"Summer",IF(dataset_A!C671=3,"Fail","Winter")))</f>
        <v>Spring</v>
      </c>
      <c r="J671" s="38" t="str">
        <f>IF(dataset_A!I671=1,"Clear",IF(dataset_A!I671,"Mist/Cloudy",IF(dataset_A!I671=3,"Light Rain/Snow","Heavy Rain/Snow")))</f>
        <v>Mist/Cloudy</v>
      </c>
      <c r="K671" s="38">
        <f>dataset_A!N671</f>
        <v>2</v>
      </c>
      <c r="L671" s="38">
        <f>dataset_A!O671</f>
        <v>26</v>
      </c>
      <c r="M671" s="38">
        <f>dataset_A!P671</f>
        <v>28</v>
      </c>
      <c r="N671" s="38" t="str">
        <f t="shared" si="3"/>
        <v>Ok</v>
      </c>
      <c r="O671" s="38" t="str">
        <f>IF(M671&gt;Analysis!$B$3*1.5,"High",IF(M671&lt;Analysis!$B$3*0.5,"Low","Medium"))</f>
        <v>Low</v>
      </c>
      <c r="P671" s="38" t="str">
        <f>VLOOKUP(dataset_A!C671,$Q$2:$R$5,2,0)</f>
        <v>Spring</v>
      </c>
      <c r="S671" s="38" t="str">
        <f t="array" ref="S671">INDEX($R$2:$R$5,MATCH(dataset_A!C671,$Q$2:$Q$5,0))</f>
        <v>Spring</v>
      </c>
      <c r="T671" s="38" t="str">
        <f t="shared" si="4"/>
        <v>Match</v>
      </c>
    </row>
    <row r="672" ht="12.75" customHeight="1">
      <c r="A672" s="38">
        <f>dataset_A!A672</f>
        <v>431</v>
      </c>
      <c r="B672" s="39">
        <f>dataset_A!B672</f>
        <v>40562</v>
      </c>
      <c r="C672" s="38">
        <f>dataset_A!F672</f>
        <v>23</v>
      </c>
      <c r="D672" s="38">
        <f>dataset_A!H672</f>
        <v>3</v>
      </c>
      <c r="E672" s="38" t="b">
        <f>dataset_A!G672</f>
        <v>0</v>
      </c>
      <c r="F672" s="38" t="b">
        <f>dataset_A!G672</f>
        <v>0</v>
      </c>
      <c r="G672" s="38" t="str">
        <f t="shared" si="1"/>
        <v>Weekday</v>
      </c>
      <c r="H672" s="38" t="str">
        <f t="shared" si="2"/>
        <v>Evening</v>
      </c>
      <c r="I672" s="38" t="str">
        <f>IF(dataset_A!C672=1,"Spring",IF(dataset_A!C672=2,"Summer",IF(dataset_A!C672=3,"Fail","Winter")))</f>
        <v>Spring</v>
      </c>
      <c r="J672" s="38" t="str">
        <f>IF(dataset_A!I672=1,"Clear",IF(dataset_A!I672,"Mist/Cloudy",IF(dataset_A!I672=3,"Light Rain/Snow","Heavy Rain/Snow")))</f>
        <v>Clear</v>
      </c>
      <c r="K672" s="38">
        <f>dataset_A!N672</f>
        <v>1</v>
      </c>
      <c r="L672" s="38">
        <f>dataset_A!O672</f>
        <v>27</v>
      </c>
      <c r="M672" s="38">
        <f>dataset_A!P672</f>
        <v>28</v>
      </c>
      <c r="N672" s="38" t="str">
        <f t="shared" si="3"/>
        <v>Ok</v>
      </c>
      <c r="O672" s="38" t="str">
        <f>IF(M672&gt;Analysis!$B$3*1.5,"High",IF(M672&lt;Analysis!$B$3*0.5,"Low","Medium"))</f>
        <v>Low</v>
      </c>
      <c r="P672" s="38" t="str">
        <f>VLOOKUP(dataset_A!C672,$Q$2:$R$5,2,0)</f>
        <v>Spring</v>
      </c>
      <c r="S672" s="38" t="str">
        <f t="array" ref="S672">INDEX($R$2:$R$5,MATCH(dataset_A!C672,$Q$2:$Q$5,0))</f>
        <v>Spring</v>
      </c>
      <c r="T672" s="38" t="str">
        <f t="shared" si="4"/>
        <v>Match</v>
      </c>
    </row>
    <row r="673" ht="12.75" customHeight="1">
      <c r="A673" s="38">
        <f>dataset_A!A673</f>
        <v>511</v>
      </c>
      <c r="B673" s="39">
        <f>dataset_A!B673</f>
        <v>40566</v>
      </c>
      <c r="C673" s="38">
        <f>dataset_A!F673</f>
        <v>9</v>
      </c>
      <c r="D673" s="38">
        <f>dataset_A!H673</f>
        <v>0</v>
      </c>
      <c r="E673" s="38" t="b">
        <f>dataset_A!G673</f>
        <v>0</v>
      </c>
      <c r="F673" s="38" t="b">
        <f>dataset_A!G673</f>
        <v>0</v>
      </c>
      <c r="G673" s="38" t="str">
        <f t="shared" si="1"/>
        <v>Weekend</v>
      </c>
      <c r="H673" s="38" t="str">
        <f t="shared" si="2"/>
        <v>Morning</v>
      </c>
      <c r="I673" s="38" t="str">
        <f>IF(dataset_A!C673=1,"Spring",IF(dataset_A!C673=2,"Summer",IF(dataset_A!C673=3,"Fail","Winter")))</f>
        <v>Spring</v>
      </c>
      <c r="J673" s="38" t="str">
        <f>IF(dataset_A!I673=1,"Clear",IF(dataset_A!I673,"Mist/Cloudy",IF(dataset_A!I673=3,"Light Rain/Snow","Heavy Rain/Snow")))</f>
        <v>Clear</v>
      </c>
      <c r="K673" s="38">
        <f>dataset_A!N673</f>
        <v>3</v>
      </c>
      <c r="L673" s="38">
        <f>dataset_A!O673</f>
        <v>25</v>
      </c>
      <c r="M673" s="38">
        <f>dataset_A!P673</f>
        <v>28</v>
      </c>
      <c r="N673" s="38" t="str">
        <f t="shared" si="3"/>
        <v>Ok</v>
      </c>
      <c r="O673" s="38" t="str">
        <f>IF(M673&gt;Analysis!$B$3*1.5,"High",IF(M673&lt;Analysis!$B$3*0.5,"Low","Medium"))</f>
        <v>Low</v>
      </c>
      <c r="P673" s="38" t="str">
        <f>VLOOKUP(dataset_A!C673,$Q$2:$R$5,2,0)</f>
        <v>Spring</v>
      </c>
      <c r="S673" s="38" t="str">
        <f t="array" ref="S673">INDEX($R$2:$R$5,MATCH(dataset_A!C673,$Q$2:$Q$5,0))</f>
        <v>Spring</v>
      </c>
      <c r="T673" s="38" t="str">
        <f t="shared" si="4"/>
        <v>Match</v>
      </c>
    </row>
    <row r="674" ht="12.75" customHeight="1">
      <c r="A674" s="38">
        <f>dataset_A!A674</f>
        <v>524</v>
      </c>
      <c r="B674" s="39">
        <f>dataset_A!B674</f>
        <v>40566</v>
      </c>
      <c r="C674" s="38">
        <f>dataset_A!F674</f>
        <v>22</v>
      </c>
      <c r="D674" s="38">
        <f>dataset_A!H674</f>
        <v>0</v>
      </c>
      <c r="E674" s="38" t="b">
        <f>dataset_A!G674</f>
        <v>0</v>
      </c>
      <c r="F674" s="38" t="b">
        <f>dataset_A!G674</f>
        <v>0</v>
      </c>
      <c r="G674" s="38" t="str">
        <f t="shared" si="1"/>
        <v>Weekend</v>
      </c>
      <c r="H674" s="38" t="str">
        <f t="shared" si="2"/>
        <v>Evening</v>
      </c>
      <c r="I674" s="38" t="str">
        <f>IF(dataset_A!C674=1,"Spring",IF(dataset_A!C674=2,"Summer",IF(dataset_A!C674=3,"Fail","Winter")))</f>
        <v>Spring</v>
      </c>
      <c r="J674" s="38" t="str">
        <f>IF(dataset_A!I674=1,"Clear",IF(dataset_A!I674,"Mist/Cloudy",IF(dataset_A!I674=3,"Light Rain/Snow","Heavy Rain/Snow")))</f>
        <v>Clear</v>
      </c>
      <c r="K674" s="38">
        <f>dataset_A!N674</f>
        <v>5</v>
      </c>
      <c r="L674" s="38">
        <f>dataset_A!O674</f>
        <v>23</v>
      </c>
      <c r="M674" s="38">
        <f>dataset_A!P674</f>
        <v>28</v>
      </c>
      <c r="N674" s="38" t="str">
        <f t="shared" si="3"/>
        <v>Ok</v>
      </c>
      <c r="O674" s="38" t="str">
        <f>IF(M674&gt;Analysis!$B$3*1.5,"High",IF(M674&lt;Analysis!$B$3*0.5,"Low","Medium"))</f>
        <v>Low</v>
      </c>
      <c r="P674" s="38" t="str">
        <f>VLOOKUP(dataset_A!C674,$Q$2:$R$5,2,0)</f>
        <v>Spring</v>
      </c>
      <c r="S674" s="38" t="str">
        <f t="array" ref="S674">INDEX($R$2:$R$5,MATCH(dataset_A!C674,$Q$2:$Q$5,0))</f>
        <v>Spring</v>
      </c>
      <c r="T674" s="38" t="str">
        <f t="shared" si="4"/>
        <v>Match</v>
      </c>
    </row>
    <row r="675" ht="12.75" customHeight="1">
      <c r="A675" s="38">
        <f>dataset_A!A675</f>
        <v>580</v>
      </c>
      <c r="B675" s="39">
        <f>dataset_A!B675</f>
        <v>40569</v>
      </c>
      <c r="C675" s="38">
        <f>dataset_A!F675</f>
        <v>10</v>
      </c>
      <c r="D675" s="38">
        <f>dataset_A!H675</f>
        <v>3</v>
      </c>
      <c r="E675" s="38" t="b">
        <f>dataset_A!G675</f>
        <v>0</v>
      </c>
      <c r="F675" s="38" t="b">
        <f>dataset_A!G675</f>
        <v>0</v>
      </c>
      <c r="G675" s="38" t="str">
        <f t="shared" si="1"/>
        <v>Weekday</v>
      </c>
      <c r="H675" s="38" t="str">
        <f t="shared" si="2"/>
        <v>Morning</v>
      </c>
      <c r="I675" s="38" t="str">
        <f>IF(dataset_A!C675=1,"Spring",IF(dataset_A!C675=2,"Summer",IF(dataset_A!C675=3,"Fail","Winter")))</f>
        <v>Spring</v>
      </c>
      <c r="J675" s="38" t="str">
        <f>IF(dataset_A!I675=1,"Clear",IF(dataset_A!I675,"Mist/Cloudy",IF(dataset_A!I675=3,"Light Rain/Snow","Heavy Rain/Snow")))</f>
        <v>Mist/Cloudy</v>
      </c>
      <c r="K675" s="38">
        <f>dataset_A!N675</f>
        <v>2</v>
      </c>
      <c r="L675" s="38">
        <f>dataset_A!O675</f>
        <v>26</v>
      </c>
      <c r="M675" s="38">
        <f>dataset_A!P675</f>
        <v>28</v>
      </c>
      <c r="N675" s="38" t="str">
        <f t="shared" si="3"/>
        <v>Ok</v>
      </c>
      <c r="O675" s="38" t="str">
        <f>IF(M675&gt;Analysis!$B$3*1.5,"High",IF(M675&lt;Analysis!$B$3*0.5,"Low","Medium"))</f>
        <v>Low</v>
      </c>
      <c r="P675" s="38" t="str">
        <f>VLOOKUP(dataset_A!C675,$Q$2:$R$5,2,0)</f>
        <v>Spring</v>
      </c>
      <c r="S675" s="38" t="str">
        <f t="array" ref="S675">INDEX($R$2:$R$5,MATCH(dataset_A!C675,$Q$2:$Q$5,0))</f>
        <v>Spring</v>
      </c>
      <c r="T675" s="38" t="str">
        <f t="shared" si="4"/>
        <v>Match</v>
      </c>
    </row>
    <row r="676" ht="12.75" customHeight="1">
      <c r="A676" s="38">
        <f>dataset_A!A676</f>
        <v>619</v>
      </c>
      <c r="B676" s="39">
        <f>dataset_A!B676</f>
        <v>40572</v>
      </c>
      <c r="C676" s="38">
        <f>dataset_A!F676</f>
        <v>0</v>
      </c>
      <c r="D676" s="38">
        <f>dataset_A!H676</f>
        <v>6</v>
      </c>
      <c r="E676" s="38" t="b">
        <f>dataset_A!G676</f>
        <v>0</v>
      </c>
      <c r="F676" s="38" t="b">
        <f>dataset_A!G676</f>
        <v>0</v>
      </c>
      <c r="G676" s="38" t="str">
        <f t="shared" si="1"/>
        <v>Weekend</v>
      </c>
      <c r="H676" s="38" t="str">
        <f t="shared" si="2"/>
        <v>Night</v>
      </c>
      <c r="I676" s="38" t="str">
        <f>IF(dataset_A!C676=1,"Spring",IF(dataset_A!C676=2,"Summer",IF(dataset_A!C676=3,"Fail","Winter")))</f>
        <v>Spring</v>
      </c>
      <c r="J676" s="38" t="str">
        <f>IF(dataset_A!I676=1,"Clear",IF(dataset_A!I676,"Mist/Cloudy",IF(dataset_A!I676=3,"Light Rain/Snow","Heavy Rain/Snow")))</f>
        <v>Clear</v>
      </c>
      <c r="K676" s="38">
        <f>dataset_A!N676</f>
        <v>2</v>
      </c>
      <c r="L676" s="38">
        <f>dataset_A!O676</f>
        <v>26</v>
      </c>
      <c r="M676" s="38">
        <f>dataset_A!P676</f>
        <v>28</v>
      </c>
      <c r="N676" s="38" t="str">
        <f t="shared" si="3"/>
        <v>Ok</v>
      </c>
      <c r="O676" s="38" t="str">
        <f>IF(M676&gt;Analysis!$B$3*1.5,"High",IF(M676&lt;Analysis!$B$3*0.5,"Low","Medium"))</f>
        <v>Low</v>
      </c>
      <c r="P676" s="38" t="str">
        <f>VLOOKUP(dataset_A!C676,$Q$2:$R$5,2,0)</f>
        <v>Spring</v>
      </c>
      <c r="S676" s="38" t="str">
        <f t="array" ref="S676">INDEX($R$2:$R$5,MATCH(dataset_A!C676,$Q$2:$Q$5,0))</f>
        <v>Spring</v>
      </c>
      <c r="T676" s="38" t="str">
        <f t="shared" si="4"/>
        <v>Match</v>
      </c>
    </row>
    <row r="677" ht="12.75" customHeight="1">
      <c r="A677" s="38">
        <f>dataset_A!A677</f>
        <v>662</v>
      </c>
      <c r="B677" s="39">
        <f>dataset_A!B677</f>
        <v>40573</v>
      </c>
      <c r="C677" s="38">
        <f>dataset_A!F677</f>
        <v>21</v>
      </c>
      <c r="D677" s="38">
        <f>dataset_A!H677</f>
        <v>0</v>
      </c>
      <c r="E677" s="38" t="b">
        <f>dataset_A!G677</f>
        <v>0</v>
      </c>
      <c r="F677" s="38" t="b">
        <f>dataset_A!G677</f>
        <v>0</v>
      </c>
      <c r="G677" s="38" t="str">
        <f t="shared" si="1"/>
        <v>Weekend</v>
      </c>
      <c r="H677" s="38" t="str">
        <f t="shared" si="2"/>
        <v>Evening</v>
      </c>
      <c r="I677" s="38" t="str">
        <f>IF(dataset_A!C677=1,"Spring",IF(dataset_A!C677=2,"Summer",IF(dataset_A!C677=3,"Fail","Winter")))</f>
        <v>Spring</v>
      </c>
      <c r="J677" s="38" t="str">
        <f>IF(dataset_A!I677=1,"Clear",IF(dataset_A!I677,"Mist/Cloudy",IF(dataset_A!I677=3,"Light Rain/Snow","Heavy Rain/Snow")))</f>
        <v>Mist/Cloudy</v>
      </c>
      <c r="K677" s="38">
        <f>dataset_A!N677</f>
        <v>3</v>
      </c>
      <c r="L677" s="38">
        <f>dataset_A!O677</f>
        <v>25</v>
      </c>
      <c r="M677" s="38">
        <f>dataset_A!P677</f>
        <v>28</v>
      </c>
      <c r="N677" s="38" t="str">
        <f t="shared" si="3"/>
        <v>Ok</v>
      </c>
      <c r="O677" s="38" t="str">
        <f>IF(M677&gt;Analysis!$B$3*1.5,"High",IF(M677&lt;Analysis!$B$3*0.5,"Low","Medium"))</f>
        <v>Low</v>
      </c>
      <c r="P677" s="38" t="str">
        <f>VLOOKUP(dataset_A!C677,$Q$2:$R$5,2,0)</f>
        <v>Spring</v>
      </c>
      <c r="S677" s="38" t="str">
        <f t="array" ref="S677">INDEX($R$2:$R$5,MATCH(dataset_A!C677,$Q$2:$Q$5,0))</f>
        <v>Spring</v>
      </c>
      <c r="T677" s="38" t="str">
        <f t="shared" si="4"/>
        <v>Match</v>
      </c>
    </row>
    <row r="678" ht="12.75" customHeight="1">
      <c r="A678" s="38">
        <f>dataset_A!A678</f>
        <v>764</v>
      </c>
      <c r="B678" s="39">
        <f>dataset_A!B678</f>
        <v>40578</v>
      </c>
      <c r="C678" s="38">
        <f>dataset_A!F678</f>
        <v>6</v>
      </c>
      <c r="D678" s="38">
        <f>dataset_A!H678</f>
        <v>5</v>
      </c>
      <c r="E678" s="38" t="b">
        <f>dataset_A!G678</f>
        <v>0</v>
      </c>
      <c r="F678" s="38" t="b">
        <f>dataset_A!G678</f>
        <v>0</v>
      </c>
      <c r="G678" s="38" t="str">
        <f t="shared" si="1"/>
        <v>Weekday</v>
      </c>
      <c r="H678" s="38" t="str">
        <f t="shared" si="2"/>
        <v>Morning</v>
      </c>
      <c r="I678" s="38" t="str">
        <f>IF(dataset_A!C678=1,"Spring",IF(dataset_A!C678=2,"Summer",IF(dataset_A!C678=3,"Fail","Winter")))</f>
        <v>Spring</v>
      </c>
      <c r="J678" s="38" t="str">
        <f>IF(dataset_A!I678=1,"Clear",IF(dataset_A!I678,"Mist/Cloudy",IF(dataset_A!I678=3,"Light Rain/Snow","Heavy Rain/Snow")))</f>
        <v>Mist/Cloudy</v>
      </c>
      <c r="K678" s="38">
        <f>dataset_A!N678</f>
        <v>2</v>
      </c>
      <c r="L678" s="38">
        <f>dataset_A!O678</f>
        <v>26</v>
      </c>
      <c r="M678" s="38">
        <f>dataset_A!P678</f>
        <v>28</v>
      </c>
      <c r="N678" s="38" t="str">
        <f t="shared" si="3"/>
        <v>Ok</v>
      </c>
      <c r="O678" s="38" t="str">
        <f>IF(M678&gt;Analysis!$B$3*1.5,"High",IF(M678&lt;Analysis!$B$3*0.5,"Low","Medium"))</f>
        <v>Low</v>
      </c>
      <c r="P678" s="38" t="str">
        <f>VLOOKUP(dataset_A!C678,$Q$2:$R$5,2,0)</f>
        <v>Spring</v>
      </c>
      <c r="S678" s="38" t="str">
        <f t="array" ref="S678">INDEX($R$2:$R$5,MATCH(dataset_A!C678,$Q$2:$Q$5,0))</f>
        <v>Spring</v>
      </c>
      <c r="T678" s="38" t="str">
        <f t="shared" si="4"/>
        <v>Match</v>
      </c>
    </row>
    <row r="679" ht="12.75" customHeight="1">
      <c r="A679" s="38">
        <f>dataset_A!A679</f>
        <v>238</v>
      </c>
      <c r="B679" s="39">
        <f>dataset_A!B679</f>
        <v>40554</v>
      </c>
      <c r="C679" s="38">
        <f>dataset_A!F679</f>
        <v>6</v>
      </c>
      <c r="D679" s="38">
        <f>dataset_A!H679</f>
        <v>2</v>
      </c>
      <c r="E679" s="38" t="b">
        <f>dataset_A!G679</f>
        <v>0</v>
      </c>
      <c r="F679" s="38" t="b">
        <f>dataset_A!G679</f>
        <v>0</v>
      </c>
      <c r="G679" s="38" t="str">
        <f t="shared" si="1"/>
        <v>Weekday</v>
      </c>
      <c r="H679" s="38" t="str">
        <f t="shared" si="2"/>
        <v>Morning</v>
      </c>
      <c r="I679" s="38" t="str">
        <f>IF(dataset_A!C679=1,"Spring",IF(dataset_A!C679=2,"Summer",IF(dataset_A!C679=3,"Fail","Winter")))</f>
        <v>Spring</v>
      </c>
      <c r="J679" s="38" t="str">
        <f>IF(dataset_A!I679=1,"Clear",IF(dataset_A!I679,"Mist/Cloudy",IF(dataset_A!I679=3,"Light Rain/Snow","Heavy Rain/Snow")))</f>
        <v>Mist/Cloudy</v>
      </c>
      <c r="K679" s="38">
        <f>dataset_A!N679</f>
        <v>0</v>
      </c>
      <c r="L679" s="38">
        <f>dataset_A!O679</f>
        <v>27</v>
      </c>
      <c r="M679" s="38">
        <f>dataset_A!P679</f>
        <v>27</v>
      </c>
      <c r="N679" s="38" t="str">
        <f t="shared" si="3"/>
        <v>Ok</v>
      </c>
      <c r="O679" s="38" t="str">
        <f>IF(M679&gt;Analysis!$B$3*1.5,"High",IF(M679&lt;Analysis!$B$3*0.5,"Low","Medium"))</f>
        <v>Low</v>
      </c>
      <c r="P679" s="38" t="str">
        <f>VLOOKUP(dataset_A!C679,$Q$2:$R$5,2,0)</f>
        <v>Spring</v>
      </c>
      <c r="S679" s="38" t="str">
        <f t="array" ref="S679">INDEX($R$2:$R$5,MATCH(dataset_A!C679,$Q$2:$Q$5,0))</f>
        <v>Spring</v>
      </c>
      <c r="T679" s="38" t="str">
        <f t="shared" si="4"/>
        <v>Match</v>
      </c>
    </row>
    <row r="680" ht="12.75" customHeight="1">
      <c r="A680" s="38">
        <f>dataset_A!A680</f>
        <v>324</v>
      </c>
      <c r="B680" s="39">
        <f>dataset_A!B680</f>
        <v>40557</v>
      </c>
      <c r="C680" s="38">
        <f>dataset_A!F680</f>
        <v>23</v>
      </c>
      <c r="D680" s="38">
        <f>dataset_A!H680</f>
        <v>5</v>
      </c>
      <c r="E680" s="38" t="b">
        <f>dataset_A!G680</f>
        <v>0</v>
      </c>
      <c r="F680" s="38" t="b">
        <f>dataset_A!G680</f>
        <v>0</v>
      </c>
      <c r="G680" s="38" t="str">
        <f t="shared" si="1"/>
        <v>Weekday</v>
      </c>
      <c r="H680" s="38" t="str">
        <f t="shared" si="2"/>
        <v>Evening</v>
      </c>
      <c r="I680" s="38" t="str">
        <f>IF(dataset_A!C680=1,"Spring",IF(dataset_A!C680=2,"Summer",IF(dataset_A!C680=3,"Fail","Winter")))</f>
        <v>Spring</v>
      </c>
      <c r="J680" s="38" t="str">
        <f>IF(dataset_A!I680=1,"Clear",IF(dataset_A!I680,"Mist/Cloudy",IF(dataset_A!I680=3,"Light Rain/Snow","Heavy Rain/Snow")))</f>
        <v>Mist/Cloudy</v>
      </c>
      <c r="K680" s="38">
        <f>dataset_A!N680</f>
        <v>1</v>
      </c>
      <c r="L680" s="38">
        <f>dataset_A!O680</f>
        <v>26</v>
      </c>
      <c r="M680" s="38">
        <f>dataset_A!P680</f>
        <v>27</v>
      </c>
      <c r="N680" s="38" t="str">
        <f t="shared" si="3"/>
        <v>Ok</v>
      </c>
      <c r="O680" s="38" t="str">
        <f>IF(M680&gt;Analysis!$B$3*1.5,"High",IF(M680&lt;Analysis!$B$3*0.5,"Low","Medium"))</f>
        <v>Low</v>
      </c>
      <c r="P680" s="38" t="str">
        <f>VLOOKUP(dataset_A!C680,$Q$2:$R$5,2,0)</f>
        <v>Spring</v>
      </c>
      <c r="S680" s="38" t="str">
        <f t="array" ref="S680">INDEX($R$2:$R$5,MATCH(dataset_A!C680,$Q$2:$Q$5,0))</f>
        <v>Spring</v>
      </c>
      <c r="T680" s="38" t="str">
        <f t="shared" si="4"/>
        <v>Match</v>
      </c>
    </row>
    <row r="681" ht="12.75" customHeight="1">
      <c r="A681" s="38">
        <f>dataset_A!A681</f>
        <v>394</v>
      </c>
      <c r="B681" s="39">
        <f>dataset_A!B681</f>
        <v>40560</v>
      </c>
      <c r="C681" s="38">
        <f>dataset_A!F681</f>
        <v>21</v>
      </c>
      <c r="D681" s="38">
        <f>dataset_A!H681</f>
        <v>1</v>
      </c>
      <c r="E681" s="38" t="b">
        <f>dataset_A!G681</f>
        <v>1</v>
      </c>
      <c r="F681" s="38" t="b">
        <f>dataset_A!G681</f>
        <v>1</v>
      </c>
      <c r="G681" s="38" t="str">
        <f t="shared" si="1"/>
        <v>Weekday</v>
      </c>
      <c r="H681" s="38" t="str">
        <f t="shared" si="2"/>
        <v>Evening</v>
      </c>
      <c r="I681" s="38" t="str">
        <f>IF(dataset_A!C681=1,"Spring",IF(dataset_A!C681=2,"Summer",IF(dataset_A!C681=3,"Fail","Winter")))</f>
        <v>Spring</v>
      </c>
      <c r="J681" s="38" t="str">
        <f>IF(dataset_A!I681=1,"Clear",IF(dataset_A!I681,"Mist/Cloudy",IF(dataset_A!I681=3,"Light Rain/Snow","Heavy Rain/Snow")))</f>
        <v>Mist/Cloudy</v>
      </c>
      <c r="K681" s="38">
        <f>dataset_A!N681</f>
        <v>3</v>
      </c>
      <c r="L681" s="38">
        <f>dataset_A!O681</f>
        <v>24</v>
      </c>
      <c r="M681" s="38">
        <f>dataset_A!P681</f>
        <v>27</v>
      </c>
      <c r="N681" s="38" t="str">
        <f t="shared" si="3"/>
        <v>Ok</v>
      </c>
      <c r="O681" s="38" t="str">
        <f>IF(M681&gt;Analysis!$B$3*1.5,"High",IF(M681&lt;Analysis!$B$3*0.5,"Low","Medium"))</f>
        <v>Low</v>
      </c>
      <c r="P681" s="38" t="str">
        <f>VLOOKUP(dataset_A!C681,$Q$2:$R$5,2,0)</f>
        <v>Spring</v>
      </c>
      <c r="S681" s="38" t="str">
        <f t="array" ref="S681">INDEX($R$2:$R$5,MATCH(dataset_A!C681,$Q$2:$Q$5,0))</f>
        <v>Spring</v>
      </c>
      <c r="T681" s="38" t="str">
        <f t="shared" si="4"/>
        <v>Match</v>
      </c>
    </row>
    <row r="682" ht="12.75" customHeight="1">
      <c r="A682" s="38">
        <f>dataset_A!A682</f>
        <v>462</v>
      </c>
      <c r="B682" s="39">
        <f>dataset_A!B682</f>
        <v>40564</v>
      </c>
      <c r="C682" s="38">
        <f>dataset_A!F682</f>
        <v>6</v>
      </c>
      <c r="D682" s="38">
        <f>dataset_A!H682</f>
        <v>5</v>
      </c>
      <c r="E682" s="38" t="b">
        <f>dataset_A!G682</f>
        <v>0</v>
      </c>
      <c r="F682" s="38" t="b">
        <f>dataset_A!G682</f>
        <v>0</v>
      </c>
      <c r="G682" s="38" t="str">
        <f t="shared" si="1"/>
        <v>Weekday</v>
      </c>
      <c r="H682" s="38" t="str">
        <f t="shared" si="2"/>
        <v>Morning</v>
      </c>
      <c r="I682" s="38" t="str">
        <f>IF(dataset_A!C682=1,"Spring",IF(dataset_A!C682=2,"Summer",IF(dataset_A!C682=3,"Fail","Winter")))</f>
        <v>Spring</v>
      </c>
      <c r="J682" s="38" t="str">
        <f>IF(dataset_A!I682=1,"Clear",IF(dataset_A!I682,"Mist/Cloudy",IF(dataset_A!I682=3,"Light Rain/Snow","Heavy Rain/Snow")))</f>
        <v>Clear</v>
      </c>
      <c r="K682" s="38">
        <f>dataset_A!N682</f>
        <v>0</v>
      </c>
      <c r="L682" s="38">
        <f>dataset_A!O682</f>
        <v>27</v>
      </c>
      <c r="M682" s="38">
        <f>dataset_A!P682</f>
        <v>27</v>
      </c>
      <c r="N682" s="38" t="str">
        <f t="shared" si="3"/>
        <v>Ok</v>
      </c>
      <c r="O682" s="38" t="str">
        <f>IF(M682&gt;Analysis!$B$3*1.5,"High",IF(M682&lt;Analysis!$B$3*0.5,"Low","Medium"))</f>
        <v>Low</v>
      </c>
      <c r="P682" s="38" t="str">
        <f>VLOOKUP(dataset_A!C682,$Q$2:$R$5,2,0)</f>
        <v>Spring</v>
      </c>
      <c r="S682" s="38" t="str">
        <f t="array" ref="S682">INDEX($R$2:$R$5,MATCH(dataset_A!C682,$Q$2:$Q$5,0))</f>
        <v>Spring</v>
      </c>
      <c r="T682" s="38" t="str">
        <f t="shared" si="4"/>
        <v>Match</v>
      </c>
    </row>
    <row r="683" ht="12.75" customHeight="1">
      <c r="A683" s="38">
        <f>dataset_A!A683</f>
        <v>479</v>
      </c>
      <c r="B683" s="39">
        <f>dataset_A!B683</f>
        <v>40564</v>
      </c>
      <c r="C683" s="38">
        <f>dataset_A!F683</f>
        <v>23</v>
      </c>
      <c r="D683" s="38">
        <f>dataset_A!H683</f>
        <v>5</v>
      </c>
      <c r="E683" s="38" t="b">
        <f>dataset_A!G683</f>
        <v>0</v>
      </c>
      <c r="F683" s="38" t="b">
        <f>dataset_A!G683</f>
        <v>0</v>
      </c>
      <c r="G683" s="38" t="str">
        <f t="shared" si="1"/>
        <v>Weekday</v>
      </c>
      <c r="H683" s="38" t="str">
        <f t="shared" si="2"/>
        <v>Evening</v>
      </c>
      <c r="I683" s="38" t="str">
        <f>IF(dataset_A!C683=1,"Spring",IF(dataset_A!C683=2,"Summer",IF(dataset_A!C683=3,"Fail","Winter")))</f>
        <v>Spring</v>
      </c>
      <c r="J683" s="38" t="str">
        <f>IF(dataset_A!I683=1,"Clear",IF(dataset_A!I683,"Mist/Cloudy",IF(dataset_A!I683=3,"Light Rain/Snow","Heavy Rain/Snow")))</f>
        <v>Clear</v>
      </c>
      <c r="K683" s="38">
        <f>dataset_A!N683</f>
        <v>0</v>
      </c>
      <c r="L683" s="38">
        <f>dataset_A!O683</f>
        <v>27</v>
      </c>
      <c r="M683" s="38">
        <f>dataset_A!P683</f>
        <v>27</v>
      </c>
      <c r="N683" s="38" t="str">
        <f t="shared" si="3"/>
        <v>Ok</v>
      </c>
      <c r="O683" s="38" t="str">
        <f>IF(M683&gt;Analysis!$B$3*1.5,"High",IF(M683&lt;Analysis!$B$3*0.5,"Low","Medium"))</f>
        <v>Low</v>
      </c>
      <c r="P683" s="38" t="str">
        <f>VLOOKUP(dataset_A!C683,$Q$2:$R$5,2,0)</f>
        <v>Spring</v>
      </c>
      <c r="S683" s="38" t="str">
        <f t="array" ref="S683">INDEX($R$2:$R$5,MATCH(dataset_A!C683,$Q$2:$Q$5,0))</f>
        <v>Spring</v>
      </c>
      <c r="T683" s="38" t="str">
        <f t="shared" si="4"/>
        <v>Match</v>
      </c>
    </row>
    <row r="684" ht="12.75" customHeight="1">
      <c r="A684" s="38">
        <f>dataset_A!A684</f>
        <v>487</v>
      </c>
      <c r="B684" s="39">
        <f>dataset_A!B684</f>
        <v>40565</v>
      </c>
      <c r="C684" s="38">
        <f>dataset_A!F684</f>
        <v>8</v>
      </c>
      <c r="D684" s="38">
        <f>dataset_A!H684</f>
        <v>6</v>
      </c>
      <c r="E684" s="38" t="b">
        <f>dataset_A!G684</f>
        <v>0</v>
      </c>
      <c r="F684" s="38" t="b">
        <f>dataset_A!G684</f>
        <v>0</v>
      </c>
      <c r="G684" s="38" t="str">
        <f t="shared" si="1"/>
        <v>Weekend</v>
      </c>
      <c r="H684" s="38" t="str">
        <f t="shared" si="2"/>
        <v>Morning</v>
      </c>
      <c r="I684" s="38" t="str">
        <f>IF(dataset_A!C684=1,"Spring",IF(dataset_A!C684=2,"Summer",IF(dataset_A!C684=3,"Fail","Winter")))</f>
        <v>Spring</v>
      </c>
      <c r="J684" s="38" t="str">
        <f>IF(dataset_A!I684=1,"Clear",IF(dataset_A!I684,"Mist/Cloudy",IF(dataset_A!I684=3,"Light Rain/Snow","Heavy Rain/Snow")))</f>
        <v>Clear</v>
      </c>
      <c r="K684" s="38">
        <f>dataset_A!N684</f>
        <v>1</v>
      </c>
      <c r="L684" s="38">
        <f>dataset_A!O684</f>
        <v>26</v>
      </c>
      <c r="M684" s="38">
        <f>dataset_A!P684</f>
        <v>27</v>
      </c>
      <c r="N684" s="38" t="str">
        <f t="shared" si="3"/>
        <v>Ok</v>
      </c>
      <c r="O684" s="38" t="str">
        <f>IF(M684&gt;Analysis!$B$3*1.5,"High",IF(M684&lt;Analysis!$B$3*0.5,"Low","Medium"))</f>
        <v>Low</v>
      </c>
      <c r="P684" s="38" t="str">
        <f>VLOOKUP(dataset_A!C684,$Q$2:$R$5,2,0)</f>
        <v>Spring</v>
      </c>
      <c r="S684" s="38" t="str">
        <f t="array" ref="S684">INDEX($R$2:$R$5,MATCH(dataset_A!C684,$Q$2:$Q$5,0))</f>
        <v>Spring</v>
      </c>
      <c r="T684" s="38" t="str">
        <f t="shared" si="4"/>
        <v>Match</v>
      </c>
    </row>
    <row r="685" ht="12.75" customHeight="1">
      <c r="A685" s="38">
        <f>dataset_A!A685</f>
        <v>594</v>
      </c>
      <c r="B685" s="39">
        <f>dataset_A!B685</f>
        <v>40570</v>
      </c>
      <c r="C685" s="38">
        <f>dataset_A!F685</f>
        <v>22</v>
      </c>
      <c r="D685" s="38">
        <f>dataset_A!H685</f>
        <v>4</v>
      </c>
      <c r="E685" s="38" t="b">
        <f>dataset_A!G685</f>
        <v>0</v>
      </c>
      <c r="F685" s="38" t="b">
        <f>dataset_A!G685</f>
        <v>0</v>
      </c>
      <c r="G685" s="38" t="str">
        <f t="shared" si="1"/>
        <v>Weekday</v>
      </c>
      <c r="H685" s="38" t="str">
        <f t="shared" si="2"/>
        <v>Evening</v>
      </c>
      <c r="I685" s="38" t="str">
        <f>IF(dataset_A!C685=1,"Spring",IF(dataset_A!C685=2,"Summer",IF(dataset_A!C685=3,"Fail","Winter")))</f>
        <v>Spring</v>
      </c>
      <c r="J685" s="38" t="str">
        <f>IF(dataset_A!I685=1,"Clear",IF(dataset_A!I685,"Mist/Cloudy",IF(dataset_A!I685=3,"Light Rain/Snow","Heavy Rain/Snow")))</f>
        <v>Clear</v>
      </c>
      <c r="K685" s="38">
        <f>dataset_A!N685</f>
        <v>0</v>
      </c>
      <c r="L685" s="38">
        <f>dataset_A!O685</f>
        <v>27</v>
      </c>
      <c r="M685" s="38">
        <f>dataset_A!P685</f>
        <v>27</v>
      </c>
      <c r="N685" s="38" t="str">
        <f t="shared" si="3"/>
        <v>Ok</v>
      </c>
      <c r="O685" s="38" t="str">
        <f>IF(M685&gt;Analysis!$B$3*1.5,"High",IF(M685&lt;Analysis!$B$3*0.5,"Low","Medium"))</f>
        <v>Low</v>
      </c>
      <c r="P685" s="38" t="str">
        <f>VLOOKUP(dataset_A!C685,$Q$2:$R$5,2,0)</f>
        <v>Spring</v>
      </c>
      <c r="S685" s="38" t="str">
        <f t="array" ref="S685">INDEX($R$2:$R$5,MATCH(dataset_A!C685,$Q$2:$Q$5,0))</f>
        <v>Spring</v>
      </c>
      <c r="T685" s="38" t="str">
        <f t="shared" si="4"/>
        <v>Match</v>
      </c>
    </row>
    <row r="686" ht="12.75" customHeight="1">
      <c r="A686" s="38">
        <f>dataset_A!A686</f>
        <v>827</v>
      </c>
      <c r="B686" s="39">
        <f>dataset_A!B686</f>
        <v>40580</v>
      </c>
      <c r="C686" s="38">
        <f>dataset_A!F686</f>
        <v>21</v>
      </c>
      <c r="D686" s="38">
        <f>dataset_A!H686</f>
        <v>0</v>
      </c>
      <c r="E686" s="38" t="b">
        <f>dataset_A!G686</f>
        <v>0</v>
      </c>
      <c r="F686" s="38" t="b">
        <f>dataset_A!G686</f>
        <v>0</v>
      </c>
      <c r="G686" s="38" t="str">
        <f t="shared" si="1"/>
        <v>Weekend</v>
      </c>
      <c r="H686" s="38" t="str">
        <f t="shared" si="2"/>
        <v>Evening</v>
      </c>
      <c r="I686" s="38" t="str">
        <f>IF(dataset_A!C686=1,"Spring",IF(dataset_A!C686=2,"Summer",IF(dataset_A!C686=3,"Fail","Winter")))</f>
        <v>Spring</v>
      </c>
      <c r="J686" s="38" t="str">
        <f>IF(dataset_A!I686=1,"Clear",IF(dataset_A!I686,"Mist/Cloudy",IF(dataset_A!I686=3,"Light Rain/Snow","Heavy Rain/Snow")))</f>
        <v>Clear</v>
      </c>
      <c r="K686" s="38">
        <f>dataset_A!N686</f>
        <v>5</v>
      </c>
      <c r="L686" s="38">
        <f>dataset_A!O686</f>
        <v>22</v>
      </c>
      <c r="M686" s="38">
        <f>dataset_A!P686</f>
        <v>27</v>
      </c>
      <c r="N686" s="38" t="str">
        <f t="shared" si="3"/>
        <v>Ok</v>
      </c>
      <c r="O686" s="38" t="str">
        <f>IF(M686&gt;Analysis!$B$3*1.5,"High",IF(M686&lt;Analysis!$B$3*0.5,"Low","Medium"))</f>
        <v>Low</v>
      </c>
      <c r="P686" s="38" t="str">
        <f>VLOOKUP(dataset_A!C686,$Q$2:$R$5,2,0)</f>
        <v>Spring</v>
      </c>
      <c r="S686" s="38" t="str">
        <f t="array" ref="S686">INDEX($R$2:$R$5,MATCH(dataset_A!C686,$Q$2:$Q$5,0))</f>
        <v>Spring</v>
      </c>
      <c r="T686" s="38" t="str">
        <f t="shared" si="4"/>
        <v>Match</v>
      </c>
    </row>
    <row r="687" ht="12.75" customHeight="1">
      <c r="A687" s="38">
        <f>dataset_A!A687</f>
        <v>347</v>
      </c>
      <c r="B687" s="39">
        <f>dataset_A!B687</f>
        <v>40558</v>
      </c>
      <c r="C687" s="38">
        <f>dataset_A!F687</f>
        <v>22</v>
      </c>
      <c r="D687" s="38">
        <f>dataset_A!H687</f>
        <v>6</v>
      </c>
      <c r="E687" s="38" t="b">
        <f>dataset_A!G687</f>
        <v>0</v>
      </c>
      <c r="F687" s="38" t="b">
        <f>dataset_A!G687</f>
        <v>0</v>
      </c>
      <c r="G687" s="38" t="str">
        <f t="shared" si="1"/>
        <v>Weekend</v>
      </c>
      <c r="H687" s="38" t="str">
        <f t="shared" si="2"/>
        <v>Evening</v>
      </c>
      <c r="I687" s="38" t="str">
        <f>IF(dataset_A!C687=1,"Spring",IF(dataset_A!C687=2,"Summer",IF(dataset_A!C687=3,"Fail","Winter")))</f>
        <v>Spring</v>
      </c>
      <c r="J687" s="38" t="str">
        <f>IF(dataset_A!I687=1,"Clear",IF(dataset_A!I687,"Mist/Cloudy",IF(dataset_A!I687=3,"Light Rain/Snow","Heavy Rain/Snow")))</f>
        <v>Mist/Cloudy</v>
      </c>
      <c r="K687" s="38">
        <f>dataset_A!N687</f>
        <v>0</v>
      </c>
      <c r="L687" s="38">
        <f>dataset_A!O687</f>
        <v>26</v>
      </c>
      <c r="M687" s="38">
        <f>dataset_A!P687</f>
        <v>26</v>
      </c>
      <c r="N687" s="38" t="str">
        <f t="shared" si="3"/>
        <v>Ok</v>
      </c>
      <c r="O687" s="38" t="str">
        <f>IF(M687&gt;Analysis!$B$3*1.5,"High",IF(M687&lt;Analysis!$B$3*0.5,"Low","Medium"))</f>
        <v>Low</v>
      </c>
      <c r="P687" s="38" t="str">
        <f>VLOOKUP(dataset_A!C687,$Q$2:$R$5,2,0)</f>
        <v>Spring</v>
      </c>
      <c r="S687" s="38" t="str">
        <f t="array" ref="S687">INDEX($R$2:$R$5,MATCH(dataset_A!C687,$Q$2:$Q$5,0))</f>
        <v>Spring</v>
      </c>
      <c r="T687" s="38" t="str">
        <f t="shared" si="4"/>
        <v>Match</v>
      </c>
    </row>
    <row r="688" ht="12.75" customHeight="1">
      <c r="A688" s="38">
        <f>dataset_A!A688</f>
        <v>587</v>
      </c>
      <c r="B688" s="39">
        <f>dataset_A!B688</f>
        <v>40569</v>
      </c>
      <c r="C688" s="38">
        <f>dataset_A!F688</f>
        <v>17</v>
      </c>
      <c r="D688" s="38">
        <f>dataset_A!H688</f>
        <v>3</v>
      </c>
      <c r="E688" s="38" t="b">
        <f>dataset_A!G688</f>
        <v>0</v>
      </c>
      <c r="F688" s="38" t="b">
        <f>dataset_A!G688</f>
        <v>0</v>
      </c>
      <c r="G688" s="38" t="str">
        <f t="shared" si="1"/>
        <v>Weekday</v>
      </c>
      <c r="H688" s="38" t="str">
        <f t="shared" si="2"/>
        <v>Afternoon</v>
      </c>
      <c r="I688" s="38" t="str">
        <f>IF(dataset_A!C688=1,"Spring",IF(dataset_A!C688=2,"Summer",IF(dataset_A!C688=3,"Fail","Winter")))</f>
        <v>Spring</v>
      </c>
      <c r="J688" s="38" t="str">
        <f>IF(dataset_A!I688=1,"Clear",IF(dataset_A!I688,"Mist/Cloudy",IF(dataset_A!I688=3,"Light Rain/Snow","Heavy Rain/Snow")))</f>
        <v>Mist/Cloudy</v>
      </c>
      <c r="K688" s="38">
        <f>dataset_A!N688</f>
        <v>0</v>
      </c>
      <c r="L688" s="38">
        <f>dataset_A!O688</f>
        <v>26</v>
      </c>
      <c r="M688" s="38">
        <f>dataset_A!P688</f>
        <v>26</v>
      </c>
      <c r="N688" s="38" t="str">
        <f t="shared" si="3"/>
        <v>Ok</v>
      </c>
      <c r="O688" s="38" t="str">
        <f>IF(M688&gt;Analysis!$B$3*1.5,"High",IF(M688&lt;Analysis!$B$3*0.5,"Low","Medium"))</f>
        <v>Low</v>
      </c>
      <c r="P688" s="38" t="str">
        <f>VLOOKUP(dataset_A!C688,$Q$2:$R$5,2,0)</f>
        <v>Spring</v>
      </c>
      <c r="S688" s="38" t="str">
        <f t="array" ref="S688">INDEX($R$2:$R$5,MATCH(dataset_A!C688,$Q$2:$Q$5,0))</f>
        <v>Spring</v>
      </c>
      <c r="T688" s="38" t="str">
        <f t="shared" si="4"/>
        <v>Match</v>
      </c>
    </row>
    <row r="689" ht="12.75" customHeight="1">
      <c r="A689" s="38">
        <f>dataset_A!A689</f>
        <v>617</v>
      </c>
      <c r="B689" s="39">
        <f>dataset_A!B689</f>
        <v>40571</v>
      </c>
      <c r="C689" s="38">
        <f>dataset_A!F689</f>
        <v>22</v>
      </c>
      <c r="D689" s="38">
        <f>dataset_A!H689</f>
        <v>5</v>
      </c>
      <c r="E689" s="38" t="b">
        <f>dataset_A!G689</f>
        <v>0</v>
      </c>
      <c r="F689" s="38" t="b">
        <f>dataset_A!G689</f>
        <v>0</v>
      </c>
      <c r="G689" s="38" t="str">
        <f t="shared" si="1"/>
        <v>Weekday</v>
      </c>
      <c r="H689" s="38" t="str">
        <f t="shared" si="2"/>
        <v>Evening</v>
      </c>
      <c r="I689" s="38" t="str">
        <f>IF(dataset_A!C689=1,"Spring",IF(dataset_A!C689=2,"Summer",IF(dataset_A!C689=3,"Fail","Winter")))</f>
        <v>Spring</v>
      </c>
      <c r="J689" s="38" t="str">
        <f>IF(dataset_A!I689=1,"Clear",IF(dataset_A!I689,"Mist/Cloudy",IF(dataset_A!I689=3,"Light Rain/Snow","Heavy Rain/Snow")))</f>
        <v>Clear</v>
      </c>
      <c r="K689" s="38">
        <f>dataset_A!N689</f>
        <v>0</v>
      </c>
      <c r="L689" s="38">
        <f>dataset_A!O689</f>
        <v>26</v>
      </c>
      <c r="M689" s="38">
        <f>dataset_A!P689</f>
        <v>26</v>
      </c>
      <c r="N689" s="38" t="str">
        <f t="shared" si="3"/>
        <v>Ok</v>
      </c>
      <c r="O689" s="38" t="str">
        <f>IF(M689&gt;Analysis!$B$3*1.5,"High",IF(M689&lt;Analysis!$B$3*0.5,"Low","Medium"))</f>
        <v>Low</v>
      </c>
      <c r="P689" s="38" t="str">
        <f>VLOOKUP(dataset_A!C689,$Q$2:$R$5,2,0)</f>
        <v>Spring</v>
      </c>
      <c r="S689" s="38" t="str">
        <f t="array" ref="S689">INDEX($R$2:$R$5,MATCH(dataset_A!C689,$Q$2:$Q$5,0))</f>
        <v>Spring</v>
      </c>
      <c r="T689" s="38" t="str">
        <f t="shared" si="4"/>
        <v>Match</v>
      </c>
    </row>
    <row r="690" ht="12.75" customHeight="1">
      <c r="A690" s="38">
        <f>dataset_A!A690</f>
        <v>826</v>
      </c>
      <c r="B690" s="39">
        <f>dataset_A!B690</f>
        <v>40580</v>
      </c>
      <c r="C690" s="38">
        <f>dataset_A!F690</f>
        <v>20</v>
      </c>
      <c r="D690" s="38">
        <f>dataset_A!H690</f>
        <v>0</v>
      </c>
      <c r="E690" s="38" t="b">
        <f>dataset_A!G690</f>
        <v>0</v>
      </c>
      <c r="F690" s="38" t="b">
        <f>dataset_A!G690</f>
        <v>0</v>
      </c>
      <c r="G690" s="38" t="str">
        <f t="shared" si="1"/>
        <v>Weekend</v>
      </c>
      <c r="H690" s="38" t="str">
        <f t="shared" si="2"/>
        <v>Evening</v>
      </c>
      <c r="I690" s="38" t="str">
        <f>IF(dataset_A!C690=1,"Spring",IF(dataset_A!C690=2,"Summer",IF(dataset_A!C690=3,"Fail","Winter")))</f>
        <v>Spring</v>
      </c>
      <c r="J690" s="38" t="str">
        <f>IF(dataset_A!I690=1,"Clear",IF(dataset_A!I690,"Mist/Cloudy",IF(dataset_A!I690=3,"Light Rain/Snow","Heavy Rain/Snow")))</f>
        <v>Clear</v>
      </c>
      <c r="K690" s="38">
        <f>dataset_A!N690</f>
        <v>5</v>
      </c>
      <c r="L690" s="38">
        <f>dataset_A!O690</f>
        <v>21</v>
      </c>
      <c r="M690" s="38">
        <f>dataset_A!P690</f>
        <v>26</v>
      </c>
      <c r="N690" s="38" t="str">
        <f t="shared" si="3"/>
        <v>Ok</v>
      </c>
      <c r="O690" s="38" t="str">
        <f>IF(M690&gt;Analysis!$B$3*1.5,"High",IF(M690&lt;Analysis!$B$3*0.5,"Low","Medium"))</f>
        <v>Low</v>
      </c>
      <c r="P690" s="38" t="str">
        <f>VLOOKUP(dataset_A!C690,$Q$2:$R$5,2,0)</f>
        <v>Spring</v>
      </c>
      <c r="S690" s="38" t="str">
        <f t="array" ref="S690">INDEX($R$2:$R$5,MATCH(dataset_A!C690,$Q$2:$Q$5,0))</f>
        <v>Spring</v>
      </c>
      <c r="T690" s="38" t="str">
        <f t="shared" si="4"/>
        <v>Match</v>
      </c>
    </row>
    <row r="691" ht="12.75" customHeight="1">
      <c r="A691" s="38">
        <f>dataset_A!A691</f>
        <v>906</v>
      </c>
      <c r="B691" s="39">
        <f>dataset_A!B691</f>
        <v>40584</v>
      </c>
      <c r="C691" s="38">
        <f>dataset_A!F691</f>
        <v>6</v>
      </c>
      <c r="D691" s="38">
        <f>dataset_A!H691</f>
        <v>4</v>
      </c>
      <c r="E691" s="38" t="b">
        <f>dataset_A!G691</f>
        <v>0</v>
      </c>
      <c r="F691" s="38" t="b">
        <f>dataset_A!G691</f>
        <v>0</v>
      </c>
      <c r="G691" s="38" t="str">
        <f t="shared" si="1"/>
        <v>Weekday</v>
      </c>
      <c r="H691" s="38" t="str">
        <f t="shared" si="2"/>
        <v>Morning</v>
      </c>
      <c r="I691" s="38" t="str">
        <f>IF(dataset_A!C691=1,"Spring",IF(dataset_A!C691=2,"Summer",IF(dataset_A!C691=3,"Fail","Winter")))</f>
        <v>Spring</v>
      </c>
      <c r="J691" s="38" t="str">
        <f>IF(dataset_A!I691=1,"Clear",IF(dataset_A!I691,"Mist/Cloudy",IF(dataset_A!I691=3,"Light Rain/Snow","Heavy Rain/Snow")))</f>
        <v>Mist/Cloudy</v>
      </c>
      <c r="K691" s="38">
        <f>dataset_A!N691</f>
        <v>0</v>
      </c>
      <c r="L691" s="38">
        <f>dataset_A!O691</f>
        <v>26</v>
      </c>
      <c r="M691" s="38">
        <f>dataset_A!P691</f>
        <v>26</v>
      </c>
      <c r="N691" s="38" t="str">
        <f t="shared" si="3"/>
        <v>Ok</v>
      </c>
      <c r="O691" s="38" t="str">
        <f>IF(M691&gt;Analysis!$B$3*1.5,"High",IF(M691&lt;Analysis!$B$3*0.5,"Low","Medium"))</f>
        <v>Low</v>
      </c>
      <c r="P691" s="38" t="str">
        <f>VLOOKUP(dataset_A!C691,$Q$2:$R$5,2,0)</f>
        <v>Spring</v>
      </c>
      <c r="S691" s="38" t="str">
        <f t="array" ref="S691">INDEX($R$2:$R$5,MATCH(dataset_A!C691,$Q$2:$Q$5,0))</f>
        <v>Spring</v>
      </c>
      <c r="T691" s="38" t="str">
        <f t="shared" si="4"/>
        <v>Match</v>
      </c>
    </row>
    <row r="692" ht="12.75" customHeight="1">
      <c r="A692" s="38">
        <f>dataset_A!A692</f>
        <v>999</v>
      </c>
      <c r="B692" s="39">
        <f>dataset_A!B692</f>
        <v>40588</v>
      </c>
      <c r="C692" s="38">
        <f>dataset_A!F692</f>
        <v>6</v>
      </c>
      <c r="D692" s="38">
        <f>dataset_A!H692</f>
        <v>1</v>
      </c>
      <c r="E692" s="38" t="b">
        <f>dataset_A!G692</f>
        <v>0</v>
      </c>
      <c r="F692" s="38" t="b">
        <f>dataset_A!G692</f>
        <v>0</v>
      </c>
      <c r="G692" s="38" t="str">
        <f t="shared" si="1"/>
        <v>Weekday</v>
      </c>
      <c r="H692" s="38" t="str">
        <f t="shared" si="2"/>
        <v>Morning</v>
      </c>
      <c r="I692" s="38" t="str">
        <f>IF(dataset_A!C692=1,"Spring",IF(dataset_A!C692=2,"Summer",IF(dataset_A!C692=3,"Fail","Winter")))</f>
        <v>Spring</v>
      </c>
      <c r="J692" s="38" t="str">
        <f>IF(dataset_A!I692=1,"Clear",IF(dataset_A!I692,"Mist/Cloudy",IF(dataset_A!I692=3,"Light Rain/Snow","Heavy Rain/Snow")))</f>
        <v>Clear</v>
      </c>
      <c r="K692" s="38">
        <f>dataset_A!N692</f>
        <v>1</v>
      </c>
      <c r="L692" s="38">
        <f>dataset_A!O692</f>
        <v>25</v>
      </c>
      <c r="M692" s="38">
        <f>dataset_A!P692</f>
        <v>26</v>
      </c>
      <c r="N692" s="38" t="str">
        <f t="shared" si="3"/>
        <v>Ok</v>
      </c>
      <c r="O692" s="38" t="str">
        <f>IF(M692&gt;Analysis!$B$3*1.5,"High",IF(M692&lt;Analysis!$B$3*0.5,"Low","Medium"))</f>
        <v>Low</v>
      </c>
      <c r="P692" s="38" t="str">
        <f>VLOOKUP(dataset_A!C692,$Q$2:$R$5,2,0)</f>
        <v>Spring</v>
      </c>
      <c r="S692" s="38" t="str">
        <f t="array" ref="S692">INDEX($R$2:$R$5,MATCH(dataset_A!C692,$Q$2:$Q$5,0))</f>
        <v>Spring</v>
      </c>
      <c r="T692" s="38" t="str">
        <f t="shared" si="4"/>
        <v>Match</v>
      </c>
    </row>
    <row r="693" ht="12.75" customHeight="1">
      <c r="A693" s="38">
        <f>dataset_A!A693</f>
        <v>162</v>
      </c>
      <c r="B693" s="39">
        <f>dataset_A!B693</f>
        <v>40551</v>
      </c>
      <c r="C693" s="38">
        <f>dataset_A!F693</f>
        <v>0</v>
      </c>
      <c r="D693" s="38">
        <f>dataset_A!H693</f>
        <v>6</v>
      </c>
      <c r="E693" s="38" t="b">
        <f>dataset_A!G693</f>
        <v>0</v>
      </c>
      <c r="F693" s="38" t="b">
        <f>dataset_A!G693</f>
        <v>0</v>
      </c>
      <c r="G693" s="38" t="str">
        <f t="shared" si="1"/>
        <v>Weekend</v>
      </c>
      <c r="H693" s="38" t="str">
        <f t="shared" si="2"/>
        <v>Night</v>
      </c>
      <c r="I693" s="38" t="str">
        <f>IF(dataset_A!C693=1,"Spring",IF(dataset_A!C693=2,"Summer",IF(dataset_A!C693=3,"Fail","Winter")))</f>
        <v>Spring</v>
      </c>
      <c r="J693" s="38" t="str">
        <f>IF(dataset_A!I693=1,"Clear",IF(dataset_A!I693,"Mist/Cloudy",IF(dataset_A!I693=3,"Light Rain/Snow","Heavy Rain/Snow")))</f>
        <v>Mist/Cloudy</v>
      </c>
      <c r="K693" s="38">
        <f>dataset_A!N693</f>
        <v>1</v>
      </c>
      <c r="L693" s="38">
        <f>dataset_A!O693</f>
        <v>24</v>
      </c>
      <c r="M693" s="38">
        <f>dataset_A!P693</f>
        <v>25</v>
      </c>
      <c r="N693" s="38" t="str">
        <f t="shared" si="3"/>
        <v>Ok</v>
      </c>
      <c r="O693" s="38" t="str">
        <f>IF(M693&gt;Analysis!$B$3*1.5,"High",IF(M693&lt;Analysis!$B$3*0.5,"Low","Medium"))</f>
        <v>Low</v>
      </c>
      <c r="P693" s="38" t="str">
        <f>VLOOKUP(dataset_A!C693,$Q$2:$R$5,2,0)</f>
        <v>Spring</v>
      </c>
      <c r="S693" s="38" t="str">
        <f t="array" ref="S693">INDEX($R$2:$R$5,MATCH(dataset_A!C693,$Q$2:$Q$5,0))</f>
        <v>Spring</v>
      </c>
      <c r="T693" s="38" t="str">
        <f t="shared" si="4"/>
        <v>Match</v>
      </c>
    </row>
    <row r="694" ht="12.75" customHeight="1">
      <c r="A694" s="38">
        <f>dataset_A!A694</f>
        <v>186</v>
      </c>
      <c r="B694" s="39">
        <f>dataset_A!B694</f>
        <v>40552</v>
      </c>
      <c r="C694" s="38">
        <f>dataset_A!F694</f>
        <v>0</v>
      </c>
      <c r="D694" s="38">
        <f>dataset_A!H694</f>
        <v>0</v>
      </c>
      <c r="E694" s="38" t="b">
        <f>dataset_A!G694</f>
        <v>0</v>
      </c>
      <c r="F694" s="38" t="b">
        <f>dataset_A!G694</f>
        <v>0</v>
      </c>
      <c r="G694" s="38" t="str">
        <f t="shared" si="1"/>
        <v>Weekend</v>
      </c>
      <c r="H694" s="38" t="str">
        <f t="shared" si="2"/>
        <v>Night</v>
      </c>
      <c r="I694" s="38" t="str">
        <f>IF(dataset_A!C694=1,"Spring",IF(dataset_A!C694=2,"Summer",IF(dataset_A!C694=3,"Fail","Winter")))</f>
        <v>Spring</v>
      </c>
      <c r="J694" s="38" t="str">
        <f>IF(dataset_A!I694=1,"Clear",IF(dataset_A!I694,"Mist/Cloudy",IF(dataset_A!I694=3,"Light Rain/Snow","Heavy Rain/Snow")))</f>
        <v>Clear</v>
      </c>
      <c r="K694" s="38">
        <f>dataset_A!N694</f>
        <v>1</v>
      </c>
      <c r="L694" s="38">
        <f>dataset_A!O694</f>
        <v>24</v>
      </c>
      <c r="M694" s="38">
        <f>dataset_A!P694</f>
        <v>25</v>
      </c>
      <c r="N694" s="38" t="str">
        <f t="shared" si="3"/>
        <v>Ok</v>
      </c>
      <c r="O694" s="38" t="str">
        <f>IF(M694&gt;Analysis!$B$3*1.5,"High",IF(M694&lt;Analysis!$B$3*0.5,"Low","Medium"))</f>
        <v>Low</v>
      </c>
      <c r="P694" s="38" t="str">
        <f>VLOOKUP(dataset_A!C694,$Q$2:$R$5,2,0)</f>
        <v>Spring</v>
      </c>
      <c r="S694" s="38" t="str">
        <f t="array" ref="S694">INDEX($R$2:$R$5,MATCH(dataset_A!C694,$Q$2:$Q$5,0))</f>
        <v>Spring</v>
      </c>
      <c r="T694" s="38" t="str">
        <f t="shared" si="4"/>
        <v>Match</v>
      </c>
    </row>
    <row r="695" ht="12.75" customHeight="1">
      <c r="A695" s="38">
        <f>dataset_A!A695</f>
        <v>523</v>
      </c>
      <c r="B695" s="39">
        <f>dataset_A!B695</f>
        <v>40566</v>
      </c>
      <c r="C695" s="38">
        <f>dataset_A!F695</f>
        <v>21</v>
      </c>
      <c r="D695" s="38">
        <f>dataset_A!H695</f>
        <v>0</v>
      </c>
      <c r="E695" s="38" t="b">
        <f>dataset_A!G695</f>
        <v>0</v>
      </c>
      <c r="F695" s="38" t="b">
        <f>dataset_A!G695</f>
        <v>0</v>
      </c>
      <c r="G695" s="38" t="str">
        <f t="shared" si="1"/>
        <v>Weekend</v>
      </c>
      <c r="H695" s="38" t="str">
        <f t="shared" si="2"/>
        <v>Evening</v>
      </c>
      <c r="I695" s="38" t="str">
        <f>IF(dataset_A!C695=1,"Spring",IF(dataset_A!C695=2,"Summer",IF(dataset_A!C695=3,"Fail","Winter")))</f>
        <v>Spring</v>
      </c>
      <c r="J695" s="38" t="str">
        <f>IF(dataset_A!I695=1,"Clear",IF(dataset_A!I695,"Mist/Cloudy",IF(dataset_A!I695=3,"Light Rain/Snow","Heavy Rain/Snow")))</f>
        <v>Clear</v>
      </c>
      <c r="K695" s="38">
        <f>dataset_A!N695</f>
        <v>5</v>
      </c>
      <c r="L695" s="38">
        <f>dataset_A!O695</f>
        <v>20</v>
      </c>
      <c r="M695" s="38">
        <f>dataset_A!P695</f>
        <v>25</v>
      </c>
      <c r="N695" s="38" t="str">
        <f t="shared" si="3"/>
        <v>Ok</v>
      </c>
      <c r="O695" s="38" t="str">
        <f>IF(M695&gt;Analysis!$B$3*1.5,"High",IF(M695&lt;Analysis!$B$3*0.5,"Low","Medium"))</f>
        <v>Low</v>
      </c>
      <c r="P695" s="38" t="str">
        <f>VLOOKUP(dataset_A!C695,$Q$2:$R$5,2,0)</f>
        <v>Spring</v>
      </c>
      <c r="S695" s="38" t="str">
        <f t="array" ref="S695">INDEX($R$2:$R$5,MATCH(dataset_A!C695,$Q$2:$Q$5,0))</f>
        <v>Spring</v>
      </c>
      <c r="T695" s="38" t="str">
        <f t="shared" si="4"/>
        <v>Match</v>
      </c>
    </row>
    <row r="696" ht="12.75" customHeight="1">
      <c r="A696" s="38">
        <f>dataset_A!A696</f>
        <v>853</v>
      </c>
      <c r="B696" s="39">
        <f>dataset_A!B696</f>
        <v>40581</v>
      </c>
      <c r="C696" s="38">
        <f>dataset_A!F696</f>
        <v>23</v>
      </c>
      <c r="D696" s="38">
        <f>dataset_A!H696</f>
        <v>1</v>
      </c>
      <c r="E696" s="38" t="b">
        <f>dataset_A!G696</f>
        <v>0</v>
      </c>
      <c r="F696" s="38" t="b">
        <f>dataset_A!G696</f>
        <v>0</v>
      </c>
      <c r="G696" s="38" t="str">
        <f t="shared" si="1"/>
        <v>Weekday</v>
      </c>
      <c r="H696" s="38" t="str">
        <f t="shared" si="2"/>
        <v>Evening</v>
      </c>
      <c r="I696" s="38" t="str">
        <f>IF(dataset_A!C696=1,"Spring",IF(dataset_A!C696=2,"Summer",IF(dataset_A!C696=3,"Fail","Winter")))</f>
        <v>Spring</v>
      </c>
      <c r="J696" s="38" t="str">
        <f>IF(dataset_A!I696=1,"Clear",IF(dataset_A!I696,"Mist/Cloudy",IF(dataset_A!I696=3,"Light Rain/Snow","Heavy Rain/Snow")))</f>
        <v>Mist/Cloudy</v>
      </c>
      <c r="K696" s="38">
        <f>dataset_A!N696</f>
        <v>6</v>
      </c>
      <c r="L696" s="38">
        <f>dataset_A!O696</f>
        <v>19</v>
      </c>
      <c r="M696" s="38">
        <f>dataset_A!P696</f>
        <v>25</v>
      </c>
      <c r="N696" s="38" t="str">
        <f t="shared" si="3"/>
        <v>Ok</v>
      </c>
      <c r="O696" s="38" t="str">
        <f>IF(M696&gt;Analysis!$B$3*1.5,"High",IF(M696&lt;Analysis!$B$3*0.5,"Low","Medium"))</f>
        <v>Low</v>
      </c>
      <c r="P696" s="38" t="str">
        <f>VLOOKUP(dataset_A!C696,$Q$2:$R$5,2,0)</f>
        <v>Spring</v>
      </c>
      <c r="S696" s="38" t="str">
        <f t="array" ref="S696">INDEX($R$2:$R$5,MATCH(dataset_A!C696,$Q$2:$Q$5,0))</f>
        <v>Spring</v>
      </c>
      <c r="T696" s="38" t="str">
        <f t="shared" si="4"/>
        <v>Match</v>
      </c>
    </row>
    <row r="697" ht="12.75" customHeight="1">
      <c r="A697" s="38">
        <f>dataset_A!A697</f>
        <v>232</v>
      </c>
      <c r="B697" s="39">
        <f>dataset_A!B697</f>
        <v>40553</v>
      </c>
      <c r="C697" s="38">
        <f>dataset_A!F697</f>
        <v>22</v>
      </c>
      <c r="D697" s="38">
        <f>dataset_A!H697</f>
        <v>1</v>
      </c>
      <c r="E697" s="38" t="b">
        <f>dataset_A!G697</f>
        <v>0</v>
      </c>
      <c r="F697" s="38" t="b">
        <f>dataset_A!G697</f>
        <v>0</v>
      </c>
      <c r="G697" s="38" t="str">
        <f t="shared" si="1"/>
        <v>Weekday</v>
      </c>
      <c r="H697" s="38" t="str">
        <f t="shared" si="2"/>
        <v>Evening</v>
      </c>
      <c r="I697" s="38" t="str">
        <f>IF(dataset_A!C697=1,"Spring",IF(dataset_A!C697=2,"Summer",IF(dataset_A!C697=3,"Fail","Winter")))</f>
        <v>Spring</v>
      </c>
      <c r="J697" s="38" t="str">
        <f>IF(dataset_A!I697=1,"Clear",IF(dataset_A!I697,"Mist/Cloudy",IF(dataset_A!I697=3,"Light Rain/Snow","Heavy Rain/Snow")))</f>
        <v>Clear</v>
      </c>
      <c r="K697" s="38">
        <f>dataset_A!N697</f>
        <v>2</v>
      </c>
      <c r="L697" s="38">
        <f>dataset_A!O697</f>
        <v>22</v>
      </c>
      <c r="M697" s="38">
        <f>dataset_A!P697</f>
        <v>24</v>
      </c>
      <c r="N697" s="38" t="str">
        <f t="shared" si="3"/>
        <v>Ok</v>
      </c>
      <c r="O697" s="38" t="str">
        <f>IF(M697&gt;Analysis!$B$3*1.5,"High",IF(M697&lt;Analysis!$B$3*0.5,"Low","Medium"))</f>
        <v>Low</v>
      </c>
      <c r="P697" s="38" t="str">
        <f>VLOOKUP(dataset_A!C697,$Q$2:$R$5,2,0)</f>
        <v>Spring</v>
      </c>
      <c r="S697" s="38" t="str">
        <f t="array" ref="S697">INDEX($R$2:$R$5,MATCH(dataset_A!C697,$Q$2:$Q$5,0))</f>
        <v>Spring</v>
      </c>
      <c r="T697" s="38" t="str">
        <f t="shared" si="4"/>
        <v>Match</v>
      </c>
    </row>
    <row r="698" ht="12.75" customHeight="1">
      <c r="A698" s="38">
        <f>dataset_A!A698</f>
        <v>548</v>
      </c>
      <c r="B698" s="39">
        <f>dataset_A!B698</f>
        <v>40567</v>
      </c>
      <c r="C698" s="38">
        <f>dataset_A!F698</f>
        <v>23</v>
      </c>
      <c r="D698" s="38">
        <f>dataset_A!H698</f>
        <v>1</v>
      </c>
      <c r="E698" s="38" t="b">
        <f>dataset_A!G698</f>
        <v>0</v>
      </c>
      <c r="F698" s="38" t="b">
        <f>dataset_A!G698</f>
        <v>0</v>
      </c>
      <c r="G698" s="38" t="str">
        <f t="shared" si="1"/>
        <v>Weekday</v>
      </c>
      <c r="H698" s="38" t="str">
        <f t="shared" si="2"/>
        <v>Evening</v>
      </c>
      <c r="I698" s="38" t="str">
        <f>IF(dataset_A!C698=1,"Spring",IF(dataset_A!C698=2,"Summer",IF(dataset_A!C698=3,"Fail","Winter")))</f>
        <v>Spring</v>
      </c>
      <c r="J698" s="38" t="str">
        <f>IF(dataset_A!I698=1,"Clear",IF(dataset_A!I698,"Mist/Cloudy",IF(dataset_A!I698=3,"Light Rain/Snow","Heavy Rain/Snow")))</f>
        <v>Mist/Cloudy</v>
      </c>
      <c r="K698" s="38">
        <f>dataset_A!N698</f>
        <v>3</v>
      </c>
      <c r="L698" s="38">
        <f>dataset_A!O698</f>
        <v>21</v>
      </c>
      <c r="M698" s="38">
        <f>dataset_A!P698</f>
        <v>24</v>
      </c>
      <c r="N698" s="38" t="str">
        <f t="shared" si="3"/>
        <v>Ok</v>
      </c>
      <c r="O698" s="38" t="str">
        <f>IF(M698&gt;Analysis!$B$3*1.5,"High",IF(M698&lt;Analysis!$B$3*0.5,"Low","Medium"))</f>
        <v>Low</v>
      </c>
      <c r="P698" s="38" t="str">
        <f>VLOOKUP(dataset_A!C698,$Q$2:$R$5,2,0)</f>
        <v>Spring</v>
      </c>
      <c r="S698" s="38" t="str">
        <f t="array" ref="S698">INDEX($R$2:$R$5,MATCH(dataset_A!C698,$Q$2:$Q$5,0))</f>
        <v>Spring</v>
      </c>
      <c r="T698" s="38" t="str">
        <f t="shared" si="4"/>
        <v>Match</v>
      </c>
    </row>
    <row r="699" ht="12.75" customHeight="1">
      <c r="A699" s="38">
        <f>dataset_A!A699</f>
        <v>588</v>
      </c>
      <c r="B699" s="39">
        <f>dataset_A!B699</f>
        <v>40570</v>
      </c>
      <c r="C699" s="38">
        <f>dataset_A!F699</f>
        <v>16</v>
      </c>
      <c r="D699" s="38">
        <f>dataset_A!H699</f>
        <v>4</v>
      </c>
      <c r="E699" s="38" t="b">
        <f>dataset_A!G699</f>
        <v>0</v>
      </c>
      <c r="F699" s="38" t="b">
        <f>dataset_A!G699</f>
        <v>0</v>
      </c>
      <c r="G699" s="38" t="str">
        <f t="shared" si="1"/>
        <v>Weekday</v>
      </c>
      <c r="H699" s="38" t="str">
        <f t="shared" si="2"/>
        <v>Afternoon</v>
      </c>
      <c r="I699" s="38" t="str">
        <f>IF(dataset_A!C699=1,"Spring",IF(dataset_A!C699=2,"Summer",IF(dataset_A!C699=3,"Fail","Winter")))</f>
        <v>Spring</v>
      </c>
      <c r="J699" s="38" t="str">
        <f>IF(dataset_A!I699=1,"Clear",IF(dataset_A!I699,"Mist/Cloudy",IF(dataset_A!I699=3,"Light Rain/Snow","Heavy Rain/Snow")))</f>
        <v>Clear</v>
      </c>
      <c r="K699" s="38">
        <f>dataset_A!N699</f>
        <v>1</v>
      </c>
      <c r="L699" s="38">
        <f>dataset_A!O699</f>
        <v>23</v>
      </c>
      <c r="M699" s="38">
        <f>dataset_A!P699</f>
        <v>24</v>
      </c>
      <c r="N699" s="38" t="str">
        <f t="shared" si="3"/>
        <v>Ok</v>
      </c>
      <c r="O699" s="38" t="str">
        <f>IF(M699&gt;Analysis!$B$3*1.5,"High",IF(M699&lt;Analysis!$B$3*0.5,"Low","Medium"))</f>
        <v>Low</v>
      </c>
      <c r="P699" s="38" t="str">
        <f>VLOOKUP(dataset_A!C699,$Q$2:$R$5,2,0)</f>
        <v>Spring</v>
      </c>
      <c r="S699" s="38" t="str">
        <f t="array" ref="S699">INDEX($R$2:$R$5,MATCH(dataset_A!C699,$Q$2:$Q$5,0))</f>
        <v>Spring</v>
      </c>
      <c r="T699" s="38" t="str">
        <f t="shared" si="4"/>
        <v>Match</v>
      </c>
    </row>
    <row r="700" ht="12.75" customHeight="1">
      <c r="A700" s="38">
        <f>dataset_A!A700</f>
        <v>928</v>
      </c>
      <c r="B700" s="39">
        <f>dataset_A!B700</f>
        <v>40585</v>
      </c>
      <c r="C700" s="38">
        <f>dataset_A!F700</f>
        <v>6</v>
      </c>
      <c r="D700" s="38">
        <f>dataset_A!H700</f>
        <v>5</v>
      </c>
      <c r="E700" s="38" t="b">
        <f>dataset_A!G700</f>
        <v>0</v>
      </c>
      <c r="F700" s="38" t="b">
        <f>dataset_A!G700</f>
        <v>0</v>
      </c>
      <c r="G700" s="38" t="str">
        <f t="shared" si="1"/>
        <v>Weekday</v>
      </c>
      <c r="H700" s="38" t="str">
        <f t="shared" si="2"/>
        <v>Morning</v>
      </c>
      <c r="I700" s="38" t="str">
        <f>IF(dataset_A!C700=1,"Spring",IF(dataset_A!C700=2,"Summer",IF(dataset_A!C700=3,"Fail","Winter")))</f>
        <v>Spring</v>
      </c>
      <c r="J700" s="38" t="str">
        <f>IF(dataset_A!I700=1,"Clear",IF(dataset_A!I700,"Mist/Cloudy",IF(dataset_A!I700=3,"Light Rain/Snow","Heavy Rain/Snow")))</f>
        <v>Clear</v>
      </c>
      <c r="K700" s="38">
        <f>dataset_A!N700</f>
        <v>1</v>
      </c>
      <c r="L700" s="38">
        <f>dataset_A!O700</f>
        <v>23</v>
      </c>
      <c r="M700" s="38">
        <f>dataset_A!P700</f>
        <v>24</v>
      </c>
      <c r="N700" s="38" t="str">
        <f t="shared" si="3"/>
        <v>Ok</v>
      </c>
      <c r="O700" s="38" t="str">
        <f>IF(M700&gt;Analysis!$B$3*1.5,"High",IF(M700&lt;Analysis!$B$3*0.5,"Low","Medium"))</f>
        <v>Low</v>
      </c>
      <c r="P700" s="38" t="str">
        <f>VLOOKUP(dataset_A!C700,$Q$2:$R$5,2,0)</f>
        <v>Spring</v>
      </c>
      <c r="S700" s="38" t="str">
        <f t="array" ref="S700">INDEX($R$2:$R$5,MATCH(dataset_A!C700,$Q$2:$Q$5,0))</f>
        <v>Spring</v>
      </c>
      <c r="T700" s="38" t="str">
        <f t="shared" si="4"/>
        <v>Match</v>
      </c>
    </row>
    <row r="701" ht="12.75" customHeight="1">
      <c r="A701" s="38">
        <f>dataset_A!A701</f>
        <v>947</v>
      </c>
      <c r="B701" s="39">
        <f>dataset_A!B701</f>
        <v>40586</v>
      </c>
      <c r="C701" s="38">
        <f>dataset_A!F701</f>
        <v>1</v>
      </c>
      <c r="D701" s="38">
        <f>dataset_A!H701</f>
        <v>6</v>
      </c>
      <c r="E701" s="38" t="b">
        <f>dataset_A!G701</f>
        <v>0</v>
      </c>
      <c r="F701" s="38" t="b">
        <f>dataset_A!G701</f>
        <v>0</v>
      </c>
      <c r="G701" s="38" t="str">
        <f t="shared" si="1"/>
        <v>Weekend</v>
      </c>
      <c r="H701" s="38" t="str">
        <f t="shared" si="2"/>
        <v>Night</v>
      </c>
      <c r="I701" s="38" t="str">
        <f>IF(dataset_A!C701=1,"Spring",IF(dataset_A!C701=2,"Summer",IF(dataset_A!C701=3,"Fail","Winter")))</f>
        <v>Spring</v>
      </c>
      <c r="J701" s="38" t="str">
        <f>IF(dataset_A!I701=1,"Clear",IF(dataset_A!I701,"Mist/Cloudy",IF(dataset_A!I701=3,"Light Rain/Snow","Heavy Rain/Snow")))</f>
        <v>Clear</v>
      </c>
      <c r="K701" s="38">
        <f>dataset_A!N701</f>
        <v>2</v>
      </c>
      <c r="L701" s="38">
        <f>dataset_A!O701</f>
        <v>22</v>
      </c>
      <c r="M701" s="38">
        <f>dataset_A!P701</f>
        <v>24</v>
      </c>
      <c r="N701" s="38" t="str">
        <f t="shared" si="3"/>
        <v>Ok</v>
      </c>
      <c r="O701" s="38" t="str">
        <f>IF(M701&gt;Analysis!$B$3*1.5,"High",IF(M701&lt;Analysis!$B$3*0.5,"Low","Medium"))</f>
        <v>Low</v>
      </c>
      <c r="P701" s="38" t="str">
        <f>VLOOKUP(dataset_A!C701,$Q$2:$R$5,2,0)</f>
        <v>Spring</v>
      </c>
      <c r="S701" s="38" t="str">
        <f t="array" ref="S701">INDEX($R$2:$R$5,MATCH(dataset_A!C701,$Q$2:$Q$5,0))</f>
        <v>Spring</v>
      </c>
      <c r="T701" s="38" t="str">
        <f t="shared" si="4"/>
        <v>Match</v>
      </c>
    </row>
    <row r="702" ht="12.75" customHeight="1">
      <c r="A702" s="38">
        <f>dataset_A!A702</f>
        <v>971</v>
      </c>
      <c r="B702" s="39">
        <f>dataset_A!B702</f>
        <v>40587</v>
      </c>
      <c r="C702" s="38">
        <f>dataset_A!F702</f>
        <v>1</v>
      </c>
      <c r="D702" s="38">
        <f>dataset_A!H702</f>
        <v>0</v>
      </c>
      <c r="E702" s="38" t="b">
        <f>dataset_A!G702</f>
        <v>0</v>
      </c>
      <c r="F702" s="38" t="b">
        <f>dataset_A!G702</f>
        <v>0</v>
      </c>
      <c r="G702" s="38" t="str">
        <f t="shared" si="1"/>
        <v>Weekend</v>
      </c>
      <c r="H702" s="38" t="str">
        <f t="shared" si="2"/>
        <v>Night</v>
      </c>
      <c r="I702" s="38" t="str">
        <f>IF(dataset_A!C702=1,"Spring",IF(dataset_A!C702=2,"Summer",IF(dataset_A!C702=3,"Fail","Winter")))</f>
        <v>Spring</v>
      </c>
      <c r="J702" s="38" t="str">
        <f>IF(dataset_A!I702=1,"Clear",IF(dataset_A!I702,"Mist/Cloudy",IF(dataset_A!I702=3,"Light Rain/Snow","Heavy Rain/Snow")))</f>
        <v>Clear</v>
      </c>
      <c r="K702" s="38">
        <f>dataset_A!N702</f>
        <v>1</v>
      </c>
      <c r="L702" s="38">
        <f>dataset_A!O702</f>
        <v>23</v>
      </c>
      <c r="M702" s="38">
        <f>dataset_A!P702</f>
        <v>24</v>
      </c>
      <c r="N702" s="38" t="str">
        <f t="shared" si="3"/>
        <v>Ok</v>
      </c>
      <c r="O702" s="38" t="str">
        <f>IF(M702&gt;Analysis!$B$3*1.5,"High",IF(M702&lt;Analysis!$B$3*0.5,"Low","Medium"))</f>
        <v>Low</v>
      </c>
      <c r="P702" s="38" t="str">
        <f>VLOOKUP(dataset_A!C702,$Q$2:$R$5,2,0)</f>
        <v>Spring</v>
      </c>
      <c r="S702" s="38" t="str">
        <f t="array" ref="S702">INDEX($R$2:$R$5,MATCH(dataset_A!C702,$Q$2:$Q$5,0))</f>
        <v>Spring</v>
      </c>
      <c r="T702" s="38" t="str">
        <f t="shared" si="4"/>
        <v>Match</v>
      </c>
    </row>
    <row r="703" ht="12.75" customHeight="1">
      <c r="A703" s="38">
        <f>dataset_A!A703</f>
        <v>138</v>
      </c>
      <c r="B703" s="39">
        <f>dataset_A!B703</f>
        <v>40549</v>
      </c>
      <c r="C703" s="38">
        <f>dataset_A!F703</f>
        <v>23</v>
      </c>
      <c r="D703" s="38">
        <f>dataset_A!H703</f>
        <v>4</v>
      </c>
      <c r="E703" s="38" t="b">
        <f>dataset_A!G703</f>
        <v>0</v>
      </c>
      <c r="F703" s="38" t="b">
        <f>dataset_A!G703</f>
        <v>0</v>
      </c>
      <c r="G703" s="38" t="str">
        <f t="shared" si="1"/>
        <v>Weekday</v>
      </c>
      <c r="H703" s="38" t="str">
        <f t="shared" si="2"/>
        <v>Evening</v>
      </c>
      <c r="I703" s="38" t="str">
        <f>IF(dataset_A!C703=1,"Spring",IF(dataset_A!C703=2,"Summer",IF(dataset_A!C703=3,"Fail","Winter")))</f>
        <v>Spring</v>
      </c>
      <c r="J703" s="38" t="str">
        <f>IF(dataset_A!I703=1,"Clear",IF(dataset_A!I703,"Mist/Cloudy",IF(dataset_A!I703=3,"Light Rain/Snow","Heavy Rain/Snow")))</f>
        <v>Mist/Cloudy</v>
      </c>
      <c r="K703" s="38">
        <f>dataset_A!N703</f>
        <v>4</v>
      </c>
      <c r="L703" s="38">
        <f>dataset_A!O703</f>
        <v>19</v>
      </c>
      <c r="M703" s="38">
        <f>dataset_A!P703</f>
        <v>23</v>
      </c>
      <c r="N703" s="38" t="str">
        <f t="shared" si="3"/>
        <v>Ok</v>
      </c>
      <c r="O703" s="38" t="str">
        <f>IF(M703&gt;Analysis!$B$3*1.5,"High",IF(M703&lt;Analysis!$B$3*0.5,"Low","Medium"))</f>
        <v>Low</v>
      </c>
      <c r="P703" s="38" t="str">
        <f>VLOOKUP(dataset_A!C703,$Q$2:$R$5,2,0)</f>
        <v>Spring</v>
      </c>
      <c r="S703" s="38" t="str">
        <f t="array" ref="S703">INDEX($R$2:$R$5,MATCH(dataset_A!C703,$Q$2:$Q$5,0))</f>
        <v>Spring</v>
      </c>
      <c r="T703" s="38" t="str">
        <f t="shared" si="4"/>
        <v>Match</v>
      </c>
    </row>
    <row r="704" ht="12.75" customHeight="1">
      <c r="A704" s="38">
        <f>dataset_A!A704</f>
        <v>333</v>
      </c>
      <c r="B704" s="39">
        <f>dataset_A!B704</f>
        <v>40558</v>
      </c>
      <c r="C704" s="38">
        <f>dataset_A!F704</f>
        <v>8</v>
      </c>
      <c r="D704" s="38">
        <f>dataset_A!H704</f>
        <v>6</v>
      </c>
      <c r="E704" s="38" t="b">
        <f>dataset_A!G704</f>
        <v>0</v>
      </c>
      <c r="F704" s="38" t="b">
        <f>dataset_A!G704</f>
        <v>0</v>
      </c>
      <c r="G704" s="38" t="str">
        <f t="shared" si="1"/>
        <v>Weekend</v>
      </c>
      <c r="H704" s="38" t="str">
        <f t="shared" si="2"/>
        <v>Morning</v>
      </c>
      <c r="I704" s="38" t="str">
        <f>IF(dataset_A!C704=1,"Spring",IF(dataset_A!C704=2,"Summer",IF(dataset_A!C704=3,"Fail","Winter")))</f>
        <v>Spring</v>
      </c>
      <c r="J704" s="38" t="str">
        <f>IF(dataset_A!I704=1,"Clear",IF(dataset_A!I704,"Mist/Cloudy",IF(dataset_A!I704=3,"Light Rain/Snow","Heavy Rain/Snow")))</f>
        <v>Clear</v>
      </c>
      <c r="K704" s="38">
        <f>dataset_A!N704</f>
        <v>1</v>
      </c>
      <c r="L704" s="38">
        <f>dataset_A!O704</f>
        <v>22</v>
      </c>
      <c r="M704" s="38">
        <f>dataset_A!P704</f>
        <v>23</v>
      </c>
      <c r="N704" s="38" t="str">
        <f t="shared" si="3"/>
        <v>Ok</v>
      </c>
      <c r="O704" s="38" t="str">
        <f>IF(M704&gt;Analysis!$B$3*1.5,"High",IF(M704&lt;Analysis!$B$3*0.5,"Low","Medium"))</f>
        <v>Low</v>
      </c>
      <c r="P704" s="38" t="str">
        <f>VLOOKUP(dataset_A!C704,$Q$2:$R$5,2,0)</f>
        <v>Spring</v>
      </c>
      <c r="S704" s="38" t="str">
        <f t="array" ref="S704">INDEX($R$2:$R$5,MATCH(dataset_A!C704,$Q$2:$Q$5,0))</f>
        <v>Spring</v>
      </c>
      <c r="T704" s="38" t="str">
        <f t="shared" si="4"/>
        <v>Match</v>
      </c>
    </row>
    <row r="705" ht="12.75" customHeight="1">
      <c r="A705" s="38">
        <f>dataset_A!A705</f>
        <v>350</v>
      </c>
      <c r="B705" s="39">
        <f>dataset_A!B705</f>
        <v>40559</v>
      </c>
      <c r="C705" s="38">
        <f>dataset_A!F705</f>
        <v>1</v>
      </c>
      <c r="D705" s="38">
        <f>dataset_A!H705</f>
        <v>0</v>
      </c>
      <c r="E705" s="38" t="b">
        <f>dataset_A!G705</f>
        <v>0</v>
      </c>
      <c r="F705" s="38" t="b">
        <f>dataset_A!G705</f>
        <v>0</v>
      </c>
      <c r="G705" s="38" t="str">
        <f t="shared" si="1"/>
        <v>Weekend</v>
      </c>
      <c r="H705" s="38" t="str">
        <f t="shared" si="2"/>
        <v>Night</v>
      </c>
      <c r="I705" s="38" t="str">
        <f>IF(dataset_A!C705=1,"Spring",IF(dataset_A!C705=2,"Summer",IF(dataset_A!C705=3,"Fail","Winter")))</f>
        <v>Spring</v>
      </c>
      <c r="J705" s="38" t="str">
        <f>IF(dataset_A!I705=1,"Clear",IF(dataset_A!I705,"Mist/Cloudy",IF(dataset_A!I705=3,"Light Rain/Snow","Heavy Rain/Snow")))</f>
        <v>Clear</v>
      </c>
      <c r="K705" s="38">
        <f>dataset_A!N705</f>
        <v>4</v>
      </c>
      <c r="L705" s="38">
        <f>dataset_A!O705</f>
        <v>19</v>
      </c>
      <c r="M705" s="38">
        <f>dataset_A!P705</f>
        <v>23</v>
      </c>
      <c r="N705" s="38" t="str">
        <f t="shared" si="3"/>
        <v>Ok</v>
      </c>
      <c r="O705" s="38" t="str">
        <f>IF(M705&gt;Analysis!$B$3*1.5,"High",IF(M705&lt;Analysis!$B$3*0.5,"Low","Medium"))</f>
        <v>Low</v>
      </c>
      <c r="P705" s="38" t="str">
        <f>VLOOKUP(dataset_A!C705,$Q$2:$R$5,2,0)</f>
        <v>Spring</v>
      </c>
      <c r="S705" s="38" t="str">
        <f t="array" ref="S705">INDEX($R$2:$R$5,MATCH(dataset_A!C705,$Q$2:$Q$5,0))</f>
        <v>Spring</v>
      </c>
      <c r="T705" s="38" t="str">
        <f t="shared" si="4"/>
        <v>Match</v>
      </c>
    </row>
    <row r="706" ht="12.75" customHeight="1">
      <c r="A706" s="38">
        <f>dataset_A!A706</f>
        <v>618</v>
      </c>
      <c r="B706" s="39">
        <f>dataset_A!B706</f>
        <v>40571</v>
      </c>
      <c r="C706" s="38">
        <f>dataset_A!F706</f>
        <v>23</v>
      </c>
      <c r="D706" s="38">
        <f>dataset_A!H706</f>
        <v>5</v>
      </c>
      <c r="E706" s="38" t="b">
        <f>dataset_A!G706</f>
        <v>0</v>
      </c>
      <c r="F706" s="38" t="b">
        <f>dataset_A!G706</f>
        <v>0</v>
      </c>
      <c r="G706" s="38" t="str">
        <f t="shared" si="1"/>
        <v>Weekday</v>
      </c>
      <c r="H706" s="38" t="str">
        <f t="shared" si="2"/>
        <v>Evening</v>
      </c>
      <c r="I706" s="38" t="str">
        <f>IF(dataset_A!C706=1,"Spring",IF(dataset_A!C706=2,"Summer",IF(dataset_A!C706=3,"Fail","Winter")))</f>
        <v>Spring</v>
      </c>
      <c r="J706" s="38" t="str">
        <f>IF(dataset_A!I706=1,"Clear",IF(dataset_A!I706,"Mist/Cloudy",IF(dataset_A!I706=3,"Light Rain/Snow","Heavy Rain/Snow")))</f>
        <v>Clear</v>
      </c>
      <c r="K706" s="38">
        <f>dataset_A!N706</f>
        <v>1</v>
      </c>
      <c r="L706" s="38">
        <f>dataset_A!O706</f>
        <v>22</v>
      </c>
      <c r="M706" s="38">
        <f>dataset_A!P706</f>
        <v>23</v>
      </c>
      <c r="N706" s="38" t="str">
        <f t="shared" si="3"/>
        <v>Ok</v>
      </c>
      <c r="O706" s="38" t="str">
        <f>IF(M706&gt;Analysis!$B$3*1.5,"High",IF(M706&lt;Analysis!$B$3*0.5,"Low","Medium"))</f>
        <v>Low</v>
      </c>
      <c r="P706" s="38" t="str">
        <f>VLOOKUP(dataset_A!C706,$Q$2:$R$5,2,0)</f>
        <v>Spring</v>
      </c>
      <c r="S706" s="38" t="str">
        <f t="array" ref="S706">INDEX($R$2:$R$5,MATCH(dataset_A!C706,$Q$2:$Q$5,0))</f>
        <v>Spring</v>
      </c>
      <c r="T706" s="38" t="str">
        <f t="shared" si="4"/>
        <v>Match</v>
      </c>
    </row>
    <row r="707" ht="12.75" customHeight="1">
      <c r="A707" s="38">
        <f>dataset_A!A707</f>
        <v>814</v>
      </c>
      <c r="B707" s="39">
        <f>dataset_A!B707</f>
        <v>40580</v>
      </c>
      <c r="C707" s="38">
        <f>dataset_A!F707</f>
        <v>8</v>
      </c>
      <c r="D707" s="38">
        <f>dataset_A!H707</f>
        <v>0</v>
      </c>
      <c r="E707" s="38" t="b">
        <f>dataset_A!G707</f>
        <v>0</v>
      </c>
      <c r="F707" s="38" t="b">
        <f>dataset_A!G707</f>
        <v>0</v>
      </c>
      <c r="G707" s="38" t="str">
        <f t="shared" si="1"/>
        <v>Weekend</v>
      </c>
      <c r="H707" s="38" t="str">
        <f t="shared" si="2"/>
        <v>Morning</v>
      </c>
      <c r="I707" s="38" t="str">
        <f>IF(dataset_A!C707=1,"Spring",IF(dataset_A!C707=2,"Summer",IF(dataset_A!C707=3,"Fail","Winter")))</f>
        <v>Spring</v>
      </c>
      <c r="J707" s="38" t="str">
        <f>IF(dataset_A!I707=1,"Clear",IF(dataset_A!I707,"Mist/Cloudy",IF(dataset_A!I707=3,"Light Rain/Snow","Heavy Rain/Snow")))</f>
        <v>Clear</v>
      </c>
      <c r="K707" s="38">
        <f>dataset_A!N707</f>
        <v>2</v>
      </c>
      <c r="L707" s="38">
        <f>dataset_A!O707</f>
        <v>21</v>
      </c>
      <c r="M707" s="38">
        <f>dataset_A!P707</f>
        <v>23</v>
      </c>
      <c r="N707" s="38" t="str">
        <f t="shared" si="3"/>
        <v>Ok</v>
      </c>
      <c r="O707" s="38" t="str">
        <f>IF(M707&gt;Analysis!$B$3*1.5,"High",IF(M707&lt;Analysis!$B$3*0.5,"Low","Medium"))</f>
        <v>Low</v>
      </c>
      <c r="P707" s="38" t="str">
        <f>VLOOKUP(dataset_A!C707,$Q$2:$R$5,2,0)</f>
        <v>Spring</v>
      </c>
      <c r="S707" s="38" t="str">
        <f t="array" ref="S707">INDEX($R$2:$R$5,MATCH(dataset_A!C707,$Q$2:$Q$5,0))</f>
        <v>Spring</v>
      </c>
      <c r="T707" s="38" t="str">
        <f t="shared" si="4"/>
        <v>Match</v>
      </c>
    </row>
    <row r="708" ht="12.75" customHeight="1">
      <c r="A708" s="38">
        <f>dataset_A!A708</f>
        <v>44</v>
      </c>
      <c r="B708" s="39">
        <f>dataset_A!B708</f>
        <v>40545</v>
      </c>
      <c r="C708" s="38">
        <f>dataset_A!F708</f>
        <v>20</v>
      </c>
      <c r="D708" s="38">
        <f>dataset_A!H708</f>
        <v>0</v>
      </c>
      <c r="E708" s="38" t="b">
        <f>dataset_A!G708</f>
        <v>0</v>
      </c>
      <c r="F708" s="38" t="b">
        <f>dataset_A!G708</f>
        <v>0</v>
      </c>
      <c r="G708" s="38" t="str">
        <f t="shared" si="1"/>
        <v>Weekend</v>
      </c>
      <c r="H708" s="38" t="str">
        <f t="shared" si="2"/>
        <v>Evening</v>
      </c>
      <c r="I708" s="38" t="str">
        <f>IF(dataset_A!C708=1,"Spring",IF(dataset_A!C708=2,"Summer",IF(dataset_A!C708=3,"Fail","Winter")))</f>
        <v>Spring</v>
      </c>
      <c r="J708" s="38" t="str">
        <f>IF(dataset_A!I708=1,"Clear",IF(dataset_A!I708,"Mist/Cloudy",IF(dataset_A!I708=3,"Light Rain/Snow","Heavy Rain/Snow")))</f>
        <v>Clear</v>
      </c>
      <c r="K708" s="38">
        <f>dataset_A!N708</f>
        <v>5</v>
      </c>
      <c r="L708" s="38">
        <f>dataset_A!O708</f>
        <v>17</v>
      </c>
      <c r="M708" s="38">
        <f>dataset_A!P708</f>
        <v>22</v>
      </c>
      <c r="N708" s="38" t="str">
        <f t="shared" si="3"/>
        <v>Ok</v>
      </c>
      <c r="O708" s="38" t="str">
        <f>IF(M708&gt;Analysis!$B$3*1.5,"High",IF(M708&lt;Analysis!$B$3*0.5,"Low","Medium"))</f>
        <v>Low</v>
      </c>
      <c r="P708" s="38" t="str">
        <f>VLOOKUP(dataset_A!C708,$Q$2:$R$5,2,0)</f>
        <v>Spring</v>
      </c>
      <c r="S708" s="38" t="str">
        <f t="array" ref="S708">INDEX($R$2:$R$5,MATCH(dataset_A!C708,$Q$2:$Q$5,0))</f>
        <v>Spring</v>
      </c>
      <c r="T708" s="38" t="str">
        <f t="shared" si="4"/>
        <v>Match</v>
      </c>
    </row>
    <row r="709" ht="12.75" customHeight="1">
      <c r="A709" s="38">
        <f>dataset_A!A709</f>
        <v>185</v>
      </c>
      <c r="B709" s="39">
        <f>dataset_A!B709</f>
        <v>40551</v>
      </c>
      <c r="C709" s="38">
        <f>dataset_A!F709</f>
        <v>23</v>
      </c>
      <c r="D709" s="38">
        <f>dataset_A!H709</f>
        <v>6</v>
      </c>
      <c r="E709" s="38" t="b">
        <f>dataset_A!G709</f>
        <v>0</v>
      </c>
      <c r="F709" s="38" t="b">
        <f>dataset_A!G709</f>
        <v>0</v>
      </c>
      <c r="G709" s="38" t="str">
        <f t="shared" si="1"/>
        <v>Weekend</v>
      </c>
      <c r="H709" s="38" t="str">
        <f t="shared" si="2"/>
        <v>Evening</v>
      </c>
      <c r="I709" s="38" t="str">
        <f>IF(dataset_A!C709=1,"Spring",IF(dataset_A!C709=2,"Summer",IF(dataset_A!C709=3,"Fail","Winter")))</f>
        <v>Spring</v>
      </c>
      <c r="J709" s="38" t="str">
        <f>IF(dataset_A!I709=1,"Clear",IF(dataset_A!I709,"Mist/Cloudy",IF(dataset_A!I709=3,"Light Rain/Snow","Heavy Rain/Snow")))</f>
        <v>Clear</v>
      </c>
      <c r="K709" s="38">
        <f>dataset_A!N709</f>
        <v>0</v>
      </c>
      <c r="L709" s="38">
        <f>dataset_A!O709</f>
        <v>22</v>
      </c>
      <c r="M709" s="38">
        <f>dataset_A!P709</f>
        <v>22</v>
      </c>
      <c r="N709" s="38" t="str">
        <f t="shared" si="3"/>
        <v>Ok</v>
      </c>
      <c r="O709" s="38" t="str">
        <f>IF(M709&gt;Analysis!$B$3*1.5,"High",IF(M709&lt;Analysis!$B$3*0.5,"Low","Medium"))</f>
        <v>Low</v>
      </c>
      <c r="P709" s="38" t="str">
        <f>VLOOKUP(dataset_A!C709,$Q$2:$R$5,2,0)</f>
        <v>Spring</v>
      </c>
      <c r="S709" s="38" t="str">
        <f t="array" ref="S709">INDEX($R$2:$R$5,MATCH(dataset_A!C709,$Q$2:$Q$5,0))</f>
        <v>Spring</v>
      </c>
      <c r="T709" s="38" t="str">
        <f t="shared" si="4"/>
        <v>Match</v>
      </c>
    </row>
    <row r="710" ht="12.75" customHeight="1">
      <c r="A710" s="38">
        <f>dataset_A!A710</f>
        <v>398</v>
      </c>
      <c r="B710" s="39">
        <f>dataset_A!B710</f>
        <v>40561</v>
      </c>
      <c r="C710" s="38">
        <f>dataset_A!F710</f>
        <v>13</v>
      </c>
      <c r="D710" s="38">
        <f>dataset_A!H710</f>
        <v>2</v>
      </c>
      <c r="E710" s="38" t="b">
        <f>dataset_A!G710</f>
        <v>0</v>
      </c>
      <c r="F710" s="38" t="b">
        <f>dataset_A!G710</f>
        <v>0</v>
      </c>
      <c r="G710" s="38" t="str">
        <f t="shared" si="1"/>
        <v>Weekday</v>
      </c>
      <c r="H710" s="38" t="str">
        <f t="shared" si="2"/>
        <v>Afternoon</v>
      </c>
      <c r="I710" s="38" t="str">
        <f>IF(dataset_A!C710=1,"Spring",IF(dataset_A!C710=2,"Summer",IF(dataset_A!C710=3,"Fail","Winter")))</f>
        <v>Spring</v>
      </c>
      <c r="J710" s="38" t="str">
        <f>IF(dataset_A!I710=1,"Clear",IF(dataset_A!I710,"Mist/Cloudy",IF(dataset_A!I710=3,"Light Rain/Snow","Heavy Rain/Snow")))</f>
        <v>Mist/Cloudy</v>
      </c>
      <c r="K710" s="38">
        <f>dataset_A!N710</f>
        <v>0</v>
      </c>
      <c r="L710" s="38">
        <f>dataset_A!O710</f>
        <v>22</v>
      </c>
      <c r="M710" s="38">
        <f>dataset_A!P710</f>
        <v>22</v>
      </c>
      <c r="N710" s="38" t="str">
        <f t="shared" si="3"/>
        <v>Ok</v>
      </c>
      <c r="O710" s="38" t="str">
        <f>IF(M710&gt;Analysis!$B$3*1.5,"High",IF(M710&lt;Analysis!$B$3*0.5,"Low","Medium"))</f>
        <v>Low</v>
      </c>
      <c r="P710" s="38" t="str">
        <f>VLOOKUP(dataset_A!C710,$Q$2:$R$5,2,0)</f>
        <v>Spring</v>
      </c>
      <c r="S710" s="38" t="str">
        <f t="array" ref="S710">INDEX($R$2:$R$5,MATCH(dataset_A!C710,$Q$2:$Q$5,0))</f>
        <v>Spring</v>
      </c>
      <c r="T710" s="38" t="str">
        <f t="shared" si="4"/>
        <v>Match</v>
      </c>
    </row>
    <row r="711" ht="12.75" customHeight="1">
      <c r="A711" s="38">
        <f>dataset_A!A711</f>
        <v>503</v>
      </c>
      <c r="B711" s="39">
        <f>dataset_A!B711</f>
        <v>40566</v>
      </c>
      <c r="C711" s="38">
        <f>dataset_A!F711</f>
        <v>0</v>
      </c>
      <c r="D711" s="38">
        <f>dataset_A!H711</f>
        <v>0</v>
      </c>
      <c r="E711" s="38" t="b">
        <f>dataset_A!G711</f>
        <v>0</v>
      </c>
      <c r="F711" s="38" t="b">
        <f>dataset_A!G711</f>
        <v>0</v>
      </c>
      <c r="G711" s="38" t="str">
        <f t="shared" si="1"/>
        <v>Weekend</v>
      </c>
      <c r="H711" s="38" t="str">
        <f t="shared" si="2"/>
        <v>Night</v>
      </c>
      <c r="I711" s="38" t="str">
        <f>IF(dataset_A!C711=1,"Spring",IF(dataset_A!C711=2,"Summer",IF(dataset_A!C711=3,"Fail","Winter")))</f>
        <v>Spring</v>
      </c>
      <c r="J711" s="38" t="str">
        <f>IF(dataset_A!I711=1,"Clear",IF(dataset_A!I711,"Mist/Cloudy",IF(dataset_A!I711=3,"Light Rain/Snow","Heavy Rain/Snow")))</f>
        <v>Clear</v>
      </c>
      <c r="K711" s="38">
        <f>dataset_A!N711</f>
        <v>2</v>
      </c>
      <c r="L711" s="38">
        <f>dataset_A!O711</f>
        <v>20</v>
      </c>
      <c r="M711" s="38">
        <f>dataset_A!P711</f>
        <v>22</v>
      </c>
      <c r="N711" s="38" t="str">
        <f t="shared" si="3"/>
        <v>Ok</v>
      </c>
      <c r="O711" s="38" t="str">
        <f>IF(M711&gt;Analysis!$B$3*1.5,"High",IF(M711&lt;Analysis!$B$3*0.5,"Low","Medium"))</f>
        <v>Low</v>
      </c>
      <c r="P711" s="38" t="str">
        <f>VLOOKUP(dataset_A!C711,$Q$2:$R$5,2,0)</f>
        <v>Spring</v>
      </c>
      <c r="S711" s="38" t="str">
        <f t="array" ref="S711">INDEX($R$2:$R$5,MATCH(dataset_A!C711,$Q$2:$Q$5,0))</f>
        <v>Spring</v>
      </c>
      <c r="T711" s="38" t="str">
        <f t="shared" si="4"/>
        <v>Match</v>
      </c>
    </row>
    <row r="712" ht="12.75" customHeight="1">
      <c r="A712" s="38">
        <f>dataset_A!A712</f>
        <v>694</v>
      </c>
      <c r="B712" s="39">
        <f>dataset_A!B712</f>
        <v>40575</v>
      </c>
      <c r="C712" s="38">
        <f>dataset_A!F712</f>
        <v>6</v>
      </c>
      <c r="D712" s="38">
        <f>dataset_A!H712</f>
        <v>2</v>
      </c>
      <c r="E712" s="38" t="b">
        <f>dataset_A!G712</f>
        <v>0</v>
      </c>
      <c r="F712" s="38" t="b">
        <f>dataset_A!G712</f>
        <v>0</v>
      </c>
      <c r="G712" s="38" t="str">
        <f t="shared" si="1"/>
        <v>Weekday</v>
      </c>
      <c r="H712" s="38" t="str">
        <f t="shared" si="2"/>
        <v>Morning</v>
      </c>
      <c r="I712" s="38" t="str">
        <f>IF(dataset_A!C712=1,"Spring",IF(dataset_A!C712=2,"Summer",IF(dataset_A!C712=3,"Fail","Winter")))</f>
        <v>Spring</v>
      </c>
      <c r="J712" s="38" t="str">
        <f>IF(dataset_A!I712=1,"Clear",IF(dataset_A!I712,"Mist/Cloudy",IF(dataset_A!I712=3,"Light Rain/Snow","Heavy Rain/Snow")))</f>
        <v>Mist/Cloudy</v>
      </c>
      <c r="K712" s="38">
        <f>dataset_A!N712</f>
        <v>0</v>
      </c>
      <c r="L712" s="38">
        <f>dataset_A!O712</f>
        <v>22</v>
      </c>
      <c r="M712" s="38">
        <f>dataset_A!P712</f>
        <v>22</v>
      </c>
      <c r="N712" s="38" t="str">
        <f t="shared" si="3"/>
        <v>Ok</v>
      </c>
      <c r="O712" s="38" t="str">
        <f>IF(M712&gt;Analysis!$B$3*1.5,"High",IF(M712&lt;Analysis!$B$3*0.5,"Low","Medium"))</f>
        <v>Low</v>
      </c>
      <c r="P712" s="38" t="str">
        <f>VLOOKUP(dataset_A!C712,$Q$2:$R$5,2,0)</f>
        <v>Spring</v>
      </c>
      <c r="S712" s="38" t="str">
        <f t="array" ref="S712">INDEX($R$2:$R$5,MATCH(dataset_A!C712,$Q$2:$Q$5,0))</f>
        <v>Spring</v>
      </c>
      <c r="T712" s="38" t="str">
        <f t="shared" si="4"/>
        <v>Match</v>
      </c>
    </row>
    <row r="713" ht="12.75" customHeight="1">
      <c r="A713" s="38">
        <f>dataset_A!A713</f>
        <v>371</v>
      </c>
      <c r="B713" s="39">
        <f>dataset_A!B713</f>
        <v>40559</v>
      </c>
      <c r="C713" s="38">
        <f>dataset_A!F713</f>
        <v>22</v>
      </c>
      <c r="D713" s="38">
        <f>dataset_A!H713</f>
        <v>0</v>
      </c>
      <c r="E713" s="38" t="b">
        <f>dataset_A!G713</f>
        <v>0</v>
      </c>
      <c r="F713" s="38" t="b">
        <f>dataset_A!G713</f>
        <v>0</v>
      </c>
      <c r="G713" s="38" t="str">
        <f t="shared" si="1"/>
        <v>Weekend</v>
      </c>
      <c r="H713" s="38" t="str">
        <f t="shared" si="2"/>
        <v>Evening</v>
      </c>
      <c r="I713" s="38" t="str">
        <f>IF(dataset_A!C713=1,"Spring",IF(dataset_A!C713=2,"Summer",IF(dataset_A!C713=3,"Fail","Winter")))</f>
        <v>Spring</v>
      </c>
      <c r="J713" s="38" t="str">
        <f>IF(dataset_A!I713=1,"Clear",IF(dataset_A!I713,"Mist/Cloudy",IF(dataset_A!I713=3,"Light Rain/Snow","Heavy Rain/Snow")))</f>
        <v>Mist/Cloudy</v>
      </c>
      <c r="K713" s="38">
        <f>dataset_A!N713</f>
        <v>2</v>
      </c>
      <c r="L713" s="38">
        <f>dataset_A!O713</f>
        <v>19</v>
      </c>
      <c r="M713" s="38">
        <f>dataset_A!P713</f>
        <v>21</v>
      </c>
      <c r="N713" s="38" t="str">
        <f t="shared" si="3"/>
        <v>Ok</v>
      </c>
      <c r="O713" s="38" t="str">
        <f>IF(M713&gt;Analysis!$B$3*1.5,"High",IF(M713&lt;Analysis!$B$3*0.5,"Low","Medium"))</f>
        <v>Low</v>
      </c>
      <c r="P713" s="38" t="str">
        <f>VLOOKUP(dataset_A!C713,$Q$2:$R$5,2,0)</f>
        <v>Spring</v>
      </c>
      <c r="S713" s="38" t="str">
        <f t="array" ref="S713">INDEX($R$2:$R$5,MATCH(dataset_A!C713,$Q$2:$Q$5,0))</f>
        <v>Spring</v>
      </c>
      <c r="T713" s="38" t="str">
        <f t="shared" si="4"/>
        <v>Match</v>
      </c>
    </row>
    <row r="714" ht="12.75" customHeight="1">
      <c r="A714" s="38">
        <f>dataset_A!A714</f>
        <v>456</v>
      </c>
      <c r="B714" s="39">
        <f>dataset_A!B714</f>
        <v>40564</v>
      </c>
      <c r="C714" s="38">
        <f>dataset_A!F714</f>
        <v>0</v>
      </c>
      <c r="D714" s="38">
        <f>dataset_A!H714</f>
        <v>5</v>
      </c>
      <c r="E714" s="38" t="b">
        <f>dataset_A!G714</f>
        <v>0</v>
      </c>
      <c r="F714" s="38" t="b">
        <f>dataset_A!G714</f>
        <v>0</v>
      </c>
      <c r="G714" s="38" t="str">
        <f t="shared" si="1"/>
        <v>Weekday</v>
      </c>
      <c r="H714" s="38" t="str">
        <f t="shared" si="2"/>
        <v>Night</v>
      </c>
      <c r="I714" s="38" t="str">
        <f>IF(dataset_A!C714=1,"Spring",IF(dataset_A!C714=2,"Summer",IF(dataset_A!C714=3,"Fail","Winter")))</f>
        <v>Spring</v>
      </c>
      <c r="J714" s="38" t="str">
        <f>IF(dataset_A!I714=1,"Clear",IF(dataset_A!I714,"Mist/Cloudy",IF(dataset_A!I714=3,"Light Rain/Snow","Heavy Rain/Snow")))</f>
        <v>Mist/Cloudy</v>
      </c>
      <c r="K714" s="38">
        <f>dataset_A!N714</f>
        <v>1</v>
      </c>
      <c r="L714" s="38">
        <f>dataset_A!O714</f>
        <v>20</v>
      </c>
      <c r="M714" s="38">
        <f>dataset_A!P714</f>
        <v>21</v>
      </c>
      <c r="N714" s="38" t="str">
        <f t="shared" si="3"/>
        <v>Ok</v>
      </c>
      <c r="O714" s="38" t="str">
        <f>IF(M714&gt;Analysis!$B$3*1.5,"High",IF(M714&lt;Analysis!$B$3*0.5,"Low","Medium"))</f>
        <v>Low</v>
      </c>
      <c r="P714" s="38" t="str">
        <f>VLOOKUP(dataset_A!C714,$Q$2:$R$5,2,0)</f>
        <v>Spring</v>
      </c>
      <c r="S714" s="38" t="str">
        <f t="array" ref="S714">INDEX($R$2:$R$5,MATCH(dataset_A!C714,$Q$2:$Q$5,0))</f>
        <v>Spring</v>
      </c>
      <c r="T714" s="38" t="str">
        <f t="shared" si="4"/>
        <v>Match</v>
      </c>
    </row>
    <row r="715" ht="12.75" customHeight="1">
      <c r="A715" s="38">
        <f>dataset_A!A715</f>
        <v>525</v>
      </c>
      <c r="B715" s="39">
        <f>dataset_A!B715</f>
        <v>40566</v>
      </c>
      <c r="C715" s="38">
        <f>dataset_A!F715</f>
        <v>23</v>
      </c>
      <c r="D715" s="38">
        <f>dataset_A!H715</f>
        <v>0</v>
      </c>
      <c r="E715" s="38" t="b">
        <f>dataset_A!G715</f>
        <v>0</v>
      </c>
      <c r="F715" s="38" t="b">
        <f>dataset_A!G715</f>
        <v>0</v>
      </c>
      <c r="G715" s="38" t="str">
        <f t="shared" si="1"/>
        <v>Weekend</v>
      </c>
      <c r="H715" s="38" t="str">
        <f t="shared" si="2"/>
        <v>Evening</v>
      </c>
      <c r="I715" s="38" t="str">
        <f>IF(dataset_A!C715=1,"Spring",IF(dataset_A!C715=2,"Summer",IF(dataset_A!C715=3,"Fail","Winter")))</f>
        <v>Spring</v>
      </c>
      <c r="J715" s="38" t="str">
        <f>IF(dataset_A!I715=1,"Clear",IF(dataset_A!I715,"Mist/Cloudy",IF(dataset_A!I715=3,"Light Rain/Snow","Heavy Rain/Snow")))</f>
        <v>Clear</v>
      </c>
      <c r="K715" s="38">
        <f>dataset_A!N715</f>
        <v>4</v>
      </c>
      <c r="L715" s="38">
        <f>dataset_A!O715</f>
        <v>17</v>
      </c>
      <c r="M715" s="38">
        <f>dataset_A!P715</f>
        <v>21</v>
      </c>
      <c r="N715" s="38" t="str">
        <f t="shared" si="3"/>
        <v>Ok</v>
      </c>
      <c r="O715" s="38" t="str">
        <f>IF(M715&gt;Analysis!$B$3*1.5,"High",IF(M715&lt;Analysis!$B$3*0.5,"Low","Medium"))</f>
        <v>Low</v>
      </c>
      <c r="P715" s="38" t="str">
        <f>VLOOKUP(dataset_A!C715,$Q$2:$R$5,2,0)</f>
        <v>Spring</v>
      </c>
      <c r="S715" s="38" t="str">
        <f t="array" ref="S715">INDEX($R$2:$R$5,MATCH(dataset_A!C715,$Q$2:$Q$5,0))</f>
        <v>Spring</v>
      </c>
      <c r="T715" s="38" t="str">
        <f t="shared" si="4"/>
        <v>Match</v>
      </c>
    </row>
    <row r="716" ht="12.75" customHeight="1">
      <c r="A716" s="38">
        <f>dataset_A!A716</f>
        <v>663</v>
      </c>
      <c r="B716" s="39">
        <f>dataset_A!B716</f>
        <v>40573</v>
      </c>
      <c r="C716" s="38">
        <f>dataset_A!F716</f>
        <v>22</v>
      </c>
      <c r="D716" s="38">
        <f>dataset_A!H716</f>
        <v>0</v>
      </c>
      <c r="E716" s="38" t="b">
        <f>dataset_A!G716</f>
        <v>0</v>
      </c>
      <c r="F716" s="38" t="b">
        <f>dataset_A!G716</f>
        <v>0</v>
      </c>
      <c r="G716" s="38" t="str">
        <f t="shared" si="1"/>
        <v>Weekend</v>
      </c>
      <c r="H716" s="38" t="str">
        <f t="shared" si="2"/>
        <v>Evening</v>
      </c>
      <c r="I716" s="38" t="str">
        <f>IF(dataset_A!C716=1,"Spring",IF(dataset_A!C716=2,"Summer",IF(dataset_A!C716=3,"Fail","Winter")))</f>
        <v>Spring</v>
      </c>
      <c r="J716" s="38" t="str">
        <f>IF(dataset_A!I716=1,"Clear",IF(dataset_A!I716,"Mist/Cloudy",IF(dataset_A!I716=3,"Light Rain/Snow","Heavy Rain/Snow")))</f>
        <v>Mist/Cloudy</v>
      </c>
      <c r="K716" s="38">
        <f>dataset_A!N716</f>
        <v>2</v>
      </c>
      <c r="L716" s="38">
        <f>dataset_A!O716</f>
        <v>19</v>
      </c>
      <c r="M716" s="38">
        <f>dataset_A!P716</f>
        <v>21</v>
      </c>
      <c r="N716" s="38" t="str">
        <f t="shared" si="3"/>
        <v>Ok</v>
      </c>
      <c r="O716" s="38" t="str">
        <f>IF(M716&gt;Analysis!$B$3*1.5,"High",IF(M716&lt;Analysis!$B$3*0.5,"Low","Medium"))</f>
        <v>Low</v>
      </c>
      <c r="P716" s="38" t="str">
        <f>VLOOKUP(dataset_A!C716,$Q$2:$R$5,2,0)</f>
        <v>Spring</v>
      </c>
      <c r="S716" s="38" t="str">
        <f t="array" ref="S716">INDEX($R$2:$R$5,MATCH(dataset_A!C716,$Q$2:$Q$5,0))</f>
        <v>Spring</v>
      </c>
      <c r="T716" s="38" t="str">
        <f t="shared" si="4"/>
        <v>Match</v>
      </c>
    </row>
    <row r="717" ht="12.75" customHeight="1">
      <c r="A717" s="38">
        <f>dataset_A!A717</f>
        <v>664</v>
      </c>
      <c r="B717" s="39">
        <f>dataset_A!B717</f>
        <v>40573</v>
      </c>
      <c r="C717" s="38">
        <f>dataset_A!F717</f>
        <v>23</v>
      </c>
      <c r="D717" s="38">
        <f>dataset_A!H717</f>
        <v>0</v>
      </c>
      <c r="E717" s="38" t="b">
        <f>dataset_A!G717</f>
        <v>0</v>
      </c>
      <c r="F717" s="38" t="b">
        <f>dataset_A!G717</f>
        <v>0</v>
      </c>
      <c r="G717" s="38" t="str">
        <f t="shared" si="1"/>
        <v>Weekend</v>
      </c>
      <c r="H717" s="38" t="str">
        <f t="shared" si="2"/>
        <v>Evening</v>
      </c>
      <c r="I717" s="38" t="str">
        <f>IF(dataset_A!C717=1,"Spring",IF(dataset_A!C717=2,"Summer",IF(dataset_A!C717=3,"Fail","Winter")))</f>
        <v>Spring</v>
      </c>
      <c r="J717" s="38" t="str">
        <f>IF(dataset_A!I717=1,"Clear",IF(dataset_A!I717,"Mist/Cloudy",IF(dataset_A!I717=3,"Light Rain/Snow","Heavy Rain/Snow")))</f>
        <v>Mist/Cloudy</v>
      </c>
      <c r="K717" s="38">
        <f>dataset_A!N717</f>
        <v>5</v>
      </c>
      <c r="L717" s="38">
        <f>dataset_A!O717</f>
        <v>16</v>
      </c>
      <c r="M717" s="38">
        <f>dataset_A!P717</f>
        <v>21</v>
      </c>
      <c r="N717" s="38" t="str">
        <f t="shared" si="3"/>
        <v>Ok</v>
      </c>
      <c r="O717" s="38" t="str">
        <f>IF(M717&gt;Analysis!$B$3*1.5,"High",IF(M717&lt;Analysis!$B$3*0.5,"Low","Medium"))</f>
        <v>Low</v>
      </c>
      <c r="P717" s="38" t="str">
        <f>VLOOKUP(dataset_A!C717,$Q$2:$R$5,2,0)</f>
        <v>Spring</v>
      </c>
      <c r="S717" s="38" t="str">
        <f t="array" ref="S717">INDEX($R$2:$R$5,MATCH(dataset_A!C717,$Q$2:$Q$5,0))</f>
        <v>Spring</v>
      </c>
      <c r="T717" s="38" t="str">
        <f t="shared" si="4"/>
        <v>Match</v>
      </c>
    </row>
    <row r="718" ht="12.75" customHeight="1">
      <c r="A718" s="38">
        <f>dataset_A!A718</f>
        <v>825</v>
      </c>
      <c r="B718" s="39">
        <f>dataset_A!B718</f>
        <v>40580</v>
      </c>
      <c r="C718" s="38">
        <f>dataset_A!F718</f>
        <v>19</v>
      </c>
      <c r="D718" s="38">
        <f>dataset_A!H718</f>
        <v>0</v>
      </c>
      <c r="E718" s="38" t="b">
        <f>dataset_A!G718</f>
        <v>0</v>
      </c>
      <c r="F718" s="38" t="b">
        <f>dataset_A!G718</f>
        <v>0</v>
      </c>
      <c r="G718" s="38" t="str">
        <f t="shared" si="1"/>
        <v>Weekend</v>
      </c>
      <c r="H718" s="38" t="str">
        <f t="shared" si="2"/>
        <v>Evening</v>
      </c>
      <c r="I718" s="38" t="str">
        <f>IF(dataset_A!C718=1,"Spring",IF(dataset_A!C718=2,"Summer",IF(dataset_A!C718=3,"Fail","Winter")))</f>
        <v>Spring</v>
      </c>
      <c r="J718" s="38" t="str">
        <f>IF(dataset_A!I718=1,"Clear",IF(dataset_A!I718,"Mist/Cloudy",IF(dataset_A!I718=3,"Light Rain/Snow","Heavy Rain/Snow")))</f>
        <v>Clear</v>
      </c>
      <c r="K718" s="38">
        <f>dataset_A!N718</f>
        <v>1</v>
      </c>
      <c r="L718" s="38">
        <f>dataset_A!O718</f>
        <v>20</v>
      </c>
      <c r="M718" s="38">
        <f>dataset_A!P718</f>
        <v>21</v>
      </c>
      <c r="N718" s="38" t="str">
        <f t="shared" si="3"/>
        <v>Ok</v>
      </c>
      <c r="O718" s="38" t="str">
        <f>IF(M718&gt;Analysis!$B$3*1.5,"High",IF(M718&lt;Analysis!$B$3*0.5,"Low","Medium"))</f>
        <v>Low</v>
      </c>
      <c r="P718" s="38" t="str">
        <f>VLOOKUP(dataset_A!C718,$Q$2:$R$5,2,0)</f>
        <v>Spring</v>
      </c>
      <c r="S718" s="38" t="str">
        <f t="array" ref="S718">INDEX($R$2:$R$5,MATCH(dataset_A!C718,$Q$2:$Q$5,0))</f>
        <v>Spring</v>
      </c>
      <c r="T718" s="38" t="str">
        <f t="shared" si="4"/>
        <v>Match</v>
      </c>
    </row>
    <row r="719" ht="12.75" customHeight="1">
      <c r="A719" s="38">
        <f>dataset_A!A719</f>
        <v>33</v>
      </c>
      <c r="B719" s="39">
        <f>dataset_A!B719</f>
        <v>40545</v>
      </c>
      <c r="C719" s="38">
        <f>dataset_A!F719</f>
        <v>9</v>
      </c>
      <c r="D719" s="38">
        <f>dataset_A!H719</f>
        <v>0</v>
      </c>
      <c r="E719" s="38" t="b">
        <f>dataset_A!G719</f>
        <v>0</v>
      </c>
      <c r="F719" s="38" t="b">
        <f>dataset_A!G719</f>
        <v>0</v>
      </c>
      <c r="G719" s="38" t="str">
        <f t="shared" si="1"/>
        <v>Weekend</v>
      </c>
      <c r="H719" s="38" t="str">
        <f t="shared" si="2"/>
        <v>Morning</v>
      </c>
      <c r="I719" s="38" t="str">
        <f>IF(dataset_A!C719=1,"Spring",IF(dataset_A!C719=2,"Summer",IF(dataset_A!C719=3,"Fail","Winter")))</f>
        <v>Spring</v>
      </c>
      <c r="J719" s="38" t="str">
        <f>IF(dataset_A!I719=1,"Clear",IF(dataset_A!I719,"Mist/Cloudy",IF(dataset_A!I719=3,"Light Rain/Snow","Heavy Rain/Snow")))</f>
        <v>Mist/Cloudy</v>
      </c>
      <c r="K719" s="38">
        <f>dataset_A!N719</f>
        <v>1</v>
      </c>
      <c r="L719" s="38">
        <f>dataset_A!O719</f>
        <v>19</v>
      </c>
      <c r="M719" s="38">
        <f>dataset_A!P719</f>
        <v>20</v>
      </c>
      <c r="N719" s="38" t="str">
        <f t="shared" si="3"/>
        <v>Ok</v>
      </c>
      <c r="O719" s="38" t="str">
        <f>IF(M719&gt;Analysis!$B$3*1.5,"High",IF(M719&lt;Analysis!$B$3*0.5,"Low","Medium"))</f>
        <v>Low</v>
      </c>
      <c r="P719" s="38" t="str">
        <f>VLOOKUP(dataset_A!C719,$Q$2:$R$5,2,0)</f>
        <v>Spring</v>
      </c>
      <c r="S719" s="38" t="str">
        <f t="array" ref="S719">INDEX($R$2:$R$5,MATCH(dataset_A!C719,$Q$2:$Q$5,0))</f>
        <v>Spring</v>
      </c>
      <c r="T719" s="38" t="str">
        <f t="shared" si="4"/>
        <v>Match</v>
      </c>
    </row>
    <row r="720" ht="12.75" customHeight="1">
      <c r="A720" s="38">
        <f>dataset_A!A720</f>
        <v>68</v>
      </c>
      <c r="B720" s="39">
        <f>dataset_A!B720</f>
        <v>40546</v>
      </c>
      <c r="C720" s="38">
        <f>dataset_A!F720</f>
        <v>22</v>
      </c>
      <c r="D720" s="38">
        <f>dataset_A!H720</f>
        <v>1</v>
      </c>
      <c r="E720" s="38" t="b">
        <f>dataset_A!G720</f>
        <v>0</v>
      </c>
      <c r="F720" s="38" t="b">
        <f>dataset_A!G720</f>
        <v>0</v>
      </c>
      <c r="G720" s="38" t="str">
        <f t="shared" si="1"/>
        <v>Weekday</v>
      </c>
      <c r="H720" s="38" t="str">
        <f t="shared" si="2"/>
        <v>Evening</v>
      </c>
      <c r="I720" s="38" t="str">
        <f>IF(dataset_A!C720=1,"Spring",IF(dataset_A!C720=2,"Summer",IF(dataset_A!C720=3,"Fail","Winter")))</f>
        <v>Spring</v>
      </c>
      <c r="J720" s="38" t="str">
        <f>IF(dataset_A!I720=1,"Clear",IF(dataset_A!I720,"Mist/Cloudy",IF(dataset_A!I720=3,"Light Rain/Snow","Heavy Rain/Snow")))</f>
        <v>Clear</v>
      </c>
      <c r="K720" s="38">
        <f>dataset_A!N720</f>
        <v>0</v>
      </c>
      <c r="L720" s="38">
        <f>dataset_A!O720</f>
        <v>20</v>
      </c>
      <c r="M720" s="38">
        <f>dataset_A!P720</f>
        <v>20</v>
      </c>
      <c r="N720" s="38" t="str">
        <f t="shared" si="3"/>
        <v>Ok</v>
      </c>
      <c r="O720" s="38" t="str">
        <f>IF(M720&gt;Analysis!$B$3*1.5,"High",IF(M720&lt;Analysis!$B$3*0.5,"Low","Medium"))</f>
        <v>Low</v>
      </c>
      <c r="P720" s="38" t="str">
        <f>VLOOKUP(dataset_A!C720,$Q$2:$R$5,2,0)</f>
        <v>Spring</v>
      </c>
      <c r="S720" s="38" t="str">
        <f t="array" ref="S720">INDEX($R$2:$R$5,MATCH(dataset_A!C720,$Q$2:$Q$5,0))</f>
        <v>Spring</v>
      </c>
      <c r="T720" s="38" t="str">
        <f t="shared" si="4"/>
        <v>Match</v>
      </c>
    </row>
    <row r="721" ht="12.75" customHeight="1">
      <c r="A721" s="38">
        <f>dataset_A!A721</f>
        <v>171</v>
      </c>
      <c r="B721" s="39">
        <f>dataset_A!B721</f>
        <v>40551</v>
      </c>
      <c r="C721" s="38">
        <f>dataset_A!F721</f>
        <v>9</v>
      </c>
      <c r="D721" s="38">
        <f>dataset_A!H721</f>
        <v>6</v>
      </c>
      <c r="E721" s="38" t="b">
        <f>dataset_A!G721</f>
        <v>0</v>
      </c>
      <c r="F721" s="38" t="b">
        <f>dataset_A!G721</f>
        <v>0</v>
      </c>
      <c r="G721" s="38" t="str">
        <f t="shared" si="1"/>
        <v>Weekend</v>
      </c>
      <c r="H721" s="38" t="str">
        <f t="shared" si="2"/>
        <v>Morning</v>
      </c>
      <c r="I721" s="38" t="str">
        <f>IF(dataset_A!C721=1,"Spring",IF(dataset_A!C721=2,"Summer",IF(dataset_A!C721=3,"Fail","Winter")))</f>
        <v>Spring</v>
      </c>
      <c r="J721" s="38" t="str">
        <f>IF(dataset_A!I721=1,"Clear",IF(dataset_A!I721,"Mist/Cloudy",IF(dataset_A!I721=3,"Light Rain/Snow","Heavy Rain/Snow")))</f>
        <v>Mist/Cloudy</v>
      </c>
      <c r="K721" s="38">
        <f>dataset_A!N721</f>
        <v>0</v>
      </c>
      <c r="L721" s="38">
        <f>dataset_A!O721</f>
        <v>20</v>
      </c>
      <c r="M721" s="38">
        <f>dataset_A!P721</f>
        <v>20</v>
      </c>
      <c r="N721" s="38" t="str">
        <f t="shared" si="3"/>
        <v>Ok</v>
      </c>
      <c r="O721" s="38" t="str">
        <f>IF(M721&gt;Analysis!$B$3*1.5,"High",IF(M721&lt;Analysis!$B$3*0.5,"Low","Medium"))</f>
        <v>Low</v>
      </c>
      <c r="P721" s="38" t="str">
        <f>VLOOKUP(dataset_A!C721,$Q$2:$R$5,2,0)</f>
        <v>Spring</v>
      </c>
      <c r="S721" s="38" t="str">
        <f t="array" ref="S721">INDEX($R$2:$R$5,MATCH(dataset_A!C721,$Q$2:$Q$5,0))</f>
        <v>Spring</v>
      </c>
      <c r="T721" s="38" t="str">
        <f t="shared" si="4"/>
        <v>Match</v>
      </c>
    </row>
    <row r="722" ht="12.75" customHeight="1">
      <c r="A722" s="38">
        <f>dataset_A!A722</f>
        <v>207</v>
      </c>
      <c r="B722" s="39">
        <f>dataset_A!B722</f>
        <v>40552</v>
      </c>
      <c r="C722" s="38">
        <f>dataset_A!F722</f>
        <v>21</v>
      </c>
      <c r="D722" s="38">
        <f>dataset_A!H722</f>
        <v>0</v>
      </c>
      <c r="E722" s="38" t="b">
        <f>dataset_A!G722</f>
        <v>0</v>
      </c>
      <c r="F722" s="38" t="b">
        <f>dataset_A!G722</f>
        <v>0</v>
      </c>
      <c r="G722" s="38" t="str">
        <f t="shared" si="1"/>
        <v>Weekend</v>
      </c>
      <c r="H722" s="38" t="str">
        <f t="shared" si="2"/>
        <v>Evening</v>
      </c>
      <c r="I722" s="38" t="str">
        <f>IF(dataset_A!C722=1,"Spring",IF(dataset_A!C722=2,"Summer",IF(dataset_A!C722=3,"Fail","Winter")))</f>
        <v>Spring</v>
      </c>
      <c r="J722" s="38" t="str">
        <f>IF(dataset_A!I722=1,"Clear",IF(dataset_A!I722,"Mist/Cloudy",IF(dataset_A!I722=3,"Light Rain/Snow","Heavy Rain/Snow")))</f>
        <v>Clear</v>
      </c>
      <c r="K722" s="38">
        <f>dataset_A!N722</f>
        <v>1</v>
      </c>
      <c r="L722" s="38">
        <f>dataset_A!O722</f>
        <v>19</v>
      </c>
      <c r="M722" s="38">
        <f>dataset_A!P722</f>
        <v>20</v>
      </c>
      <c r="N722" s="38" t="str">
        <f t="shared" si="3"/>
        <v>Ok</v>
      </c>
      <c r="O722" s="38" t="str">
        <f>IF(M722&gt;Analysis!$B$3*1.5,"High",IF(M722&lt;Analysis!$B$3*0.5,"Low","Medium"))</f>
        <v>Low</v>
      </c>
      <c r="P722" s="38" t="str">
        <f>VLOOKUP(dataset_A!C722,$Q$2:$R$5,2,0)</f>
        <v>Spring</v>
      </c>
      <c r="S722" s="38" t="str">
        <f t="array" ref="S722">INDEX($R$2:$R$5,MATCH(dataset_A!C722,$Q$2:$Q$5,0))</f>
        <v>Spring</v>
      </c>
      <c r="T722" s="38" t="str">
        <f t="shared" si="4"/>
        <v>Match</v>
      </c>
    </row>
    <row r="723" ht="12.75" customHeight="1">
      <c r="A723" s="38">
        <f>dataset_A!A723</f>
        <v>253</v>
      </c>
      <c r="B723" s="39">
        <f>dataset_A!B723</f>
        <v>40554</v>
      </c>
      <c r="C723" s="38">
        <f>dataset_A!F723</f>
        <v>21</v>
      </c>
      <c r="D723" s="38">
        <f>dataset_A!H723</f>
        <v>2</v>
      </c>
      <c r="E723" s="38" t="b">
        <f>dataset_A!G723</f>
        <v>0</v>
      </c>
      <c r="F723" s="38" t="b">
        <f>dataset_A!G723</f>
        <v>0</v>
      </c>
      <c r="G723" s="38" t="str">
        <f t="shared" si="1"/>
        <v>Weekday</v>
      </c>
      <c r="H723" s="38" t="str">
        <f t="shared" si="2"/>
        <v>Evening</v>
      </c>
      <c r="I723" s="38" t="str">
        <f>IF(dataset_A!C723=1,"Spring",IF(dataset_A!C723=2,"Summer",IF(dataset_A!C723=3,"Fail","Winter")))</f>
        <v>Spring</v>
      </c>
      <c r="J723" s="38" t="str">
        <f>IF(dataset_A!I723=1,"Clear",IF(dataset_A!I723,"Mist/Cloudy",IF(dataset_A!I723=3,"Light Rain/Snow","Heavy Rain/Snow")))</f>
        <v>Mist/Cloudy</v>
      </c>
      <c r="K723" s="38">
        <f>dataset_A!N723</f>
        <v>0</v>
      </c>
      <c r="L723" s="38">
        <f>dataset_A!O723</f>
        <v>20</v>
      </c>
      <c r="M723" s="38">
        <f>dataset_A!P723</f>
        <v>20</v>
      </c>
      <c r="N723" s="38" t="str">
        <f t="shared" si="3"/>
        <v>Ok</v>
      </c>
      <c r="O723" s="38" t="str">
        <f>IF(M723&gt;Analysis!$B$3*1.5,"High",IF(M723&lt;Analysis!$B$3*0.5,"Low","Medium"))</f>
        <v>Low</v>
      </c>
      <c r="P723" s="38" t="str">
        <f>VLOOKUP(dataset_A!C723,$Q$2:$R$5,2,0)</f>
        <v>Spring</v>
      </c>
      <c r="S723" s="38" t="str">
        <f t="array" ref="S723">INDEX($R$2:$R$5,MATCH(dataset_A!C723,$Q$2:$Q$5,0))</f>
        <v>Spring</v>
      </c>
      <c r="T723" s="38" t="str">
        <f t="shared" si="4"/>
        <v>Match</v>
      </c>
    </row>
    <row r="724" ht="12.75" customHeight="1">
      <c r="A724" s="38">
        <f>dataset_A!A724</f>
        <v>277</v>
      </c>
      <c r="B724" s="39">
        <f>dataset_A!B724</f>
        <v>40555</v>
      </c>
      <c r="C724" s="38">
        <f>dataset_A!F724</f>
        <v>23</v>
      </c>
      <c r="D724" s="38">
        <f>dataset_A!H724</f>
        <v>3</v>
      </c>
      <c r="E724" s="38" t="b">
        <f>dataset_A!G724</f>
        <v>0</v>
      </c>
      <c r="F724" s="38" t="b">
        <f>dataset_A!G724</f>
        <v>0</v>
      </c>
      <c r="G724" s="38" t="str">
        <f t="shared" si="1"/>
        <v>Weekday</v>
      </c>
      <c r="H724" s="38" t="str">
        <f t="shared" si="2"/>
        <v>Evening</v>
      </c>
      <c r="I724" s="38" t="str">
        <f>IF(dataset_A!C724=1,"Spring",IF(dataset_A!C724=2,"Summer",IF(dataset_A!C724=3,"Fail","Winter")))</f>
        <v>Spring</v>
      </c>
      <c r="J724" s="38" t="str">
        <f>IF(dataset_A!I724=1,"Clear",IF(dataset_A!I724,"Mist/Cloudy",IF(dataset_A!I724=3,"Light Rain/Snow","Heavy Rain/Snow")))</f>
        <v>Clear</v>
      </c>
      <c r="K724" s="38">
        <f>dataset_A!N724</f>
        <v>1</v>
      </c>
      <c r="L724" s="38">
        <f>dataset_A!O724</f>
        <v>19</v>
      </c>
      <c r="M724" s="38">
        <f>dataset_A!P724</f>
        <v>20</v>
      </c>
      <c r="N724" s="38" t="str">
        <f t="shared" si="3"/>
        <v>Ok</v>
      </c>
      <c r="O724" s="38" t="str">
        <f>IF(M724&gt;Analysis!$B$3*1.5,"High",IF(M724&lt;Analysis!$B$3*0.5,"Low","Medium"))</f>
        <v>Low</v>
      </c>
      <c r="P724" s="38" t="str">
        <f>VLOOKUP(dataset_A!C724,$Q$2:$R$5,2,0)</f>
        <v>Spring</v>
      </c>
      <c r="S724" s="38" t="str">
        <f t="array" ref="S724">INDEX($R$2:$R$5,MATCH(dataset_A!C724,$Q$2:$Q$5,0))</f>
        <v>Spring</v>
      </c>
      <c r="T724" s="38" t="str">
        <f t="shared" si="4"/>
        <v>Match</v>
      </c>
    </row>
    <row r="725" ht="12.75" customHeight="1">
      <c r="A725" s="38">
        <f>dataset_A!A725</f>
        <v>326</v>
      </c>
      <c r="B725" s="39">
        <f>dataset_A!B725</f>
        <v>40558</v>
      </c>
      <c r="C725" s="38">
        <f>dataset_A!F725</f>
        <v>1</v>
      </c>
      <c r="D725" s="38">
        <f>dataset_A!H725</f>
        <v>6</v>
      </c>
      <c r="E725" s="38" t="b">
        <f>dataset_A!G725</f>
        <v>0</v>
      </c>
      <c r="F725" s="38" t="b">
        <f>dataset_A!G725</f>
        <v>0</v>
      </c>
      <c r="G725" s="38" t="str">
        <f t="shared" si="1"/>
        <v>Weekend</v>
      </c>
      <c r="H725" s="38" t="str">
        <f t="shared" si="2"/>
        <v>Night</v>
      </c>
      <c r="I725" s="38" t="str">
        <f>IF(dataset_A!C725=1,"Spring",IF(dataset_A!C725=2,"Summer",IF(dataset_A!C725=3,"Fail","Winter")))</f>
        <v>Spring</v>
      </c>
      <c r="J725" s="38" t="str">
        <f>IF(dataset_A!I725=1,"Clear",IF(dataset_A!I725,"Mist/Cloudy",IF(dataset_A!I725=3,"Light Rain/Snow","Heavy Rain/Snow")))</f>
        <v>Mist/Cloudy</v>
      </c>
      <c r="K725" s="38">
        <f>dataset_A!N725</f>
        <v>2</v>
      </c>
      <c r="L725" s="38">
        <f>dataset_A!O725</f>
        <v>18</v>
      </c>
      <c r="M725" s="38">
        <f>dataset_A!P725</f>
        <v>20</v>
      </c>
      <c r="N725" s="38" t="str">
        <f t="shared" si="3"/>
        <v>Ok</v>
      </c>
      <c r="O725" s="38" t="str">
        <f>IF(M725&gt;Analysis!$B$3*1.5,"High",IF(M725&lt;Analysis!$B$3*0.5,"Low","Medium"))</f>
        <v>Low</v>
      </c>
      <c r="P725" s="38" t="str">
        <f>VLOOKUP(dataset_A!C725,$Q$2:$R$5,2,0)</f>
        <v>Spring</v>
      </c>
      <c r="S725" s="38" t="str">
        <f t="array" ref="S725">INDEX($R$2:$R$5,MATCH(dataset_A!C725,$Q$2:$Q$5,0))</f>
        <v>Spring</v>
      </c>
      <c r="T725" s="38" t="str">
        <f t="shared" si="4"/>
        <v>Match</v>
      </c>
    </row>
    <row r="726" ht="12.75" customHeight="1">
      <c r="A726" s="38">
        <f>dataset_A!A726</f>
        <v>408</v>
      </c>
      <c r="B726" s="39">
        <f>dataset_A!B726</f>
        <v>40561</v>
      </c>
      <c r="C726" s="38">
        <f>dataset_A!F726</f>
        <v>23</v>
      </c>
      <c r="D726" s="38">
        <f>dataset_A!H726</f>
        <v>2</v>
      </c>
      <c r="E726" s="38" t="b">
        <f>dataset_A!G726</f>
        <v>0</v>
      </c>
      <c r="F726" s="38" t="b">
        <f>dataset_A!G726</f>
        <v>0</v>
      </c>
      <c r="G726" s="38" t="str">
        <f t="shared" si="1"/>
        <v>Weekday</v>
      </c>
      <c r="H726" s="38" t="str">
        <f t="shared" si="2"/>
        <v>Evening</v>
      </c>
      <c r="I726" s="38" t="str">
        <f>IF(dataset_A!C726=1,"Spring",IF(dataset_A!C726=2,"Summer",IF(dataset_A!C726=3,"Fail","Winter")))</f>
        <v>Spring</v>
      </c>
      <c r="J726" s="38" t="str">
        <f>IF(dataset_A!I726=1,"Clear",IF(dataset_A!I726,"Mist/Cloudy",IF(dataset_A!I726=3,"Light Rain/Snow","Heavy Rain/Snow")))</f>
        <v>Mist/Cloudy</v>
      </c>
      <c r="K726" s="38">
        <f>dataset_A!N726</f>
        <v>1</v>
      </c>
      <c r="L726" s="38">
        <f>dataset_A!O726</f>
        <v>19</v>
      </c>
      <c r="M726" s="38">
        <f>dataset_A!P726</f>
        <v>20</v>
      </c>
      <c r="N726" s="38" t="str">
        <f t="shared" si="3"/>
        <v>Ok</v>
      </c>
      <c r="O726" s="38" t="str">
        <f>IF(M726&gt;Analysis!$B$3*1.5,"High",IF(M726&lt;Analysis!$B$3*0.5,"Low","Medium"))</f>
        <v>Low</v>
      </c>
      <c r="P726" s="38" t="str">
        <f>VLOOKUP(dataset_A!C726,$Q$2:$R$5,2,0)</f>
        <v>Spring</v>
      </c>
      <c r="S726" s="38" t="str">
        <f t="array" ref="S726">INDEX($R$2:$R$5,MATCH(dataset_A!C726,$Q$2:$Q$5,0))</f>
        <v>Spring</v>
      </c>
      <c r="T726" s="38" t="str">
        <f t="shared" si="4"/>
        <v>Match</v>
      </c>
    </row>
    <row r="727" ht="12.75" customHeight="1">
      <c r="A727" s="38">
        <f>dataset_A!A727</f>
        <v>620</v>
      </c>
      <c r="B727" s="39">
        <f>dataset_A!B727</f>
        <v>40572</v>
      </c>
      <c r="C727" s="38">
        <f>dataset_A!F727</f>
        <v>1</v>
      </c>
      <c r="D727" s="38">
        <f>dataset_A!H727</f>
        <v>6</v>
      </c>
      <c r="E727" s="38" t="b">
        <f>dataset_A!G727</f>
        <v>0</v>
      </c>
      <c r="F727" s="38" t="b">
        <f>dataset_A!G727</f>
        <v>0</v>
      </c>
      <c r="G727" s="38" t="str">
        <f t="shared" si="1"/>
        <v>Weekend</v>
      </c>
      <c r="H727" s="38" t="str">
        <f t="shared" si="2"/>
        <v>Night</v>
      </c>
      <c r="I727" s="38" t="str">
        <f>IF(dataset_A!C727=1,"Spring",IF(dataset_A!C727=2,"Summer",IF(dataset_A!C727=3,"Fail","Winter")))</f>
        <v>Spring</v>
      </c>
      <c r="J727" s="38" t="str">
        <f>IF(dataset_A!I727=1,"Clear",IF(dataset_A!I727,"Mist/Cloudy",IF(dataset_A!I727=3,"Light Rain/Snow","Heavy Rain/Snow")))</f>
        <v>Clear</v>
      </c>
      <c r="K727" s="38">
        <f>dataset_A!N727</f>
        <v>0</v>
      </c>
      <c r="L727" s="38">
        <f>dataset_A!O727</f>
        <v>20</v>
      </c>
      <c r="M727" s="38">
        <f>dataset_A!P727</f>
        <v>20</v>
      </c>
      <c r="N727" s="38" t="str">
        <f t="shared" si="3"/>
        <v>Ok</v>
      </c>
      <c r="O727" s="38" t="str">
        <f>IF(M727&gt;Analysis!$B$3*1.5,"High",IF(M727&lt;Analysis!$B$3*0.5,"Low","Medium"))</f>
        <v>Low</v>
      </c>
      <c r="P727" s="38" t="str">
        <f>VLOOKUP(dataset_A!C727,$Q$2:$R$5,2,0)</f>
        <v>Spring</v>
      </c>
      <c r="S727" s="38" t="str">
        <f t="array" ref="S727">INDEX($R$2:$R$5,MATCH(dataset_A!C727,$Q$2:$Q$5,0))</f>
        <v>Spring</v>
      </c>
      <c r="T727" s="38" t="str">
        <f t="shared" si="4"/>
        <v>Match</v>
      </c>
    </row>
    <row r="728" ht="12.75" customHeight="1">
      <c r="A728" s="38">
        <f>dataset_A!A728</f>
        <v>791</v>
      </c>
      <c r="B728" s="39">
        <f>dataset_A!B728</f>
        <v>40579</v>
      </c>
      <c r="C728" s="38">
        <f>dataset_A!F728</f>
        <v>9</v>
      </c>
      <c r="D728" s="38">
        <f>dataset_A!H728</f>
        <v>6</v>
      </c>
      <c r="E728" s="38" t="b">
        <f>dataset_A!G728</f>
        <v>0</v>
      </c>
      <c r="F728" s="38" t="b">
        <f>dataset_A!G728</f>
        <v>0</v>
      </c>
      <c r="G728" s="38" t="str">
        <f t="shared" si="1"/>
        <v>Weekend</v>
      </c>
      <c r="H728" s="38" t="str">
        <f t="shared" si="2"/>
        <v>Morning</v>
      </c>
      <c r="I728" s="38" t="str">
        <f>IF(dataset_A!C728=1,"Spring",IF(dataset_A!C728=2,"Summer",IF(dataset_A!C728=3,"Fail","Winter")))</f>
        <v>Spring</v>
      </c>
      <c r="J728" s="38" t="str">
        <f>IF(dataset_A!I728=1,"Clear",IF(dataset_A!I728,"Mist/Cloudy",IF(dataset_A!I728=3,"Light Rain/Snow","Heavy Rain/Snow")))</f>
        <v>Mist/Cloudy</v>
      </c>
      <c r="K728" s="38">
        <f>dataset_A!N728</f>
        <v>3</v>
      </c>
      <c r="L728" s="38">
        <f>dataset_A!O728</f>
        <v>17</v>
      </c>
      <c r="M728" s="38">
        <f>dataset_A!P728</f>
        <v>20</v>
      </c>
      <c r="N728" s="38" t="str">
        <f t="shared" si="3"/>
        <v>Ok</v>
      </c>
      <c r="O728" s="38" t="str">
        <f>IF(M728&gt;Analysis!$B$3*1.5,"High",IF(M728&lt;Analysis!$B$3*0.5,"Low","Medium"))</f>
        <v>Low</v>
      </c>
      <c r="P728" s="38" t="str">
        <f>VLOOKUP(dataset_A!C728,$Q$2:$R$5,2,0)</f>
        <v>Spring</v>
      </c>
      <c r="S728" s="38" t="str">
        <f t="array" ref="S728">INDEX($R$2:$R$5,MATCH(dataset_A!C728,$Q$2:$Q$5,0))</f>
        <v>Spring</v>
      </c>
      <c r="T728" s="38" t="str">
        <f t="shared" si="4"/>
        <v>Match</v>
      </c>
    </row>
    <row r="729" ht="12.75" customHeight="1">
      <c r="A729" s="38">
        <f>dataset_A!A729</f>
        <v>808</v>
      </c>
      <c r="B729" s="39">
        <f>dataset_A!B729</f>
        <v>40580</v>
      </c>
      <c r="C729" s="38">
        <f>dataset_A!F729</f>
        <v>2</v>
      </c>
      <c r="D729" s="38">
        <f>dataset_A!H729</f>
        <v>0</v>
      </c>
      <c r="E729" s="38" t="b">
        <f>dataset_A!G729</f>
        <v>0</v>
      </c>
      <c r="F729" s="38" t="b">
        <f>dataset_A!G729</f>
        <v>0</v>
      </c>
      <c r="G729" s="38" t="str">
        <f t="shared" si="1"/>
        <v>Weekend</v>
      </c>
      <c r="H729" s="38" t="str">
        <f t="shared" si="2"/>
        <v>Night</v>
      </c>
      <c r="I729" s="38" t="str">
        <f>IF(dataset_A!C729=1,"Spring",IF(dataset_A!C729=2,"Summer",IF(dataset_A!C729=3,"Fail","Winter")))</f>
        <v>Spring</v>
      </c>
      <c r="J729" s="38" t="str">
        <f>IF(dataset_A!I729=1,"Clear",IF(dataset_A!I729,"Mist/Cloudy",IF(dataset_A!I729=3,"Light Rain/Snow","Heavy Rain/Snow")))</f>
        <v>Clear</v>
      </c>
      <c r="K729" s="38">
        <f>dataset_A!N729</f>
        <v>0</v>
      </c>
      <c r="L729" s="38">
        <f>dataset_A!O729</f>
        <v>20</v>
      </c>
      <c r="M729" s="38">
        <f>dataset_A!P729</f>
        <v>20</v>
      </c>
      <c r="N729" s="38" t="str">
        <f t="shared" si="3"/>
        <v>Ok</v>
      </c>
      <c r="O729" s="38" t="str">
        <f>IF(M729&gt;Analysis!$B$3*1.5,"High",IF(M729&lt;Analysis!$B$3*0.5,"Low","Medium"))</f>
        <v>Low</v>
      </c>
      <c r="P729" s="38" t="str">
        <f>VLOOKUP(dataset_A!C729,$Q$2:$R$5,2,0)</f>
        <v>Spring</v>
      </c>
      <c r="S729" s="38" t="str">
        <f t="array" ref="S729">INDEX($R$2:$R$5,MATCH(dataset_A!C729,$Q$2:$Q$5,0))</f>
        <v>Spring</v>
      </c>
      <c r="T729" s="38" t="str">
        <f t="shared" si="4"/>
        <v>Match</v>
      </c>
    </row>
    <row r="730" ht="12.75" customHeight="1">
      <c r="A730" s="38">
        <f>dataset_A!A730</f>
        <v>972</v>
      </c>
      <c r="B730" s="39">
        <f>dataset_A!B730</f>
        <v>40587</v>
      </c>
      <c r="C730" s="38">
        <f>dataset_A!F730</f>
        <v>2</v>
      </c>
      <c r="D730" s="38">
        <f>dataset_A!H730</f>
        <v>0</v>
      </c>
      <c r="E730" s="38" t="b">
        <f>dataset_A!G730</f>
        <v>0</v>
      </c>
      <c r="F730" s="38" t="b">
        <f>dataset_A!G730</f>
        <v>0</v>
      </c>
      <c r="G730" s="38" t="str">
        <f t="shared" si="1"/>
        <v>Weekend</v>
      </c>
      <c r="H730" s="38" t="str">
        <f t="shared" si="2"/>
        <v>Night</v>
      </c>
      <c r="I730" s="38" t="str">
        <f>IF(dataset_A!C730=1,"Spring",IF(dataset_A!C730=2,"Summer",IF(dataset_A!C730=3,"Fail","Winter")))</f>
        <v>Spring</v>
      </c>
      <c r="J730" s="38" t="str">
        <f>IF(dataset_A!I730=1,"Clear",IF(dataset_A!I730,"Mist/Cloudy",IF(dataset_A!I730=3,"Light Rain/Snow","Heavy Rain/Snow")))</f>
        <v>Mist/Cloudy</v>
      </c>
      <c r="K730" s="38">
        <f>dataset_A!N730</f>
        <v>1</v>
      </c>
      <c r="L730" s="38">
        <f>dataset_A!O730</f>
        <v>19</v>
      </c>
      <c r="M730" s="38">
        <f>dataset_A!P730</f>
        <v>20</v>
      </c>
      <c r="N730" s="38" t="str">
        <f t="shared" si="3"/>
        <v>Ok</v>
      </c>
      <c r="O730" s="38" t="str">
        <f>IF(M730&gt;Analysis!$B$3*1.5,"High",IF(M730&lt;Analysis!$B$3*0.5,"Low","Medium"))</f>
        <v>Low</v>
      </c>
      <c r="P730" s="38" t="str">
        <f>VLOOKUP(dataset_A!C730,$Q$2:$R$5,2,0)</f>
        <v>Spring</v>
      </c>
      <c r="S730" s="38" t="str">
        <f t="array" ref="S730">INDEX($R$2:$R$5,MATCH(dataset_A!C730,$Q$2:$Q$5,0))</f>
        <v>Spring</v>
      </c>
      <c r="T730" s="38" t="str">
        <f t="shared" si="4"/>
        <v>Match</v>
      </c>
    </row>
    <row r="731" ht="12.75" customHeight="1">
      <c r="A731" s="38">
        <f>dataset_A!A731</f>
        <v>115</v>
      </c>
      <c r="B731" s="39">
        <f>dataset_A!B731</f>
        <v>40548</v>
      </c>
      <c r="C731" s="38">
        <f>dataset_A!F731</f>
        <v>23</v>
      </c>
      <c r="D731" s="38">
        <f>dataset_A!H731</f>
        <v>3</v>
      </c>
      <c r="E731" s="38" t="b">
        <f>dataset_A!G731</f>
        <v>0</v>
      </c>
      <c r="F731" s="38" t="b">
        <f>dataset_A!G731</f>
        <v>0</v>
      </c>
      <c r="G731" s="38" t="str">
        <f t="shared" si="1"/>
        <v>Weekday</v>
      </c>
      <c r="H731" s="38" t="str">
        <f t="shared" si="2"/>
        <v>Evening</v>
      </c>
      <c r="I731" s="38" t="str">
        <f>IF(dataset_A!C731=1,"Spring",IF(dataset_A!C731=2,"Summer",IF(dataset_A!C731=3,"Fail","Winter")))</f>
        <v>Spring</v>
      </c>
      <c r="J731" s="38" t="str">
        <f>IF(dataset_A!I731=1,"Clear",IF(dataset_A!I731,"Mist/Cloudy",IF(dataset_A!I731=3,"Light Rain/Snow","Heavy Rain/Snow")))</f>
        <v>Clear</v>
      </c>
      <c r="K731" s="38">
        <f>dataset_A!N731</f>
        <v>1</v>
      </c>
      <c r="L731" s="38">
        <f>dataset_A!O731</f>
        <v>18</v>
      </c>
      <c r="M731" s="38">
        <f>dataset_A!P731</f>
        <v>19</v>
      </c>
      <c r="N731" s="38" t="str">
        <f t="shared" si="3"/>
        <v>Ok</v>
      </c>
      <c r="O731" s="38" t="str">
        <f>IF(M731&gt;Analysis!$B$3*1.5,"High",IF(M731&lt;Analysis!$B$3*0.5,"Low","Medium"))</f>
        <v>Low</v>
      </c>
      <c r="P731" s="38" t="str">
        <f>VLOOKUP(dataset_A!C731,$Q$2:$R$5,2,0)</f>
        <v>Spring</v>
      </c>
      <c r="S731" s="38" t="str">
        <f t="array" ref="S731">INDEX($R$2:$R$5,MATCH(dataset_A!C731,$Q$2:$Q$5,0))</f>
        <v>Spring</v>
      </c>
      <c r="T731" s="38" t="str">
        <f t="shared" si="4"/>
        <v>Match</v>
      </c>
    </row>
    <row r="732" ht="12.75" customHeight="1">
      <c r="A732" s="38">
        <f>dataset_A!A732</f>
        <v>195</v>
      </c>
      <c r="B732" s="39">
        <f>dataset_A!B732</f>
        <v>40552</v>
      </c>
      <c r="C732" s="38">
        <f>dataset_A!F732</f>
        <v>9</v>
      </c>
      <c r="D732" s="38">
        <f>dataset_A!H732</f>
        <v>0</v>
      </c>
      <c r="E732" s="38" t="b">
        <f>dataset_A!G732</f>
        <v>0</v>
      </c>
      <c r="F732" s="38" t="b">
        <f>dataset_A!G732</f>
        <v>0</v>
      </c>
      <c r="G732" s="38" t="str">
        <f t="shared" si="1"/>
        <v>Weekend</v>
      </c>
      <c r="H732" s="38" t="str">
        <f t="shared" si="2"/>
        <v>Morning</v>
      </c>
      <c r="I732" s="38" t="str">
        <f>IF(dataset_A!C732=1,"Spring",IF(dataset_A!C732=2,"Summer",IF(dataset_A!C732=3,"Fail","Winter")))</f>
        <v>Spring</v>
      </c>
      <c r="J732" s="38" t="str">
        <f>IF(dataset_A!I732=1,"Clear",IF(dataset_A!I732,"Mist/Cloudy",IF(dataset_A!I732=3,"Light Rain/Snow","Heavy Rain/Snow")))</f>
        <v>Clear</v>
      </c>
      <c r="K732" s="38">
        <f>dataset_A!N732</f>
        <v>0</v>
      </c>
      <c r="L732" s="38">
        <f>dataset_A!O732</f>
        <v>19</v>
      </c>
      <c r="M732" s="38">
        <f>dataset_A!P732</f>
        <v>19</v>
      </c>
      <c r="N732" s="38" t="str">
        <f t="shared" si="3"/>
        <v>Ok</v>
      </c>
      <c r="O732" s="38" t="str">
        <f>IF(M732&gt;Analysis!$B$3*1.5,"High",IF(M732&lt;Analysis!$B$3*0.5,"Low","Medium"))</f>
        <v>Low</v>
      </c>
      <c r="P732" s="38" t="str">
        <f>VLOOKUP(dataset_A!C732,$Q$2:$R$5,2,0)</f>
        <v>Spring</v>
      </c>
      <c r="S732" s="38" t="str">
        <f t="array" ref="S732">INDEX($R$2:$R$5,MATCH(dataset_A!C732,$Q$2:$Q$5,0))</f>
        <v>Spring</v>
      </c>
      <c r="T732" s="38" t="str">
        <f t="shared" si="4"/>
        <v>Match</v>
      </c>
    </row>
    <row r="733" ht="12.75" customHeight="1">
      <c r="A733" s="38">
        <f>dataset_A!A733</f>
        <v>255</v>
      </c>
      <c r="B733" s="39">
        <f>dataset_A!B733</f>
        <v>40554</v>
      </c>
      <c r="C733" s="38">
        <f>dataset_A!F733</f>
        <v>23</v>
      </c>
      <c r="D733" s="38">
        <f>dataset_A!H733</f>
        <v>2</v>
      </c>
      <c r="E733" s="38" t="b">
        <f>dataset_A!G733</f>
        <v>0</v>
      </c>
      <c r="F733" s="38" t="b">
        <f>dataset_A!G733</f>
        <v>0</v>
      </c>
      <c r="G733" s="38" t="str">
        <f t="shared" si="1"/>
        <v>Weekday</v>
      </c>
      <c r="H733" s="38" t="str">
        <f t="shared" si="2"/>
        <v>Evening</v>
      </c>
      <c r="I733" s="38" t="str">
        <f>IF(dataset_A!C733=1,"Spring",IF(dataset_A!C733=2,"Summer",IF(dataset_A!C733=3,"Fail","Winter")))</f>
        <v>Spring</v>
      </c>
      <c r="J733" s="38" t="str">
        <f>IF(dataset_A!I733=1,"Clear",IF(dataset_A!I733,"Mist/Cloudy",IF(dataset_A!I733=3,"Light Rain/Snow","Heavy Rain/Snow")))</f>
        <v>Mist/Cloudy</v>
      </c>
      <c r="K733" s="38">
        <f>dataset_A!N733</f>
        <v>1</v>
      </c>
      <c r="L733" s="38">
        <f>dataset_A!O733</f>
        <v>18</v>
      </c>
      <c r="M733" s="38">
        <f>dataset_A!P733</f>
        <v>19</v>
      </c>
      <c r="N733" s="38" t="str">
        <f t="shared" si="3"/>
        <v>Ok</v>
      </c>
      <c r="O733" s="38" t="str">
        <f>IF(M733&gt;Analysis!$B$3*1.5,"High",IF(M733&lt;Analysis!$B$3*0.5,"Low","Medium"))</f>
        <v>Low</v>
      </c>
      <c r="P733" s="38" t="str">
        <f>VLOOKUP(dataset_A!C733,$Q$2:$R$5,2,0)</f>
        <v>Spring</v>
      </c>
      <c r="S733" s="38" t="str">
        <f t="array" ref="S733">INDEX($R$2:$R$5,MATCH(dataset_A!C733,$Q$2:$Q$5,0))</f>
        <v>Spring</v>
      </c>
      <c r="T733" s="38" t="str">
        <f t="shared" si="4"/>
        <v>Match</v>
      </c>
    </row>
    <row r="734" ht="12.75" customHeight="1">
      <c r="A734" s="38">
        <f>dataset_A!A734</f>
        <v>510</v>
      </c>
      <c r="B734" s="39">
        <f>dataset_A!B734</f>
        <v>40566</v>
      </c>
      <c r="C734" s="38">
        <f>dataset_A!F734</f>
        <v>8</v>
      </c>
      <c r="D734" s="38">
        <f>dataset_A!H734</f>
        <v>0</v>
      </c>
      <c r="E734" s="38" t="b">
        <f>dataset_A!G734</f>
        <v>0</v>
      </c>
      <c r="F734" s="38" t="b">
        <f>dataset_A!G734</f>
        <v>0</v>
      </c>
      <c r="G734" s="38" t="str">
        <f t="shared" si="1"/>
        <v>Weekend</v>
      </c>
      <c r="H734" s="38" t="str">
        <f t="shared" si="2"/>
        <v>Morning</v>
      </c>
      <c r="I734" s="38" t="str">
        <f>IF(dataset_A!C734=1,"Spring",IF(dataset_A!C734=2,"Summer",IF(dataset_A!C734=3,"Fail","Winter")))</f>
        <v>Spring</v>
      </c>
      <c r="J734" s="38" t="str">
        <f>IF(dataset_A!I734=1,"Clear",IF(dataset_A!I734,"Mist/Cloudy",IF(dataset_A!I734=3,"Light Rain/Snow","Heavy Rain/Snow")))</f>
        <v>Clear</v>
      </c>
      <c r="K734" s="38">
        <f>dataset_A!N734</f>
        <v>2</v>
      </c>
      <c r="L734" s="38">
        <f>dataset_A!O734</f>
        <v>17</v>
      </c>
      <c r="M734" s="38">
        <f>dataset_A!P734</f>
        <v>19</v>
      </c>
      <c r="N734" s="38" t="str">
        <f t="shared" si="3"/>
        <v>Ok</v>
      </c>
      <c r="O734" s="38" t="str">
        <f>IF(M734&gt;Analysis!$B$3*1.5,"High",IF(M734&lt;Analysis!$B$3*0.5,"Low","Medium"))</f>
        <v>Low</v>
      </c>
      <c r="P734" s="38" t="str">
        <f>VLOOKUP(dataset_A!C734,$Q$2:$R$5,2,0)</f>
        <v>Spring</v>
      </c>
      <c r="S734" s="38" t="str">
        <f t="array" ref="S734">INDEX($R$2:$R$5,MATCH(dataset_A!C734,$Q$2:$Q$5,0))</f>
        <v>Spring</v>
      </c>
      <c r="T734" s="38" t="str">
        <f t="shared" si="4"/>
        <v>Match</v>
      </c>
    </row>
    <row r="735" ht="12.75" customHeight="1">
      <c r="A735" s="38">
        <f>dataset_A!A735</f>
        <v>233</v>
      </c>
      <c r="B735" s="39">
        <f>dataset_A!B735</f>
        <v>40553</v>
      </c>
      <c r="C735" s="38">
        <f>dataset_A!F735</f>
        <v>23</v>
      </c>
      <c r="D735" s="38">
        <f>dataset_A!H735</f>
        <v>1</v>
      </c>
      <c r="E735" s="38" t="b">
        <f>dataset_A!G735</f>
        <v>0</v>
      </c>
      <c r="F735" s="38" t="b">
        <f>dataset_A!G735</f>
        <v>0</v>
      </c>
      <c r="G735" s="38" t="str">
        <f t="shared" si="1"/>
        <v>Weekday</v>
      </c>
      <c r="H735" s="38" t="str">
        <f t="shared" si="2"/>
        <v>Evening</v>
      </c>
      <c r="I735" s="38" t="str">
        <f>IF(dataset_A!C735=1,"Spring",IF(dataset_A!C735=2,"Summer",IF(dataset_A!C735=3,"Fail","Winter")))</f>
        <v>Spring</v>
      </c>
      <c r="J735" s="38" t="str">
        <f>IF(dataset_A!I735=1,"Clear",IF(dataset_A!I735,"Mist/Cloudy",IF(dataset_A!I735=3,"Light Rain/Snow","Heavy Rain/Snow")))</f>
        <v>Clear</v>
      </c>
      <c r="K735" s="38">
        <f>dataset_A!N735</f>
        <v>0</v>
      </c>
      <c r="L735" s="38">
        <f>dataset_A!O735</f>
        <v>18</v>
      </c>
      <c r="M735" s="38">
        <f>dataset_A!P735</f>
        <v>18</v>
      </c>
      <c r="N735" s="38" t="str">
        <f t="shared" si="3"/>
        <v>Ok</v>
      </c>
      <c r="O735" s="38" t="str">
        <f>IF(M735&gt;Analysis!$B$3*1.5,"High",IF(M735&lt;Analysis!$B$3*0.5,"Low","Medium"))</f>
        <v>Low</v>
      </c>
      <c r="P735" s="38" t="str">
        <f>VLOOKUP(dataset_A!C735,$Q$2:$R$5,2,0)</f>
        <v>Spring</v>
      </c>
      <c r="S735" s="38" t="str">
        <f t="array" ref="S735">INDEX($R$2:$R$5,MATCH(dataset_A!C735,$Q$2:$Q$5,0))</f>
        <v>Spring</v>
      </c>
      <c r="T735" s="38" t="str">
        <f t="shared" si="4"/>
        <v>Match</v>
      </c>
    </row>
    <row r="736" ht="12.75" customHeight="1">
      <c r="A736" s="38">
        <f>dataset_A!A736</f>
        <v>357</v>
      </c>
      <c r="B736" s="39">
        <f>dataset_A!B736</f>
        <v>40559</v>
      </c>
      <c r="C736" s="38">
        <f>dataset_A!F736</f>
        <v>8</v>
      </c>
      <c r="D736" s="38">
        <f>dataset_A!H736</f>
        <v>0</v>
      </c>
      <c r="E736" s="38" t="b">
        <f>dataset_A!G736</f>
        <v>0</v>
      </c>
      <c r="F736" s="38" t="b">
        <f>dataset_A!G736</f>
        <v>0</v>
      </c>
      <c r="G736" s="38" t="str">
        <f t="shared" si="1"/>
        <v>Weekend</v>
      </c>
      <c r="H736" s="38" t="str">
        <f t="shared" si="2"/>
        <v>Morning</v>
      </c>
      <c r="I736" s="38" t="str">
        <f>IF(dataset_A!C736=1,"Spring",IF(dataset_A!C736=2,"Summer",IF(dataset_A!C736=3,"Fail","Winter")))</f>
        <v>Spring</v>
      </c>
      <c r="J736" s="38" t="str">
        <f>IF(dataset_A!I736=1,"Clear",IF(dataset_A!I736,"Mist/Cloudy",IF(dataset_A!I736=3,"Light Rain/Snow","Heavy Rain/Snow")))</f>
        <v>Clear</v>
      </c>
      <c r="K736" s="38">
        <f>dataset_A!N736</f>
        <v>0</v>
      </c>
      <c r="L736" s="38">
        <f>dataset_A!O736</f>
        <v>18</v>
      </c>
      <c r="M736" s="38">
        <f>dataset_A!P736</f>
        <v>18</v>
      </c>
      <c r="N736" s="38" t="str">
        <f t="shared" si="3"/>
        <v>Ok</v>
      </c>
      <c r="O736" s="38" t="str">
        <f>IF(M736&gt;Analysis!$B$3*1.5,"High",IF(M736&lt;Analysis!$B$3*0.5,"Low","Medium"))</f>
        <v>Low</v>
      </c>
      <c r="P736" s="38" t="str">
        <f>VLOOKUP(dataset_A!C736,$Q$2:$R$5,2,0)</f>
        <v>Spring</v>
      </c>
      <c r="S736" s="38" t="str">
        <f t="array" ref="S736">INDEX($R$2:$R$5,MATCH(dataset_A!C736,$Q$2:$Q$5,0))</f>
        <v>Spring</v>
      </c>
      <c r="T736" s="38" t="str">
        <f t="shared" si="4"/>
        <v>Match</v>
      </c>
    </row>
    <row r="737" ht="12.75" customHeight="1">
      <c r="A737" s="38">
        <f>dataset_A!A737</f>
        <v>372</v>
      </c>
      <c r="B737" s="39">
        <f>dataset_A!B737</f>
        <v>40559</v>
      </c>
      <c r="C737" s="38">
        <f>dataset_A!F737</f>
        <v>23</v>
      </c>
      <c r="D737" s="38">
        <f>dataset_A!H737</f>
        <v>0</v>
      </c>
      <c r="E737" s="38" t="b">
        <f>dataset_A!G737</f>
        <v>0</v>
      </c>
      <c r="F737" s="38" t="b">
        <f>dataset_A!G737</f>
        <v>0</v>
      </c>
      <c r="G737" s="38" t="str">
        <f t="shared" si="1"/>
        <v>Weekend</v>
      </c>
      <c r="H737" s="38" t="str">
        <f t="shared" si="2"/>
        <v>Evening</v>
      </c>
      <c r="I737" s="38" t="str">
        <f>IF(dataset_A!C737=1,"Spring",IF(dataset_A!C737=2,"Summer",IF(dataset_A!C737=3,"Fail","Winter")))</f>
        <v>Spring</v>
      </c>
      <c r="J737" s="38" t="str">
        <f>IF(dataset_A!I737=1,"Clear",IF(dataset_A!I737,"Mist/Cloudy",IF(dataset_A!I737=3,"Light Rain/Snow","Heavy Rain/Snow")))</f>
        <v>Mist/Cloudy</v>
      </c>
      <c r="K737" s="38">
        <f>dataset_A!N737</f>
        <v>0</v>
      </c>
      <c r="L737" s="38">
        <f>dataset_A!O737</f>
        <v>18</v>
      </c>
      <c r="M737" s="38">
        <f>dataset_A!P737</f>
        <v>18</v>
      </c>
      <c r="N737" s="38" t="str">
        <f t="shared" si="3"/>
        <v>Ok</v>
      </c>
      <c r="O737" s="38" t="str">
        <f>IF(M737&gt;Analysis!$B$3*1.5,"High",IF(M737&lt;Analysis!$B$3*0.5,"Low","Medium"))</f>
        <v>Low</v>
      </c>
      <c r="P737" s="38" t="str">
        <f>VLOOKUP(dataset_A!C737,$Q$2:$R$5,2,0)</f>
        <v>Spring</v>
      </c>
      <c r="S737" s="38" t="str">
        <f t="array" ref="S737">INDEX($R$2:$R$5,MATCH(dataset_A!C737,$Q$2:$Q$5,0))</f>
        <v>Spring</v>
      </c>
      <c r="T737" s="38" t="str">
        <f t="shared" si="4"/>
        <v>Match</v>
      </c>
    </row>
    <row r="738" ht="12.75" customHeight="1">
      <c r="A738" s="38">
        <f>dataset_A!A738</f>
        <v>505</v>
      </c>
      <c r="B738" s="39">
        <f>dataset_A!B738</f>
        <v>40566</v>
      </c>
      <c r="C738" s="38">
        <f>dataset_A!F738</f>
        <v>2</v>
      </c>
      <c r="D738" s="38">
        <f>dataset_A!H738</f>
        <v>0</v>
      </c>
      <c r="E738" s="38" t="b">
        <f>dataset_A!G738</f>
        <v>0</v>
      </c>
      <c r="F738" s="38" t="b">
        <f>dataset_A!G738</f>
        <v>0</v>
      </c>
      <c r="G738" s="38" t="str">
        <f t="shared" si="1"/>
        <v>Weekend</v>
      </c>
      <c r="H738" s="38" t="str">
        <f t="shared" si="2"/>
        <v>Night</v>
      </c>
      <c r="I738" s="38" t="str">
        <f>IF(dataset_A!C738=1,"Spring",IF(dataset_A!C738=2,"Summer",IF(dataset_A!C738=3,"Fail","Winter")))</f>
        <v>Spring</v>
      </c>
      <c r="J738" s="38" t="str">
        <f>IF(dataset_A!I738=1,"Clear",IF(dataset_A!I738,"Mist/Cloudy",IF(dataset_A!I738=3,"Light Rain/Snow","Heavy Rain/Snow")))</f>
        <v>Clear</v>
      </c>
      <c r="K738" s="38">
        <f>dataset_A!N738</f>
        <v>3</v>
      </c>
      <c r="L738" s="38">
        <f>dataset_A!O738</f>
        <v>15</v>
      </c>
      <c r="M738" s="38">
        <f>dataset_A!P738</f>
        <v>18</v>
      </c>
      <c r="N738" s="38" t="str">
        <f t="shared" si="3"/>
        <v>Ok</v>
      </c>
      <c r="O738" s="38" t="str">
        <f>IF(M738&gt;Analysis!$B$3*1.5,"High",IF(M738&lt;Analysis!$B$3*0.5,"Low","Medium"))</f>
        <v>Low</v>
      </c>
      <c r="P738" s="38" t="str">
        <f>VLOOKUP(dataset_A!C738,$Q$2:$R$5,2,0)</f>
        <v>Spring</v>
      </c>
      <c r="S738" s="38" t="str">
        <f t="array" ref="S738">INDEX($R$2:$R$5,MATCH(dataset_A!C738,$Q$2:$Q$5,0))</f>
        <v>Spring</v>
      </c>
      <c r="T738" s="38" t="str">
        <f t="shared" si="4"/>
        <v>Match</v>
      </c>
    </row>
    <row r="739" ht="12.75" customHeight="1">
      <c r="A739" s="38">
        <f>dataset_A!A739</f>
        <v>718</v>
      </c>
      <c r="B739" s="39">
        <f>dataset_A!B739</f>
        <v>40576</v>
      </c>
      <c r="C739" s="38">
        <f>dataset_A!F739</f>
        <v>6</v>
      </c>
      <c r="D739" s="38">
        <f>dataset_A!H739</f>
        <v>3</v>
      </c>
      <c r="E739" s="38" t="b">
        <f>dataset_A!G739</f>
        <v>0</v>
      </c>
      <c r="F739" s="38" t="b">
        <f>dataset_A!G739</f>
        <v>0</v>
      </c>
      <c r="G739" s="38" t="str">
        <f t="shared" si="1"/>
        <v>Weekday</v>
      </c>
      <c r="H739" s="38" t="str">
        <f t="shared" si="2"/>
        <v>Morning</v>
      </c>
      <c r="I739" s="38" t="str">
        <f>IF(dataset_A!C739=1,"Spring",IF(dataset_A!C739=2,"Summer",IF(dataset_A!C739=3,"Fail","Winter")))</f>
        <v>Spring</v>
      </c>
      <c r="J739" s="38" t="str">
        <f>IF(dataset_A!I739=1,"Clear",IF(dataset_A!I739,"Mist/Cloudy",IF(dataset_A!I739=3,"Light Rain/Snow","Heavy Rain/Snow")))</f>
        <v>Mist/Cloudy</v>
      </c>
      <c r="K739" s="38">
        <f>dataset_A!N739</f>
        <v>1</v>
      </c>
      <c r="L739" s="38">
        <f>dataset_A!O739</f>
        <v>17</v>
      </c>
      <c r="M739" s="38">
        <f>dataset_A!P739</f>
        <v>18</v>
      </c>
      <c r="N739" s="38" t="str">
        <f t="shared" si="3"/>
        <v>Ok</v>
      </c>
      <c r="O739" s="38" t="str">
        <f>IF(M739&gt;Analysis!$B$3*1.5,"High",IF(M739&lt;Analysis!$B$3*0.5,"Low","Medium"))</f>
        <v>Low</v>
      </c>
      <c r="P739" s="38" t="str">
        <f>VLOOKUP(dataset_A!C739,$Q$2:$R$5,2,0)</f>
        <v>Spring</v>
      </c>
      <c r="S739" s="38" t="str">
        <f t="array" ref="S739">INDEX($R$2:$R$5,MATCH(dataset_A!C739,$Q$2:$Q$5,0))</f>
        <v>Spring</v>
      </c>
      <c r="T739" s="38" t="str">
        <f t="shared" si="4"/>
        <v>Match</v>
      </c>
    </row>
    <row r="740" ht="12.75" customHeight="1">
      <c r="A740" s="38">
        <f>dataset_A!A740</f>
        <v>783</v>
      </c>
      <c r="B740" s="39">
        <f>dataset_A!B740</f>
        <v>40579</v>
      </c>
      <c r="C740" s="38">
        <f>dataset_A!F740</f>
        <v>1</v>
      </c>
      <c r="D740" s="38">
        <f>dataset_A!H740</f>
        <v>6</v>
      </c>
      <c r="E740" s="38" t="b">
        <f>dataset_A!G740</f>
        <v>0</v>
      </c>
      <c r="F740" s="38" t="b">
        <f>dataset_A!G740</f>
        <v>0</v>
      </c>
      <c r="G740" s="38" t="str">
        <f t="shared" si="1"/>
        <v>Weekend</v>
      </c>
      <c r="H740" s="38" t="str">
        <f t="shared" si="2"/>
        <v>Night</v>
      </c>
      <c r="I740" s="38" t="str">
        <f>IF(dataset_A!C740=1,"Spring",IF(dataset_A!C740=2,"Summer",IF(dataset_A!C740=3,"Fail","Winter")))</f>
        <v>Spring</v>
      </c>
      <c r="J740" s="38" t="str">
        <f>IF(dataset_A!I740=1,"Clear",IF(dataset_A!I740,"Mist/Cloudy",IF(dataset_A!I740=3,"Light Rain/Snow","Heavy Rain/Snow")))</f>
        <v>Mist/Cloudy</v>
      </c>
      <c r="K740" s="38">
        <f>dataset_A!N740</f>
        <v>1</v>
      </c>
      <c r="L740" s="38">
        <f>dataset_A!O740</f>
        <v>17</v>
      </c>
      <c r="M740" s="38">
        <f>dataset_A!P740</f>
        <v>18</v>
      </c>
      <c r="N740" s="38" t="str">
        <f t="shared" si="3"/>
        <v>Ok</v>
      </c>
      <c r="O740" s="38" t="str">
        <f>IF(M740&gt;Analysis!$B$3*1.5,"High",IF(M740&lt;Analysis!$B$3*0.5,"Low","Medium"))</f>
        <v>Low</v>
      </c>
      <c r="P740" s="38" t="str">
        <f>VLOOKUP(dataset_A!C740,$Q$2:$R$5,2,0)</f>
        <v>Spring</v>
      </c>
      <c r="S740" s="38" t="str">
        <f t="array" ref="S740">INDEX($R$2:$R$5,MATCH(dataset_A!C740,$Q$2:$Q$5,0))</f>
        <v>Spring</v>
      </c>
      <c r="T740" s="38" t="str">
        <f t="shared" si="4"/>
        <v>Match</v>
      </c>
    </row>
    <row r="741" ht="12.75" customHeight="1">
      <c r="A741" s="38">
        <f>dataset_A!A741</f>
        <v>25</v>
      </c>
      <c r="B741" s="39">
        <f>dataset_A!B741</f>
        <v>40545</v>
      </c>
      <c r="C741" s="38">
        <f>dataset_A!F741</f>
        <v>0</v>
      </c>
      <c r="D741" s="38">
        <f>dataset_A!H741</f>
        <v>0</v>
      </c>
      <c r="E741" s="38" t="b">
        <f>dataset_A!G741</f>
        <v>0</v>
      </c>
      <c r="F741" s="38" t="b">
        <f>dataset_A!G741</f>
        <v>0</v>
      </c>
      <c r="G741" s="38" t="str">
        <f t="shared" si="1"/>
        <v>Weekend</v>
      </c>
      <c r="H741" s="38" t="str">
        <f t="shared" si="2"/>
        <v>Night</v>
      </c>
      <c r="I741" s="38" t="str">
        <f>IF(dataset_A!C741=1,"Spring",IF(dataset_A!C741=2,"Summer",IF(dataset_A!C741=3,"Fail","Winter")))</f>
        <v>Spring</v>
      </c>
      <c r="J741" s="38" t="str">
        <f>IF(dataset_A!I741=1,"Clear",IF(dataset_A!I741,"Mist/Cloudy",IF(dataset_A!I741=3,"Light Rain/Snow","Heavy Rain/Snow")))</f>
        <v>Mist/Cloudy</v>
      </c>
      <c r="K741" s="38">
        <f>dataset_A!N741</f>
        <v>4</v>
      </c>
      <c r="L741" s="38">
        <f>dataset_A!O741</f>
        <v>13</v>
      </c>
      <c r="M741" s="38">
        <f>dataset_A!P741</f>
        <v>17</v>
      </c>
      <c r="N741" s="38" t="str">
        <f t="shared" si="3"/>
        <v>Ok</v>
      </c>
      <c r="O741" s="38" t="str">
        <f>IF(M741&gt;Analysis!$B$3*1.5,"High",IF(M741&lt;Analysis!$B$3*0.5,"Low","Medium"))</f>
        <v>Low</v>
      </c>
      <c r="P741" s="38" t="str">
        <f>VLOOKUP(dataset_A!C741,$Q$2:$R$5,2,0)</f>
        <v>Spring</v>
      </c>
      <c r="S741" s="38" t="str">
        <f t="array" ref="S741">INDEX($R$2:$R$5,MATCH(dataset_A!C741,$Q$2:$Q$5,0))</f>
        <v>Spring</v>
      </c>
      <c r="T741" s="38" t="str">
        <f t="shared" si="4"/>
        <v>Match</v>
      </c>
    </row>
    <row r="742" ht="12.75" customHeight="1">
      <c r="A742" s="38">
        <f>dataset_A!A742</f>
        <v>26</v>
      </c>
      <c r="B742" s="39">
        <f>dataset_A!B742</f>
        <v>40545</v>
      </c>
      <c r="C742" s="38">
        <f>dataset_A!F742</f>
        <v>1</v>
      </c>
      <c r="D742" s="38">
        <f>dataset_A!H742</f>
        <v>0</v>
      </c>
      <c r="E742" s="38" t="b">
        <f>dataset_A!G742</f>
        <v>0</v>
      </c>
      <c r="F742" s="38" t="b">
        <f>dataset_A!G742</f>
        <v>0</v>
      </c>
      <c r="G742" s="38" t="str">
        <f t="shared" si="1"/>
        <v>Weekend</v>
      </c>
      <c r="H742" s="38" t="str">
        <f t="shared" si="2"/>
        <v>Night</v>
      </c>
      <c r="I742" s="38" t="str">
        <f>IF(dataset_A!C742=1,"Spring",IF(dataset_A!C742=2,"Summer",IF(dataset_A!C742=3,"Fail","Winter")))</f>
        <v>Spring</v>
      </c>
      <c r="J742" s="38" t="str">
        <f>IF(dataset_A!I742=1,"Clear",IF(dataset_A!I742,"Mist/Cloudy",IF(dataset_A!I742=3,"Light Rain/Snow","Heavy Rain/Snow")))</f>
        <v>Mist/Cloudy</v>
      </c>
      <c r="K742" s="38">
        <f>dataset_A!N742</f>
        <v>1</v>
      </c>
      <c r="L742" s="38">
        <f>dataset_A!O742</f>
        <v>16</v>
      </c>
      <c r="M742" s="38">
        <f>dataset_A!P742</f>
        <v>17</v>
      </c>
      <c r="N742" s="38" t="str">
        <f t="shared" si="3"/>
        <v>Ok</v>
      </c>
      <c r="O742" s="38" t="str">
        <f>IF(M742&gt;Analysis!$B$3*1.5,"High",IF(M742&lt;Analysis!$B$3*0.5,"Low","Medium"))</f>
        <v>Low</v>
      </c>
      <c r="P742" s="38" t="str">
        <f>VLOOKUP(dataset_A!C742,$Q$2:$R$5,2,0)</f>
        <v>Spring</v>
      </c>
      <c r="S742" s="38" t="str">
        <f t="array" ref="S742">INDEX($R$2:$R$5,MATCH(dataset_A!C742,$Q$2:$Q$5,0))</f>
        <v>Spring</v>
      </c>
      <c r="T742" s="38" t="str">
        <f t="shared" si="4"/>
        <v>Match</v>
      </c>
    </row>
    <row r="743" ht="12.75" customHeight="1">
      <c r="A743" s="38">
        <f>dataset_A!A743</f>
        <v>139</v>
      </c>
      <c r="B743" s="39">
        <f>dataset_A!B743</f>
        <v>40550</v>
      </c>
      <c r="C743" s="38">
        <f>dataset_A!F743</f>
        <v>0</v>
      </c>
      <c r="D743" s="38">
        <f>dataset_A!H743</f>
        <v>5</v>
      </c>
      <c r="E743" s="38" t="b">
        <f>dataset_A!G743</f>
        <v>0</v>
      </c>
      <c r="F743" s="38" t="b">
        <f>dataset_A!G743</f>
        <v>0</v>
      </c>
      <c r="G743" s="38" t="str">
        <f t="shared" si="1"/>
        <v>Weekday</v>
      </c>
      <c r="H743" s="38" t="str">
        <f t="shared" si="2"/>
        <v>Night</v>
      </c>
      <c r="I743" s="38" t="str">
        <f>IF(dataset_A!C743=1,"Spring",IF(dataset_A!C743=2,"Summer",IF(dataset_A!C743=3,"Fail","Winter")))</f>
        <v>Spring</v>
      </c>
      <c r="J743" s="38" t="str">
        <f>IF(dataset_A!I743=1,"Clear",IF(dataset_A!I743,"Mist/Cloudy",IF(dataset_A!I743=3,"Light Rain/Snow","Heavy Rain/Snow")))</f>
        <v>Mist/Cloudy</v>
      </c>
      <c r="K743" s="38">
        <f>dataset_A!N743</f>
        <v>4</v>
      </c>
      <c r="L743" s="38">
        <f>dataset_A!O743</f>
        <v>13</v>
      </c>
      <c r="M743" s="38">
        <f>dataset_A!P743</f>
        <v>17</v>
      </c>
      <c r="N743" s="38" t="str">
        <f t="shared" si="3"/>
        <v>Ok</v>
      </c>
      <c r="O743" s="38" t="str">
        <f>IF(M743&gt;Analysis!$B$3*1.5,"High",IF(M743&lt;Analysis!$B$3*0.5,"Low","Medium"))</f>
        <v>Low</v>
      </c>
      <c r="P743" s="38" t="str">
        <f>VLOOKUP(dataset_A!C743,$Q$2:$R$5,2,0)</f>
        <v>Spring</v>
      </c>
      <c r="S743" s="38" t="str">
        <f t="array" ref="S743">INDEX($R$2:$R$5,MATCH(dataset_A!C743,$Q$2:$Q$5,0))</f>
        <v>Spring</v>
      </c>
      <c r="T743" s="38" t="str">
        <f t="shared" si="4"/>
        <v>Match</v>
      </c>
    </row>
    <row r="744" ht="12.75" customHeight="1">
      <c r="A744" s="38">
        <f>dataset_A!A744</f>
        <v>307</v>
      </c>
      <c r="B744" s="39">
        <f>dataset_A!B744</f>
        <v>40557</v>
      </c>
      <c r="C744" s="38">
        <f>dataset_A!F744</f>
        <v>6</v>
      </c>
      <c r="D744" s="38">
        <f>dataset_A!H744</f>
        <v>5</v>
      </c>
      <c r="E744" s="38" t="b">
        <f>dataset_A!G744</f>
        <v>0</v>
      </c>
      <c r="F744" s="38" t="b">
        <f>dataset_A!G744</f>
        <v>0</v>
      </c>
      <c r="G744" s="38" t="str">
        <f t="shared" si="1"/>
        <v>Weekday</v>
      </c>
      <c r="H744" s="38" t="str">
        <f t="shared" si="2"/>
        <v>Morning</v>
      </c>
      <c r="I744" s="38" t="str">
        <f>IF(dataset_A!C744=1,"Spring",IF(dataset_A!C744=2,"Summer",IF(dataset_A!C744=3,"Fail","Winter")))</f>
        <v>Spring</v>
      </c>
      <c r="J744" s="38" t="str">
        <f>IF(dataset_A!I744=1,"Clear",IF(dataset_A!I744,"Mist/Cloudy",IF(dataset_A!I744=3,"Light Rain/Snow","Heavy Rain/Snow")))</f>
        <v>Clear</v>
      </c>
      <c r="K744" s="38">
        <f>dataset_A!N744</f>
        <v>0</v>
      </c>
      <c r="L744" s="38">
        <f>dataset_A!O744</f>
        <v>17</v>
      </c>
      <c r="M744" s="38">
        <f>dataset_A!P744</f>
        <v>17</v>
      </c>
      <c r="N744" s="38" t="str">
        <f t="shared" si="3"/>
        <v>Ok</v>
      </c>
      <c r="O744" s="38" t="str">
        <f>IF(M744&gt;Analysis!$B$3*1.5,"High",IF(M744&lt;Analysis!$B$3*0.5,"Low","Medium"))</f>
        <v>Low</v>
      </c>
      <c r="P744" s="38" t="str">
        <f>VLOOKUP(dataset_A!C744,$Q$2:$R$5,2,0)</f>
        <v>Spring</v>
      </c>
      <c r="S744" s="38" t="str">
        <f t="array" ref="S744">INDEX($R$2:$R$5,MATCH(dataset_A!C744,$Q$2:$Q$5,0))</f>
        <v>Spring</v>
      </c>
      <c r="T744" s="38" t="str">
        <f t="shared" si="4"/>
        <v>Match</v>
      </c>
    </row>
    <row r="745" ht="12.75" customHeight="1">
      <c r="A745" s="38">
        <f>dataset_A!A745</f>
        <v>373</v>
      </c>
      <c r="B745" s="39">
        <f>dataset_A!B745</f>
        <v>40560</v>
      </c>
      <c r="C745" s="38">
        <f>dataset_A!F745</f>
        <v>0</v>
      </c>
      <c r="D745" s="38">
        <f>dataset_A!H745</f>
        <v>1</v>
      </c>
      <c r="E745" s="38" t="b">
        <f>dataset_A!G745</f>
        <v>1</v>
      </c>
      <c r="F745" s="38" t="b">
        <f>dataset_A!G745</f>
        <v>1</v>
      </c>
      <c r="G745" s="38" t="str">
        <f t="shared" si="1"/>
        <v>Weekday</v>
      </c>
      <c r="H745" s="38" t="str">
        <f t="shared" si="2"/>
        <v>Night</v>
      </c>
      <c r="I745" s="38" t="str">
        <f>IF(dataset_A!C745=1,"Spring",IF(dataset_A!C745=2,"Summer",IF(dataset_A!C745=3,"Fail","Winter")))</f>
        <v>Spring</v>
      </c>
      <c r="J745" s="38" t="str">
        <f>IF(dataset_A!I745=1,"Clear",IF(dataset_A!I745,"Mist/Cloudy",IF(dataset_A!I745=3,"Light Rain/Snow","Heavy Rain/Snow")))</f>
        <v>Mist/Cloudy</v>
      </c>
      <c r="K745" s="38">
        <f>dataset_A!N745</f>
        <v>1</v>
      </c>
      <c r="L745" s="38">
        <f>dataset_A!O745</f>
        <v>16</v>
      </c>
      <c r="M745" s="38">
        <f>dataset_A!P745</f>
        <v>17</v>
      </c>
      <c r="N745" s="38" t="str">
        <f t="shared" si="3"/>
        <v>Ok</v>
      </c>
      <c r="O745" s="38" t="str">
        <f>IF(M745&gt;Analysis!$B$3*1.5,"High",IF(M745&lt;Analysis!$B$3*0.5,"Low","Medium"))</f>
        <v>Low</v>
      </c>
      <c r="P745" s="38" t="str">
        <f>VLOOKUP(dataset_A!C745,$Q$2:$R$5,2,0)</f>
        <v>Spring</v>
      </c>
      <c r="S745" s="38" t="str">
        <f t="array" ref="S745">INDEX($R$2:$R$5,MATCH(dataset_A!C745,$Q$2:$Q$5,0))</f>
        <v>Spring</v>
      </c>
      <c r="T745" s="38" t="str">
        <f t="shared" si="4"/>
        <v>Match</v>
      </c>
    </row>
    <row r="746" ht="12.75" customHeight="1">
      <c r="A746" s="38">
        <f>dataset_A!A746</f>
        <v>572</v>
      </c>
      <c r="B746" s="39">
        <f>dataset_A!B746</f>
        <v>40569</v>
      </c>
      <c r="C746" s="38">
        <f>dataset_A!F746</f>
        <v>0</v>
      </c>
      <c r="D746" s="38">
        <f>dataset_A!H746</f>
        <v>3</v>
      </c>
      <c r="E746" s="38" t="b">
        <f>dataset_A!G746</f>
        <v>0</v>
      </c>
      <c r="F746" s="38" t="b">
        <f>dataset_A!G746</f>
        <v>0</v>
      </c>
      <c r="G746" s="38" t="str">
        <f t="shared" si="1"/>
        <v>Weekday</v>
      </c>
      <c r="H746" s="38" t="str">
        <f t="shared" si="2"/>
        <v>Night</v>
      </c>
      <c r="I746" s="38" t="str">
        <f>IF(dataset_A!C746=1,"Spring",IF(dataset_A!C746=2,"Summer",IF(dataset_A!C746=3,"Fail","Winter")))</f>
        <v>Spring</v>
      </c>
      <c r="J746" s="38" t="str">
        <f>IF(dataset_A!I746=1,"Clear",IF(dataset_A!I746,"Mist/Cloudy",IF(dataset_A!I746=3,"Light Rain/Snow","Heavy Rain/Snow")))</f>
        <v>Mist/Cloudy</v>
      </c>
      <c r="K746" s="38">
        <f>dataset_A!N746</f>
        <v>3</v>
      </c>
      <c r="L746" s="38">
        <f>dataset_A!O746</f>
        <v>14</v>
      </c>
      <c r="M746" s="38">
        <f>dataset_A!P746</f>
        <v>17</v>
      </c>
      <c r="N746" s="38" t="str">
        <f t="shared" si="3"/>
        <v>Ok</v>
      </c>
      <c r="O746" s="38" t="str">
        <f>IF(M746&gt;Analysis!$B$3*1.5,"High",IF(M746&lt;Analysis!$B$3*0.5,"Low","Medium"))</f>
        <v>Low</v>
      </c>
      <c r="P746" s="38" t="str">
        <f>VLOOKUP(dataset_A!C746,$Q$2:$R$5,2,0)</f>
        <v>Spring</v>
      </c>
      <c r="S746" s="38" t="str">
        <f t="array" ref="S746">INDEX($R$2:$R$5,MATCH(dataset_A!C746,$Q$2:$Q$5,0))</f>
        <v>Spring</v>
      </c>
      <c r="T746" s="38" t="str">
        <f t="shared" si="4"/>
        <v>Match</v>
      </c>
    </row>
    <row r="747" ht="12.75" customHeight="1">
      <c r="A747" s="38">
        <f>dataset_A!A747</f>
        <v>688</v>
      </c>
      <c r="B747" s="39">
        <f>dataset_A!B747</f>
        <v>40574</v>
      </c>
      <c r="C747" s="38">
        <f>dataset_A!F747</f>
        <v>23</v>
      </c>
      <c r="D747" s="38">
        <f>dataset_A!H747</f>
        <v>1</v>
      </c>
      <c r="E747" s="38" t="b">
        <f>dataset_A!G747</f>
        <v>0</v>
      </c>
      <c r="F747" s="38" t="b">
        <f>dataset_A!G747</f>
        <v>0</v>
      </c>
      <c r="G747" s="38" t="str">
        <f t="shared" si="1"/>
        <v>Weekday</v>
      </c>
      <c r="H747" s="38" t="str">
        <f t="shared" si="2"/>
        <v>Evening</v>
      </c>
      <c r="I747" s="38" t="str">
        <f>IF(dataset_A!C747=1,"Spring",IF(dataset_A!C747=2,"Summer",IF(dataset_A!C747=3,"Fail","Winter")))</f>
        <v>Spring</v>
      </c>
      <c r="J747" s="38" t="str">
        <f>IF(dataset_A!I747=1,"Clear",IF(dataset_A!I747,"Mist/Cloudy",IF(dataset_A!I747=3,"Light Rain/Snow","Heavy Rain/Snow")))</f>
        <v>Mist/Cloudy</v>
      </c>
      <c r="K747" s="38">
        <f>dataset_A!N747</f>
        <v>2</v>
      </c>
      <c r="L747" s="38">
        <f>dataset_A!O747</f>
        <v>15</v>
      </c>
      <c r="M747" s="38">
        <f>dataset_A!P747</f>
        <v>17</v>
      </c>
      <c r="N747" s="38" t="str">
        <f t="shared" si="3"/>
        <v>Ok</v>
      </c>
      <c r="O747" s="38" t="str">
        <f>IF(M747&gt;Analysis!$B$3*1.5,"High",IF(M747&lt;Analysis!$B$3*0.5,"Low","Medium"))</f>
        <v>Low</v>
      </c>
      <c r="P747" s="38" t="str">
        <f>VLOOKUP(dataset_A!C747,$Q$2:$R$5,2,0)</f>
        <v>Spring</v>
      </c>
      <c r="S747" s="38" t="str">
        <f t="array" ref="S747">INDEX($R$2:$R$5,MATCH(dataset_A!C747,$Q$2:$Q$5,0))</f>
        <v>Spring</v>
      </c>
      <c r="T747" s="38" t="str">
        <f t="shared" si="4"/>
        <v>Match</v>
      </c>
    </row>
    <row r="748" ht="12.75" customHeight="1">
      <c r="A748" s="38">
        <f>dataset_A!A748</f>
        <v>784</v>
      </c>
      <c r="B748" s="39">
        <f>dataset_A!B748</f>
        <v>40579</v>
      </c>
      <c r="C748" s="38">
        <f>dataset_A!F748</f>
        <v>2</v>
      </c>
      <c r="D748" s="38">
        <f>dataset_A!H748</f>
        <v>6</v>
      </c>
      <c r="E748" s="38" t="b">
        <f>dataset_A!G748</f>
        <v>0</v>
      </c>
      <c r="F748" s="38" t="b">
        <f>dataset_A!G748</f>
        <v>0</v>
      </c>
      <c r="G748" s="38" t="str">
        <f t="shared" si="1"/>
        <v>Weekend</v>
      </c>
      <c r="H748" s="38" t="str">
        <f t="shared" si="2"/>
        <v>Night</v>
      </c>
      <c r="I748" s="38" t="str">
        <f>IF(dataset_A!C748=1,"Spring",IF(dataset_A!C748=2,"Summer",IF(dataset_A!C748=3,"Fail","Winter")))</f>
        <v>Spring</v>
      </c>
      <c r="J748" s="38" t="str">
        <f>IF(dataset_A!I748=1,"Clear",IF(dataset_A!I748,"Mist/Cloudy",IF(dataset_A!I748=3,"Light Rain/Snow","Heavy Rain/Snow")))</f>
        <v>Mist/Cloudy</v>
      </c>
      <c r="K748" s="38">
        <f>dataset_A!N748</f>
        <v>5</v>
      </c>
      <c r="L748" s="38">
        <f>dataset_A!O748</f>
        <v>12</v>
      </c>
      <c r="M748" s="38">
        <f>dataset_A!P748</f>
        <v>17</v>
      </c>
      <c r="N748" s="38" t="str">
        <f t="shared" si="3"/>
        <v>Ok</v>
      </c>
      <c r="O748" s="38" t="str">
        <f>IF(M748&gt;Analysis!$B$3*1.5,"High",IF(M748&lt;Analysis!$B$3*0.5,"Low","Medium"))</f>
        <v>Low</v>
      </c>
      <c r="P748" s="38" t="str">
        <f>VLOOKUP(dataset_A!C748,$Q$2:$R$5,2,0)</f>
        <v>Spring</v>
      </c>
      <c r="S748" s="38" t="str">
        <f t="array" ref="S748">INDEX($R$2:$R$5,MATCH(dataset_A!C748,$Q$2:$Q$5,0))</f>
        <v>Spring</v>
      </c>
      <c r="T748" s="38" t="str">
        <f t="shared" si="4"/>
        <v>Match</v>
      </c>
    </row>
    <row r="749" ht="12.75" customHeight="1">
      <c r="A749" s="38">
        <f>dataset_A!A749</f>
        <v>878</v>
      </c>
      <c r="B749" s="39">
        <f>dataset_A!B749</f>
        <v>40583</v>
      </c>
      <c r="C749" s="38">
        <f>dataset_A!F749</f>
        <v>0</v>
      </c>
      <c r="D749" s="38">
        <f>dataset_A!H749</f>
        <v>3</v>
      </c>
      <c r="E749" s="38" t="b">
        <f>dataset_A!G749</f>
        <v>0</v>
      </c>
      <c r="F749" s="38" t="b">
        <f>dataset_A!G749</f>
        <v>0</v>
      </c>
      <c r="G749" s="38" t="str">
        <f t="shared" si="1"/>
        <v>Weekday</v>
      </c>
      <c r="H749" s="38" t="str">
        <f t="shared" si="2"/>
        <v>Night</v>
      </c>
      <c r="I749" s="38" t="str">
        <f>IF(dataset_A!C749=1,"Spring",IF(dataset_A!C749=2,"Summer",IF(dataset_A!C749=3,"Fail","Winter")))</f>
        <v>Spring</v>
      </c>
      <c r="J749" s="38" t="str">
        <f>IF(dataset_A!I749=1,"Clear",IF(dataset_A!I749,"Mist/Cloudy",IF(dataset_A!I749=3,"Light Rain/Snow","Heavy Rain/Snow")))</f>
        <v>Clear</v>
      </c>
      <c r="K749" s="38">
        <f>dataset_A!N749</f>
        <v>0</v>
      </c>
      <c r="L749" s="38">
        <f>dataset_A!O749</f>
        <v>17</v>
      </c>
      <c r="M749" s="38">
        <f>dataset_A!P749</f>
        <v>17</v>
      </c>
      <c r="N749" s="38" t="str">
        <f t="shared" si="3"/>
        <v>Ok</v>
      </c>
      <c r="O749" s="38" t="str">
        <f>IF(M749&gt;Analysis!$B$3*1.5,"High",IF(M749&lt;Analysis!$B$3*0.5,"Low","Medium"))</f>
        <v>Low</v>
      </c>
      <c r="P749" s="38" t="str">
        <f>VLOOKUP(dataset_A!C749,$Q$2:$R$5,2,0)</f>
        <v>Spring</v>
      </c>
      <c r="S749" s="38" t="str">
        <f t="array" ref="S749">INDEX($R$2:$R$5,MATCH(dataset_A!C749,$Q$2:$Q$5,0))</f>
        <v>Spring</v>
      </c>
      <c r="T749" s="38" t="str">
        <f t="shared" si="4"/>
        <v>Match</v>
      </c>
    </row>
    <row r="750" ht="12.75" customHeight="1">
      <c r="A750" s="38">
        <f>dataset_A!A750</f>
        <v>1</v>
      </c>
      <c r="B750" s="39">
        <f>dataset_A!B750</f>
        <v>40544</v>
      </c>
      <c r="C750" s="38">
        <f>dataset_A!F750</f>
        <v>0</v>
      </c>
      <c r="D750" s="38">
        <f>dataset_A!H750</f>
        <v>6</v>
      </c>
      <c r="E750" s="38" t="b">
        <f>dataset_A!G750</f>
        <v>0</v>
      </c>
      <c r="F750" s="38" t="b">
        <f>dataset_A!G750</f>
        <v>0</v>
      </c>
      <c r="G750" s="38" t="str">
        <f t="shared" si="1"/>
        <v>Weekend</v>
      </c>
      <c r="H750" s="38" t="str">
        <f t="shared" si="2"/>
        <v>Night</v>
      </c>
      <c r="I750" s="38" t="str">
        <f>IF(dataset_A!C750=1,"Spring",IF(dataset_A!C750=2,"Summer",IF(dataset_A!C750=3,"Fail","Winter")))</f>
        <v>Spring</v>
      </c>
      <c r="J750" s="38" t="str">
        <f>IF(dataset_A!I750=1,"Clear",IF(dataset_A!I750,"Mist/Cloudy",IF(dataset_A!I750=3,"Light Rain/Snow","Heavy Rain/Snow")))</f>
        <v>Clear</v>
      </c>
      <c r="K750" s="38">
        <f>dataset_A!N750</f>
        <v>3</v>
      </c>
      <c r="L750" s="38">
        <f>dataset_A!O750</f>
        <v>13</v>
      </c>
      <c r="M750" s="38">
        <f>dataset_A!P750</f>
        <v>16</v>
      </c>
      <c r="N750" s="38" t="str">
        <f t="shared" si="3"/>
        <v>Ok</v>
      </c>
      <c r="O750" s="38" t="str">
        <f>IF(M750&gt;Analysis!$B$3*1.5,"High",IF(M750&lt;Analysis!$B$3*0.5,"Low","Medium"))</f>
        <v>Low</v>
      </c>
      <c r="P750" s="38" t="str">
        <f>VLOOKUP(dataset_A!C750,$Q$2:$R$5,2,0)</f>
        <v>Spring</v>
      </c>
      <c r="S750" s="38" t="str">
        <f t="array" ref="S750">INDEX($R$2:$R$5,MATCH(dataset_A!C750,$Q$2:$Q$5,0))</f>
        <v>Spring</v>
      </c>
      <c r="T750" s="38" t="str">
        <f t="shared" si="4"/>
        <v>Match</v>
      </c>
    </row>
    <row r="751" ht="12.75" customHeight="1">
      <c r="A751" s="38">
        <f>dataset_A!A751</f>
        <v>163</v>
      </c>
      <c r="B751" s="39">
        <f>dataset_A!B751</f>
        <v>40551</v>
      </c>
      <c r="C751" s="38">
        <f>dataset_A!F751</f>
        <v>1</v>
      </c>
      <c r="D751" s="38">
        <f>dataset_A!H751</f>
        <v>6</v>
      </c>
      <c r="E751" s="38" t="b">
        <f>dataset_A!G751</f>
        <v>0</v>
      </c>
      <c r="F751" s="38" t="b">
        <f>dataset_A!G751</f>
        <v>0</v>
      </c>
      <c r="G751" s="38" t="str">
        <f t="shared" si="1"/>
        <v>Weekend</v>
      </c>
      <c r="H751" s="38" t="str">
        <f t="shared" si="2"/>
        <v>Night</v>
      </c>
      <c r="I751" s="38" t="str">
        <f>IF(dataset_A!C751=1,"Spring",IF(dataset_A!C751=2,"Summer",IF(dataset_A!C751=3,"Fail","Winter")))</f>
        <v>Spring</v>
      </c>
      <c r="J751" s="38" t="str">
        <f>IF(dataset_A!I751=1,"Clear",IF(dataset_A!I751,"Mist/Cloudy",IF(dataset_A!I751=3,"Light Rain/Snow","Heavy Rain/Snow")))</f>
        <v>Mist/Cloudy</v>
      </c>
      <c r="K751" s="38">
        <f>dataset_A!N751</f>
        <v>1</v>
      </c>
      <c r="L751" s="38">
        <f>dataset_A!O751</f>
        <v>15</v>
      </c>
      <c r="M751" s="38">
        <f>dataset_A!P751</f>
        <v>16</v>
      </c>
      <c r="N751" s="38" t="str">
        <f t="shared" si="3"/>
        <v>Ok</v>
      </c>
      <c r="O751" s="38" t="str">
        <f>IF(M751&gt;Analysis!$B$3*1.5,"High",IF(M751&lt;Analysis!$B$3*0.5,"Low","Medium"))</f>
        <v>Low</v>
      </c>
      <c r="P751" s="38" t="str">
        <f>VLOOKUP(dataset_A!C751,$Q$2:$R$5,2,0)</f>
        <v>Spring</v>
      </c>
      <c r="S751" s="38" t="str">
        <f t="array" ref="S751">INDEX($R$2:$R$5,MATCH(dataset_A!C751,$Q$2:$Q$5,0))</f>
        <v>Spring</v>
      </c>
      <c r="T751" s="38" t="str">
        <f t="shared" si="4"/>
        <v>Match</v>
      </c>
    </row>
    <row r="752" ht="12.75" customHeight="1">
      <c r="A752" s="38">
        <f>dataset_A!A752</f>
        <v>164</v>
      </c>
      <c r="B752" s="39">
        <f>dataset_A!B752</f>
        <v>40551</v>
      </c>
      <c r="C752" s="38">
        <f>dataset_A!F752</f>
        <v>2</v>
      </c>
      <c r="D752" s="38">
        <f>dataset_A!H752</f>
        <v>6</v>
      </c>
      <c r="E752" s="38" t="b">
        <f>dataset_A!G752</f>
        <v>0</v>
      </c>
      <c r="F752" s="38" t="b">
        <f>dataset_A!G752</f>
        <v>0</v>
      </c>
      <c r="G752" s="38" t="str">
        <f t="shared" si="1"/>
        <v>Weekend</v>
      </c>
      <c r="H752" s="38" t="str">
        <f t="shared" si="2"/>
        <v>Night</v>
      </c>
      <c r="I752" s="38" t="str">
        <f>IF(dataset_A!C752=1,"Spring",IF(dataset_A!C752=2,"Summer",IF(dataset_A!C752=3,"Fail","Winter")))</f>
        <v>Spring</v>
      </c>
      <c r="J752" s="38" t="str">
        <f>IF(dataset_A!I752=1,"Clear",IF(dataset_A!I752,"Mist/Cloudy",IF(dataset_A!I752=3,"Light Rain/Snow","Heavy Rain/Snow")))</f>
        <v>Mist/Cloudy</v>
      </c>
      <c r="K752" s="38">
        <f>dataset_A!N752</f>
        <v>3</v>
      </c>
      <c r="L752" s="38">
        <f>dataset_A!O752</f>
        <v>13</v>
      </c>
      <c r="M752" s="38">
        <f>dataset_A!P752</f>
        <v>16</v>
      </c>
      <c r="N752" s="38" t="str">
        <f t="shared" si="3"/>
        <v>Ok</v>
      </c>
      <c r="O752" s="38" t="str">
        <f>IF(M752&gt;Analysis!$B$3*1.5,"High",IF(M752&lt;Analysis!$B$3*0.5,"Low","Medium"))</f>
        <v>Low</v>
      </c>
      <c r="P752" s="38" t="str">
        <f>VLOOKUP(dataset_A!C752,$Q$2:$R$5,2,0)</f>
        <v>Spring</v>
      </c>
      <c r="S752" s="38" t="str">
        <f t="array" ref="S752">INDEX($R$2:$R$5,MATCH(dataset_A!C752,$Q$2:$Q$5,0))</f>
        <v>Spring</v>
      </c>
      <c r="T752" s="38" t="str">
        <f t="shared" si="4"/>
        <v>Match</v>
      </c>
    </row>
    <row r="753" ht="12.75" customHeight="1">
      <c r="A753" s="38">
        <f>dataset_A!A753</f>
        <v>260</v>
      </c>
      <c r="B753" s="39">
        <f>dataset_A!B753</f>
        <v>40555</v>
      </c>
      <c r="C753" s="38">
        <f>dataset_A!F753</f>
        <v>6</v>
      </c>
      <c r="D753" s="38">
        <f>dataset_A!H753</f>
        <v>3</v>
      </c>
      <c r="E753" s="38" t="b">
        <f>dataset_A!G753</f>
        <v>0</v>
      </c>
      <c r="F753" s="38" t="b">
        <f>dataset_A!G753</f>
        <v>0</v>
      </c>
      <c r="G753" s="38" t="str">
        <f t="shared" si="1"/>
        <v>Weekday</v>
      </c>
      <c r="H753" s="38" t="str">
        <f t="shared" si="2"/>
        <v>Morning</v>
      </c>
      <c r="I753" s="38" t="str">
        <f>IF(dataset_A!C753=1,"Spring",IF(dataset_A!C753=2,"Summer",IF(dataset_A!C753=3,"Fail","Winter")))</f>
        <v>Spring</v>
      </c>
      <c r="J753" s="38" t="str">
        <f>IF(dataset_A!I753=1,"Clear",IF(dataset_A!I753,"Mist/Cloudy",IF(dataset_A!I753=3,"Light Rain/Snow","Heavy Rain/Snow")))</f>
        <v>Clear</v>
      </c>
      <c r="K753" s="38">
        <f>dataset_A!N753</f>
        <v>0</v>
      </c>
      <c r="L753" s="38">
        <f>dataset_A!O753</f>
        <v>16</v>
      </c>
      <c r="M753" s="38">
        <f>dataset_A!P753</f>
        <v>16</v>
      </c>
      <c r="N753" s="38" t="str">
        <f t="shared" si="3"/>
        <v>Ok</v>
      </c>
      <c r="O753" s="38" t="str">
        <f>IF(M753&gt;Analysis!$B$3*1.5,"High",IF(M753&lt;Analysis!$B$3*0.5,"Low","Medium"))</f>
        <v>Low</v>
      </c>
      <c r="P753" s="38" t="str">
        <f>VLOOKUP(dataset_A!C753,$Q$2:$R$5,2,0)</f>
        <v>Spring</v>
      </c>
      <c r="S753" s="38" t="str">
        <f t="array" ref="S753">INDEX($R$2:$R$5,MATCH(dataset_A!C753,$Q$2:$Q$5,0))</f>
        <v>Spring</v>
      </c>
      <c r="T753" s="38" t="str">
        <f t="shared" si="4"/>
        <v>Match</v>
      </c>
    </row>
    <row r="754" ht="12.75" customHeight="1">
      <c r="A754" s="38">
        <f>dataset_A!A754</f>
        <v>351</v>
      </c>
      <c r="B754" s="39">
        <f>dataset_A!B754</f>
        <v>40559</v>
      </c>
      <c r="C754" s="38">
        <f>dataset_A!F754</f>
        <v>2</v>
      </c>
      <c r="D754" s="38">
        <f>dataset_A!H754</f>
        <v>0</v>
      </c>
      <c r="E754" s="38" t="b">
        <f>dataset_A!G754</f>
        <v>0</v>
      </c>
      <c r="F754" s="38" t="b">
        <f>dataset_A!G754</f>
        <v>0</v>
      </c>
      <c r="G754" s="38" t="str">
        <f t="shared" si="1"/>
        <v>Weekend</v>
      </c>
      <c r="H754" s="38" t="str">
        <f t="shared" si="2"/>
        <v>Night</v>
      </c>
      <c r="I754" s="38" t="str">
        <f>IF(dataset_A!C754=1,"Spring",IF(dataset_A!C754=2,"Summer",IF(dataset_A!C754=3,"Fail","Winter")))</f>
        <v>Spring</v>
      </c>
      <c r="J754" s="38" t="str">
        <f>IF(dataset_A!I754=1,"Clear",IF(dataset_A!I754,"Mist/Cloudy",IF(dataset_A!I754=3,"Light Rain/Snow","Heavy Rain/Snow")))</f>
        <v>Clear</v>
      </c>
      <c r="K754" s="38">
        <f>dataset_A!N754</f>
        <v>3</v>
      </c>
      <c r="L754" s="38">
        <f>dataset_A!O754</f>
        <v>13</v>
      </c>
      <c r="M754" s="38">
        <f>dataset_A!P754</f>
        <v>16</v>
      </c>
      <c r="N754" s="38" t="str">
        <f t="shared" si="3"/>
        <v>Ok</v>
      </c>
      <c r="O754" s="38" t="str">
        <f>IF(M754&gt;Analysis!$B$3*1.5,"High",IF(M754&lt;Analysis!$B$3*0.5,"Low","Medium"))</f>
        <v>Low</v>
      </c>
      <c r="P754" s="38" t="str">
        <f>VLOOKUP(dataset_A!C754,$Q$2:$R$5,2,0)</f>
        <v>Spring</v>
      </c>
      <c r="S754" s="38" t="str">
        <f t="array" ref="S754">INDEX($R$2:$R$5,MATCH(dataset_A!C754,$Q$2:$Q$5,0))</f>
        <v>Spring</v>
      </c>
      <c r="T754" s="38" t="str">
        <f t="shared" si="4"/>
        <v>Match</v>
      </c>
    </row>
    <row r="755" ht="12.75" customHeight="1">
      <c r="A755" s="38">
        <f>dataset_A!A755</f>
        <v>374</v>
      </c>
      <c r="B755" s="39">
        <f>dataset_A!B755</f>
        <v>40560</v>
      </c>
      <c r="C755" s="38">
        <f>dataset_A!F755</f>
        <v>1</v>
      </c>
      <c r="D755" s="38">
        <f>dataset_A!H755</f>
        <v>1</v>
      </c>
      <c r="E755" s="38" t="b">
        <f>dataset_A!G755</f>
        <v>1</v>
      </c>
      <c r="F755" s="38" t="b">
        <f>dataset_A!G755</f>
        <v>1</v>
      </c>
      <c r="G755" s="38" t="str">
        <f t="shared" si="1"/>
        <v>Weekday</v>
      </c>
      <c r="H755" s="38" t="str">
        <f t="shared" si="2"/>
        <v>Night</v>
      </c>
      <c r="I755" s="38" t="str">
        <f>IF(dataset_A!C755=1,"Spring",IF(dataset_A!C755=2,"Summer",IF(dataset_A!C755=3,"Fail","Winter")))</f>
        <v>Spring</v>
      </c>
      <c r="J755" s="38" t="str">
        <f>IF(dataset_A!I755=1,"Clear",IF(dataset_A!I755,"Mist/Cloudy",IF(dataset_A!I755=3,"Light Rain/Snow","Heavy Rain/Snow")))</f>
        <v>Mist/Cloudy</v>
      </c>
      <c r="K755" s="38">
        <f>dataset_A!N755</f>
        <v>1</v>
      </c>
      <c r="L755" s="38">
        <f>dataset_A!O755</f>
        <v>15</v>
      </c>
      <c r="M755" s="38">
        <f>dataset_A!P755</f>
        <v>16</v>
      </c>
      <c r="N755" s="38" t="str">
        <f t="shared" si="3"/>
        <v>Ok</v>
      </c>
      <c r="O755" s="38" t="str">
        <f>IF(M755&gt;Analysis!$B$3*1.5,"High",IF(M755&lt;Analysis!$B$3*0.5,"Low","Medium"))</f>
        <v>Low</v>
      </c>
      <c r="P755" s="38" t="str">
        <f>VLOOKUP(dataset_A!C755,$Q$2:$R$5,2,0)</f>
        <v>Spring</v>
      </c>
      <c r="S755" s="38" t="str">
        <f t="array" ref="S755">INDEX($R$2:$R$5,MATCH(dataset_A!C755,$Q$2:$Q$5,0))</f>
        <v>Spring</v>
      </c>
      <c r="T755" s="38" t="str">
        <f t="shared" si="4"/>
        <v>Match</v>
      </c>
    </row>
    <row r="756" ht="12.75" customHeight="1">
      <c r="A756" s="38">
        <f>dataset_A!A756</f>
        <v>595</v>
      </c>
      <c r="B756" s="39">
        <f>dataset_A!B756</f>
        <v>40570</v>
      </c>
      <c r="C756" s="38">
        <f>dataset_A!F756</f>
        <v>23</v>
      </c>
      <c r="D756" s="38">
        <f>dataset_A!H756</f>
        <v>4</v>
      </c>
      <c r="E756" s="38" t="b">
        <f>dataset_A!G756</f>
        <v>0</v>
      </c>
      <c r="F756" s="38" t="b">
        <f>dataset_A!G756</f>
        <v>0</v>
      </c>
      <c r="G756" s="38" t="str">
        <f t="shared" si="1"/>
        <v>Weekday</v>
      </c>
      <c r="H756" s="38" t="str">
        <f t="shared" si="2"/>
        <v>Evening</v>
      </c>
      <c r="I756" s="38" t="str">
        <f>IF(dataset_A!C756=1,"Spring",IF(dataset_A!C756=2,"Summer",IF(dataset_A!C756=3,"Fail","Winter")))</f>
        <v>Spring</v>
      </c>
      <c r="J756" s="38" t="str">
        <f>IF(dataset_A!I756=1,"Clear",IF(dataset_A!I756,"Mist/Cloudy",IF(dataset_A!I756=3,"Light Rain/Snow","Heavy Rain/Snow")))</f>
        <v>Clear</v>
      </c>
      <c r="K756" s="38">
        <f>dataset_A!N756</f>
        <v>0</v>
      </c>
      <c r="L756" s="38">
        <f>dataset_A!O756</f>
        <v>16</v>
      </c>
      <c r="M756" s="38">
        <f>dataset_A!P756</f>
        <v>16</v>
      </c>
      <c r="N756" s="38" t="str">
        <f t="shared" si="3"/>
        <v>Ok</v>
      </c>
      <c r="O756" s="38" t="str">
        <f>IF(M756&gt;Analysis!$B$3*1.5,"High",IF(M756&lt;Analysis!$B$3*0.5,"Low","Medium"))</f>
        <v>Low</v>
      </c>
      <c r="P756" s="38" t="str">
        <f>VLOOKUP(dataset_A!C756,$Q$2:$R$5,2,0)</f>
        <v>Spring</v>
      </c>
      <c r="S756" s="38" t="str">
        <f t="array" ref="S756">INDEX($R$2:$R$5,MATCH(dataset_A!C756,$Q$2:$Q$5,0))</f>
        <v>Spring</v>
      </c>
      <c r="T756" s="38" t="str">
        <f t="shared" si="4"/>
        <v>Match</v>
      </c>
    </row>
    <row r="757" ht="12.75" customHeight="1">
      <c r="A757" s="38">
        <f>dataset_A!A757</f>
        <v>601</v>
      </c>
      <c r="B757" s="39">
        <f>dataset_A!B757</f>
        <v>40571</v>
      </c>
      <c r="C757" s="38">
        <f>dataset_A!F757</f>
        <v>6</v>
      </c>
      <c r="D757" s="38">
        <f>dataset_A!H757</f>
        <v>5</v>
      </c>
      <c r="E757" s="38" t="b">
        <f>dataset_A!G757</f>
        <v>0</v>
      </c>
      <c r="F757" s="38" t="b">
        <f>dataset_A!G757</f>
        <v>0</v>
      </c>
      <c r="G757" s="38" t="str">
        <f t="shared" si="1"/>
        <v>Weekday</v>
      </c>
      <c r="H757" s="38" t="str">
        <f t="shared" si="2"/>
        <v>Morning</v>
      </c>
      <c r="I757" s="38" t="str">
        <f>IF(dataset_A!C757=1,"Spring",IF(dataset_A!C757=2,"Summer",IF(dataset_A!C757=3,"Fail","Winter")))</f>
        <v>Spring</v>
      </c>
      <c r="J757" s="38" t="str">
        <f>IF(dataset_A!I757=1,"Clear",IF(dataset_A!I757,"Mist/Cloudy",IF(dataset_A!I757=3,"Light Rain/Snow","Heavy Rain/Snow")))</f>
        <v>Mist/Cloudy</v>
      </c>
      <c r="K757" s="38">
        <f>dataset_A!N757</f>
        <v>0</v>
      </c>
      <c r="L757" s="38">
        <f>dataset_A!O757</f>
        <v>16</v>
      </c>
      <c r="M757" s="38">
        <f>dataset_A!P757</f>
        <v>16</v>
      </c>
      <c r="N757" s="38" t="str">
        <f t="shared" si="3"/>
        <v>Ok</v>
      </c>
      <c r="O757" s="38" t="str">
        <f>IF(M757&gt;Analysis!$B$3*1.5,"High",IF(M757&lt;Analysis!$B$3*0.5,"Low","Medium"))</f>
        <v>Low</v>
      </c>
      <c r="P757" s="38" t="str">
        <f>VLOOKUP(dataset_A!C757,$Q$2:$R$5,2,0)</f>
        <v>Spring</v>
      </c>
      <c r="S757" s="38" t="str">
        <f t="array" ref="S757">INDEX($R$2:$R$5,MATCH(dataset_A!C757,$Q$2:$Q$5,0))</f>
        <v>Spring</v>
      </c>
      <c r="T757" s="38" t="str">
        <f t="shared" si="4"/>
        <v>Match</v>
      </c>
    </row>
    <row r="758" ht="12.75" customHeight="1">
      <c r="A758" s="38">
        <f>dataset_A!A758</f>
        <v>711</v>
      </c>
      <c r="B758" s="39">
        <f>dataset_A!B758</f>
        <v>40575</v>
      </c>
      <c r="C758" s="38">
        <f>dataset_A!F758</f>
        <v>23</v>
      </c>
      <c r="D758" s="38">
        <f>dataset_A!H758</f>
        <v>2</v>
      </c>
      <c r="E758" s="38" t="b">
        <f>dataset_A!G758</f>
        <v>0</v>
      </c>
      <c r="F758" s="38" t="b">
        <f>dataset_A!G758</f>
        <v>0</v>
      </c>
      <c r="G758" s="38" t="str">
        <f t="shared" si="1"/>
        <v>Weekday</v>
      </c>
      <c r="H758" s="38" t="str">
        <f t="shared" si="2"/>
        <v>Evening</v>
      </c>
      <c r="I758" s="38" t="str">
        <f>IF(dataset_A!C758=1,"Spring",IF(dataset_A!C758=2,"Summer",IF(dataset_A!C758=3,"Fail","Winter")))</f>
        <v>Spring</v>
      </c>
      <c r="J758" s="38" t="str">
        <f>IF(dataset_A!I758=1,"Clear",IF(dataset_A!I758,"Mist/Cloudy",IF(dataset_A!I758=3,"Light Rain/Snow","Heavy Rain/Snow")))</f>
        <v>Mist/Cloudy</v>
      </c>
      <c r="K758" s="38">
        <f>dataset_A!N758</f>
        <v>1</v>
      </c>
      <c r="L758" s="38">
        <f>dataset_A!O758</f>
        <v>15</v>
      </c>
      <c r="M758" s="38">
        <f>dataset_A!P758</f>
        <v>16</v>
      </c>
      <c r="N758" s="38" t="str">
        <f t="shared" si="3"/>
        <v>Ok</v>
      </c>
      <c r="O758" s="38" t="str">
        <f>IF(M758&gt;Analysis!$B$3*1.5,"High",IF(M758&lt;Analysis!$B$3*0.5,"Low","Medium"))</f>
        <v>Low</v>
      </c>
      <c r="P758" s="38" t="str">
        <f>VLOOKUP(dataset_A!C758,$Q$2:$R$5,2,0)</f>
        <v>Spring</v>
      </c>
      <c r="S758" s="38" t="str">
        <f t="array" ref="S758">INDEX($R$2:$R$5,MATCH(dataset_A!C758,$Q$2:$Q$5,0))</f>
        <v>Spring</v>
      </c>
      <c r="T758" s="38" t="str">
        <f t="shared" si="4"/>
        <v>Match</v>
      </c>
    </row>
    <row r="759" ht="12.75" customHeight="1">
      <c r="A759" s="38">
        <f>dataset_A!A759</f>
        <v>901</v>
      </c>
      <c r="B759" s="39">
        <f>dataset_A!B759</f>
        <v>40584</v>
      </c>
      <c r="C759" s="38">
        <f>dataset_A!F759</f>
        <v>0</v>
      </c>
      <c r="D759" s="38">
        <f>dataset_A!H759</f>
        <v>4</v>
      </c>
      <c r="E759" s="38" t="b">
        <f>dataset_A!G759</f>
        <v>0</v>
      </c>
      <c r="F759" s="38" t="b">
        <f>dataset_A!G759</f>
        <v>0</v>
      </c>
      <c r="G759" s="38" t="str">
        <f t="shared" si="1"/>
        <v>Weekday</v>
      </c>
      <c r="H759" s="38" t="str">
        <f t="shared" si="2"/>
        <v>Night</v>
      </c>
      <c r="I759" s="38" t="str">
        <f>IF(dataset_A!C759=1,"Spring",IF(dataset_A!C759=2,"Summer",IF(dataset_A!C759=3,"Fail","Winter")))</f>
        <v>Spring</v>
      </c>
      <c r="J759" s="38" t="str">
        <f>IF(dataset_A!I759=1,"Clear",IF(dataset_A!I759,"Mist/Cloudy",IF(dataset_A!I759=3,"Light Rain/Snow","Heavy Rain/Snow")))</f>
        <v>Mist/Cloudy</v>
      </c>
      <c r="K759" s="38">
        <f>dataset_A!N759</f>
        <v>0</v>
      </c>
      <c r="L759" s="38">
        <f>dataset_A!O759</f>
        <v>16</v>
      </c>
      <c r="M759" s="38">
        <f>dataset_A!P759</f>
        <v>16</v>
      </c>
      <c r="N759" s="38" t="str">
        <f t="shared" si="3"/>
        <v>Ok</v>
      </c>
      <c r="O759" s="38" t="str">
        <f>IF(M759&gt;Analysis!$B$3*1.5,"High",IF(M759&lt;Analysis!$B$3*0.5,"Low","Medium"))</f>
        <v>Low</v>
      </c>
      <c r="P759" s="38" t="str">
        <f>VLOOKUP(dataset_A!C759,$Q$2:$R$5,2,0)</f>
        <v>Spring</v>
      </c>
      <c r="S759" s="38" t="str">
        <f t="array" ref="S759">INDEX($R$2:$R$5,MATCH(dataset_A!C759,$Q$2:$Q$5,0))</f>
        <v>Spring</v>
      </c>
      <c r="T759" s="38" t="str">
        <f t="shared" si="4"/>
        <v>Match</v>
      </c>
    </row>
    <row r="760" ht="12.75" customHeight="1">
      <c r="A760" s="38">
        <f>dataset_A!A760</f>
        <v>161</v>
      </c>
      <c r="B760" s="39">
        <f>dataset_A!B760</f>
        <v>40550</v>
      </c>
      <c r="C760" s="38">
        <f>dataset_A!F760</f>
        <v>23</v>
      </c>
      <c r="D760" s="38">
        <f>dataset_A!H760</f>
        <v>5</v>
      </c>
      <c r="E760" s="38" t="b">
        <f>dataset_A!G760</f>
        <v>0</v>
      </c>
      <c r="F760" s="38" t="b">
        <f>dataset_A!G760</f>
        <v>0</v>
      </c>
      <c r="G760" s="38" t="str">
        <f t="shared" si="1"/>
        <v>Weekday</v>
      </c>
      <c r="H760" s="38" t="str">
        <f t="shared" si="2"/>
        <v>Evening</v>
      </c>
      <c r="I760" s="38" t="str">
        <f>IF(dataset_A!C760=1,"Spring",IF(dataset_A!C760=2,"Summer",IF(dataset_A!C760=3,"Fail","Winter")))</f>
        <v>Spring</v>
      </c>
      <c r="J760" s="38" t="str">
        <f>IF(dataset_A!I760=1,"Clear",IF(dataset_A!I760,"Mist/Cloudy",IF(dataset_A!I760=3,"Light Rain/Snow","Heavy Rain/Snow")))</f>
        <v>Mist/Cloudy</v>
      </c>
      <c r="K760" s="38">
        <f>dataset_A!N760</f>
        <v>1</v>
      </c>
      <c r="L760" s="38">
        <f>dataset_A!O760</f>
        <v>14</v>
      </c>
      <c r="M760" s="38">
        <f>dataset_A!P760</f>
        <v>15</v>
      </c>
      <c r="N760" s="38" t="str">
        <f t="shared" si="3"/>
        <v>Ok</v>
      </c>
      <c r="O760" s="38" t="str">
        <f>IF(M760&gt;Analysis!$B$3*1.5,"High",IF(M760&lt;Analysis!$B$3*0.5,"Low","Medium"))</f>
        <v>Low</v>
      </c>
      <c r="P760" s="38" t="str">
        <f>VLOOKUP(dataset_A!C760,$Q$2:$R$5,2,0)</f>
        <v>Spring</v>
      </c>
      <c r="S760" s="38" t="str">
        <f t="array" ref="S760">INDEX($R$2:$R$5,MATCH(dataset_A!C760,$Q$2:$Q$5,0))</f>
        <v>Spring</v>
      </c>
      <c r="T760" s="38" t="str">
        <f t="shared" si="4"/>
        <v>Match</v>
      </c>
    </row>
    <row r="761" ht="12.75" customHeight="1">
      <c r="A761" s="38">
        <f>dataset_A!A761</f>
        <v>170</v>
      </c>
      <c r="B761" s="39">
        <f>dataset_A!B761</f>
        <v>40551</v>
      </c>
      <c r="C761" s="38">
        <f>dataset_A!F761</f>
        <v>8</v>
      </c>
      <c r="D761" s="38">
        <f>dataset_A!H761</f>
        <v>6</v>
      </c>
      <c r="E761" s="38" t="b">
        <f>dataset_A!G761</f>
        <v>0</v>
      </c>
      <c r="F761" s="38" t="b">
        <f>dataset_A!G761</f>
        <v>0</v>
      </c>
      <c r="G761" s="38" t="str">
        <f t="shared" si="1"/>
        <v>Weekend</v>
      </c>
      <c r="H761" s="38" t="str">
        <f t="shared" si="2"/>
        <v>Morning</v>
      </c>
      <c r="I761" s="38" t="str">
        <f>IF(dataset_A!C761=1,"Spring",IF(dataset_A!C761=2,"Summer",IF(dataset_A!C761=3,"Fail","Winter")))</f>
        <v>Spring</v>
      </c>
      <c r="J761" s="38" t="str">
        <f>IF(dataset_A!I761=1,"Clear",IF(dataset_A!I761,"Mist/Cloudy",IF(dataset_A!I761=3,"Light Rain/Snow","Heavy Rain/Snow")))</f>
        <v>Mist/Cloudy</v>
      </c>
      <c r="K761" s="38">
        <f>dataset_A!N761</f>
        <v>0</v>
      </c>
      <c r="L761" s="38">
        <f>dataset_A!O761</f>
        <v>15</v>
      </c>
      <c r="M761" s="38">
        <f>dataset_A!P761</f>
        <v>15</v>
      </c>
      <c r="N761" s="38" t="str">
        <f t="shared" si="3"/>
        <v>Ok</v>
      </c>
      <c r="O761" s="38" t="str">
        <f>IF(M761&gt;Analysis!$B$3*1.5,"High",IF(M761&lt;Analysis!$B$3*0.5,"Low","Medium"))</f>
        <v>Low</v>
      </c>
      <c r="P761" s="38" t="str">
        <f>VLOOKUP(dataset_A!C761,$Q$2:$R$5,2,0)</f>
        <v>Spring</v>
      </c>
      <c r="S761" s="38" t="str">
        <f t="array" ref="S761">INDEX($R$2:$R$5,MATCH(dataset_A!C761,$Q$2:$Q$5,0))</f>
        <v>Spring</v>
      </c>
      <c r="T761" s="38" t="str">
        <f t="shared" si="4"/>
        <v>Match</v>
      </c>
    </row>
    <row r="762" ht="12.75" customHeight="1">
      <c r="A762" s="38">
        <f>dataset_A!A762</f>
        <v>208</v>
      </c>
      <c r="B762" s="39">
        <f>dataset_A!B762</f>
        <v>40552</v>
      </c>
      <c r="C762" s="38">
        <f>dataset_A!F762</f>
        <v>22</v>
      </c>
      <c r="D762" s="38">
        <f>dataset_A!H762</f>
        <v>0</v>
      </c>
      <c r="E762" s="38" t="b">
        <f>dataset_A!G762</f>
        <v>0</v>
      </c>
      <c r="F762" s="38" t="b">
        <f>dataset_A!G762</f>
        <v>0</v>
      </c>
      <c r="G762" s="38" t="str">
        <f t="shared" si="1"/>
        <v>Weekend</v>
      </c>
      <c r="H762" s="38" t="str">
        <f t="shared" si="2"/>
        <v>Evening</v>
      </c>
      <c r="I762" s="38" t="str">
        <f>IF(dataset_A!C762=1,"Spring",IF(dataset_A!C762=2,"Summer",IF(dataset_A!C762=3,"Fail","Winter")))</f>
        <v>Spring</v>
      </c>
      <c r="J762" s="38" t="str">
        <f>IF(dataset_A!I762=1,"Clear",IF(dataset_A!I762,"Mist/Cloudy",IF(dataset_A!I762=3,"Light Rain/Snow","Heavy Rain/Snow")))</f>
        <v>Clear</v>
      </c>
      <c r="K762" s="38">
        <f>dataset_A!N762</f>
        <v>5</v>
      </c>
      <c r="L762" s="38">
        <f>dataset_A!O762</f>
        <v>10</v>
      </c>
      <c r="M762" s="38">
        <f>dataset_A!P762</f>
        <v>15</v>
      </c>
      <c r="N762" s="38" t="str">
        <f t="shared" si="3"/>
        <v>Ok</v>
      </c>
      <c r="O762" s="38" t="str">
        <f>IF(M762&gt;Analysis!$B$3*1.5,"High",IF(M762&lt;Analysis!$B$3*0.5,"Low","Medium"))</f>
        <v>Low</v>
      </c>
      <c r="P762" s="38" t="str">
        <f>VLOOKUP(dataset_A!C762,$Q$2:$R$5,2,0)</f>
        <v>Spring</v>
      </c>
      <c r="S762" s="38" t="str">
        <f t="array" ref="S762">INDEX($R$2:$R$5,MATCH(dataset_A!C762,$Q$2:$Q$5,0))</f>
        <v>Spring</v>
      </c>
      <c r="T762" s="38" t="str">
        <f t="shared" si="4"/>
        <v>Match</v>
      </c>
    </row>
    <row r="763" ht="12.75" customHeight="1">
      <c r="A763" s="38">
        <f>dataset_A!A763</f>
        <v>301</v>
      </c>
      <c r="B763" s="39">
        <f>dataset_A!B763</f>
        <v>40556</v>
      </c>
      <c r="C763" s="38">
        <f>dataset_A!F763</f>
        <v>23</v>
      </c>
      <c r="D763" s="38">
        <f>dataset_A!H763</f>
        <v>4</v>
      </c>
      <c r="E763" s="38" t="b">
        <f>dataset_A!G763</f>
        <v>0</v>
      </c>
      <c r="F763" s="38" t="b">
        <f>dataset_A!G763</f>
        <v>0</v>
      </c>
      <c r="G763" s="38" t="str">
        <f t="shared" si="1"/>
        <v>Weekday</v>
      </c>
      <c r="H763" s="38" t="str">
        <f t="shared" si="2"/>
        <v>Evening</v>
      </c>
      <c r="I763" s="38" t="str">
        <f>IF(dataset_A!C763=1,"Spring",IF(dataset_A!C763=2,"Summer",IF(dataset_A!C763=3,"Fail","Winter")))</f>
        <v>Spring</v>
      </c>
      <c r="J763" s="38" t="str">
        <f>IF(dataset_A!I763=1,"Clear",IF(dataset_A!I763,"Mist/Cloudy",IF(dataset_A!I763=3,"Light Rain/Snow","Heavy Rain/Snow")))</f>
        <v>Clear</v>
      </c>
      <c r="K763" s="38">
        <f>dataset_A!N763</f>
        <v>1</v>
      </c>
      <c r="L763" s="38">
        <f>dataset_A!O763</f>
        <v>14</v>
      </c>
      <c r="M763" s="38">
        <f>dataset_A!P763</f>
        <v>15</v>
      </c>
      <c r="N763" s="38" t="str">
        <f t="shared" si="3"/>
        <v>Ok</v>
      </c>
      <c r="O763" s="38" t="str">
        <f>IF(M763&gt;Analysis!$B$3*1.5,"High",IF(M763&lt;Analysis!$B$3*0.5,"Low","Medium"))</f>
        <v>Low</v>
      </c>
      <c r="P763" s="38" t="str">
        <f>VLOOKUP(dataset_A!C763,$Q$2:$R$5,2,0)</f>
        <v>Spring</v>
      </c>
      <c r="S763" s="38" t="str">
        <f t="array" ref="S763">INDEX($R$2:$R$5,MATCH(dataset_A!C763,$Q$2:$Q$5,0))</f>
        <v>Spring</v>
      </c>
      <c r="T763" s="38" t="str">
        <f t="shared" si="4"/>
        <v>Match</v>
      </c>
    </row>
    <row r="764" ht="12.75" customHeight="1">
      <c r="A764" s="38">
        <f>dataset_A!A764</f>
        <v>352</v>
      </c>
      <c r="B764" s="39">
        <f>dataset_A!B764</f>
        <v>40559</v>
      </c>
      <c r="C764" s="38">
        <f>dataset_A!F764</f>
        <v>3</v>
      </c>
      <c r="D764" s="38">
        <f>dataset_A!H764</f>
        <v>0</v>
      </c>
      <c r="E764" s="38" t="b">
        <f>dataset_A!G764</f>
        <v>0</v>
      </c>
      <c r="F764" s="38" t="b">
        <f>dataset_A!G764</f>
        <v>0</v>
      </c>
      <c r="G764" s="38" t="str">
        <f t="shared" si="1"/>
        <v>Weekend</v>
      </c>
      <c r="H764" s="38" t="str">
        <f t="shared" si="2"/>
        <v>Night</v>
      </c>
      <c r="I764" s="38" t="str">
        <f>IF(dataset_A!C764=1,"Spring",IF(dataset_A!C764=2,"Summer",IF(dataset_A!C764=3,"Fail","Winter")))</f>
        <v>Spring</v>
      </c>
      <c r="J764" s="38" t="str">
        <f>IF(dataset_A!I764=1,"Clear",IF(dataset_A!I764,"Mist/Cloudy",IF(dataset_A!I764=3,"Light Rain/Snow","Heavy Rain/Snow")))</f>
        <v>Clear</v>
      </c>
      <c r="K764" s="38">
        <f>dataset_A!N764</f>
        <v>9</v>
      </c>
      <c r="L764" s="38">
        <f>dataset_A!O764</f>
        <v>6</v>
      </c>
      <c r="M764" s="38">
        <f>dataset_A!P764</f>
        <v>15</v>
      </c>
      <c r="N764" s="38" t="str">
        <f t="shared" si="3"/>
        <v>Ok</v>
      </c>
      <c r="O764" s="38" t="str">
        <f>IF(M764&gt;Analysis!$B$3*1.5,"High",IF(M764&lt;Analysis!$B$3*0.5,"Low","Medium"))</f>
        <v>Low</v>
      </c>
      <c r="P764" s="38" t="str">
        <f>VLOOKUP(dataset_A!C764,$Q$2:$R$5,2,0)</f>
        <v>Spring</v>
      </c>
      <c r="S764" s="38" t="str">
        <f t="array" ref="S764">INDEX($R$2:$R$5,MATCH(dataset_A!C764,$Q$2:$Q$5,0))</f>
        <v>Spring</v>
      </c>
      <c r="T764" s="38" t="str">
        <f t="shared" si="4"/>
        <v>Match</v>
      </c>
    </row>
    <row r="765" ht="12.75" customHeight="1">
      <c r="A765" s="38">
        <f>dataset_A!A765</f>
        <v>531</v>
      </c>
      <c r="B765" s="39">
        <f>dataset_A!B765</f>
        <v>40567</v>
      </c>
      <c r="C765" s="38">
        <f>dataset_A!F765</f>
        <v>6</v>
      </c>
      <c r="D765" s="38">
        <f>dataset_A!H765</f>
        <v>1</v>
      </c>
      <c r="E765" s="38" t="b">
        <f>dataset_A!G765</f>
        <v>0</v>
      </c>
      <c r="F765" s="38" t="b">
        <f>dataset_A!G765</f>
        <v>0</v>
      </c>
      <c r="G765" s="38" t="str">
        <f t="shared" si="1"/>
        <v>Weekday</v>
      </c>
      <c r="H765" s="38" t="str">
        <f t="shared" si="2"/>
        <v>Morning</v>
      </c>
      <c r="I765" s="38" t="str">
        <f>IF(dataset_A!C765=1,"Spring",IF(dataset_A!C765=2,"Summer",IF(dataset_A!C765=3,"Fail","Winter")))</f>
        <v>Spring</v>
      </c>
      <c r="J765" s="38" t="str">
        <f>IF(dataset_A!I765=1,"Clear",IF(dataset_A!I765,"Mist/Cloudy",IF(dataset_A!I765=3,"Light Rain/Snow","Heavy Rain/Snow")))</f>
        <v>Clear</v>
      </c>
      <c r="K765" s="38">
        <f>dataset_A!N765</f>
        <v>0</v>
      </c>
      <c r="L765" s="38">
        <f>dataset_A!O765</f>
        <v>15</v>
      </c>
      <c r="M765" s="38">
        <f>dataset_A!P765</f>
        <v>15</v>
      </c>
      <c r="N765" s="38" t="str">
        <f t="shared" si="3"/>
        <v>Ok</v>
      </c>
      <c r="O765" s="38" t="str">
        <f>IF(M765&gt;Analysis!$B$3*1.5,"High",IF(M765&lt;Analysis!$B$3*0.5,"Low","Medium"))</f>
        <v>Low</v>
      </c>
      <c r="P765" s="38" t="str">
        <f>VLOOKUP(dataset_A!C765,$Q$2:$R$5,2,0)</f>
        <v>Spring</v>
      </c>
      <c r="S765" s="38" t="str">
        <f t="array" ref="S765">INDEX($R$2:$R$5,MATCH(dataset_A!C765,$Q$2:$Q$5,0))</f>
        <v>Spring</v>
      </c>
      <c r="T765" s="38" t="str">
        <f t="shared" si="4"/>
        <v>Match</v>
      </c>
    </row>
    <row r="766" ht="12.75" customHeight="1">
      <c r="A766" s="38">
        <f>dataset_A!A766</f>
        <v>621</v>
      </c>
      <c r="B766" s="39">
        <f>dataset_A!B766</f>
        <v>40572</v>
      </c>
      <c r="C766" s="38">
        <f>dataset_A!F766</f>
        <v>2</v>
      </c>
      <c r="D766" s="38">
        <f>dataset_A!H766</f>
        <v>6</v>
      </c>
      <c r="E766" s="38" t="b">
        <f>dataset_A!G766</f>
        <v>0</v>
      </c>
      <c r="F766" s="38" t="b">
        <f>dataset_A!G766</f>
        <v>0</v>
      </c>
      <c r="G766" s="38" t="str">
        <f t="shared" si="1"/>
        <v>Weekend</v>
      </c>
      <c r="H766" s="38" t="str">
        <f t="shared" si="2"/>
        <v>Night</v>
      </c>
      <c r="I766" s="38" t="str">
        <f>IF(dataset_A!C766=1,"Spring",IF(dataset_A!C766=2,"Summer",IF(dataset_A!C766=3,"Fail","Winter")))</f>
        <v>Spring</v>
      </c>
      <c r="J766" s="38" t="str">
        <f>IF(dataset_A!I766=1,"Clear",IF(dataset_A!I766,"Mist/Cloudy",IF(dataset_A!I766=3,"Light Rain/Snow","Heavy Rain/Snow")))</f>
        <v>Clear</v>
      </c>
      <c r="K766" s="38">
        <f>dataset_A!N766</f>
        <v>0</v>
      </c>
      <c r="L766" s="38">
        <f>dataset_A!O766</f>
        <v>15</v>
      </c>
      <c r="M766" s="38">
        <f>dataset_A!P766</f>
        <v>15</v>
      </c>
      <c r="N766" s="38" t="str">
        <f t="shared" si="3"/>
        <v>Ok</v>
      </c>
      <c r="O766" s="38" t="str">
        <f>IF(M766&gt;Analysis!$B$3*1.5,"High",IF(M766&lt;Analysis!$B$3*0.5,"Low","Medium"))</f>
        <v>Low</v>
      </c>
      <c r="P766" s="38" t="str">
        <f>VLOOKUP(dataset_A!C766,$Q$2:$R$5,2,0)</f>
        <v>Spring</v>
      </c>
      <c r="S766" s="38" t="str">
        <f t="array" ref="S766">INDEX($R$2:$R$5,MATCH(dataset_A!C766,$Q$2:$Q$5,0))</f>
        <v>Spring</v>
      </c>
      <c r="T766" s="38" t="str">
        <f t="shared" si="4"/>
        <v>Match</v>
      </c>
    </row>
    <row r="767" ht="12.75" customHeight="1">
      <c r="A767" s="38">
        <f>dataset_A!A767</f>
        <v>830</v>
      </c>
      <c r="B767" s="39">
        <f>dataset_A!B767</f>
        <v>40581</v>
      </c>
      <c r="C767" s="38">
        <f>dataset_A!F767</f>
        <v>0</v>
      </c>
      <c r="D767" s="38">
        <f>dataset_A!H767</f>
        <v>1</v>
      </c>
      <c r="E767" s="38" t="b">
        <f>dataset_A!G767</f>
        <v>0</v>
      </c>
      <c r="F767" s="38" t="b">
        <f>dataset_A!G767</f>
        <v>0</v>
      </c>
      <c r="G767" s="38" t="str">
        <f t="shared" si="1"/>
        <v>Weekday</v>
      </c>
      <c r="H767" s="38" t="str">
        <f t="shared" si="2"/>
        <v>Night</v>
      </c>
      <c r="I767" s="38" t="str">
        <f>IF(dataset_A!C767=1,"Spring",IF(dataset_A!C767=2,"Summer",IF(dataset_A!C767=3,"Fail","Winter")))</f>
        <v>Spring</v>
      </c>
      <c r="J767" s="38" t="str">
        <f>IF(dataset_A!I767=1,"Clear",IF(dataset_A!I767,"Mist/Cloudy",IF(dataset_A!I767=3,"Light Rain/Snow","Heavy Rain/Snow")))</f>
        <v>Clear</v>
      </c>
      <c r="K767" s="38">
        <f>dataset_A!N767</f>
        <v>1</v>
      </c>
      <c r="L767" s="38">
        <f>dataset_A!O767</f>
        <v>14</v>
      </c>
      <c r="M767" s="38">
        <f>dataset_A!P767</f>
        <v>15</v>
      </c>
      <c r="N767" s="38" t="str">
        <f t="shared" si="3"/>
        <v>Ok</v>
      </c>
      <c r="O767" s="38" t="str">
        <f>IF(M767&gt;Analysis!$B$3*1.5,"High",IF(M767&lt;Analysis!$B$3*0.5,"Low","Medium"))</f>
        <v>Low</v>
      </c>
      <c r="P767" s="38" t="str">
        <f>VLOOKUP(dataset_A!C767,$Q$2:$R$5,2,0)</f>
        <v>Spring</v>
      </c>
      <c r="S767" s="38" t="str">
        <f t="array" ref="S767">INDEX($R$2:$R$5,MATCH(dataset_A!C767,$Q$2:$Q$5,0))</f>
        <v>Spring</v>
      </c>
      <c r="T767" s="38" t="str">
        <f t="shared" si="4"/>
        <v>Match</v>
      </c>
    </row>
    <row r="768" ht="12.75" customHeight="1">
      <c r="A768" s="38">
        <f>dataset_A!A768</f>
        <v>948</v>
      </c>
      <c r="B768" s="39">
        <f>dataset_A!B768</f>
        <v>40586</v>
      </c>
      <c r="C768" s="38">
        <f>dataset_A!F768</f>
        <v>2</v>
      </c>
      <c r="D768" s="38">
        <f>dataset_A!H768</f>
        <v>6</v>
      </c>
      <c r="E768" s="38" t="b">
        <f>dataset_A!G768</f>
        <v>0</v>
      </c>
      <c r="F768" s="38" t="b">
        <f>dataset_A!G768</f>
        <v>0</v>
      </c>
      <c r="G768" s="38" t="str">
        <f t="shared" si="1"/>
        <v>Weekend</v>
      </c>
      <c r="H768" s="38" t="str">
        <f t="shared" si="2"/>
        <v>Night</v>
      </c>
      <c r="I768" s="38" t="str">
        <f>IF(dataset_A!C768=1,"Spring",IF(dataset_A!C768=2,"Summer",IF(dataset_A!C768=3,"Fail","Winter")))</f>
        <v>Spring</v>
      </c>
      <c r="J768" s="38" t="str">
        <f>IF(dataset_A!I768=1,"Clear",IF(dataset_A!I768,"Mist/Cloudy",IF(dataset_A!I768=3,"Light Rain/Snow","Heavy Rain/Snow")))</f>
        <v>Clear</v>
      </c>
      <c r="K768" s="38">
        <f>dataset_A!N768</f>
        <v>2</v>
      </c>
      <c r="L768" s="38">
        <f>dataset_A!O768</f>
        <v>13</v>
      </c>
      <c r="M768" s="38">
        <f>dataset_A!P768</f>
        <v>15</v>
      </c>
      <c r="N768" s="38" t="str">
        <f t="shared" si="3"/>
        <v>Ok</v>
      </c>
      <c r="O768" s="38" t="str">
        <f>IF(M768&gt;Analysis!$B$3*1.5,"High",IF(M768&lt;Analysis!$B$3*0.5,"Low","Medium"))</f>
        <v>Low</v>
      </c>
      <c r="P768" s="38" t="str">
        <f>VLOOKUP(dataset_A!C768,$Q$2:$R$5,2,0)</f>
        <v>Spring</v>
      </c>
      <c r="S768" s="38" t="str">
        <f t="array" ref="S768">INDEX($R$2:$R$5,MATCH(dataset_A!C768,$Q$2:$Q$5,0))</f>
        <v>Spring</v>
      </c>
      <c r="T768" s="38" t="str">
        <f t="shared" si="4"/>
        <v>Match</v>
      </c>
    </row>
    <row r="769" ht="12.75" customHeight="1">
      <c r="A769" s="38">
        <f>dataset_A!A769</f>
        <v>10</v>
      </c>
      <c r="B769" s="39">
        <f>dataset_A!B769</f>
        <v>40544</v>
      </c>
      <c r="C769" s="38">
        <f>dataset_A!F769</f>
        <v>9</v>
      </c>
      <c r="D769" s="38">
        <f>dataset_A!H769</f>
        <v>6</v>
      </c>
      <c r="E769" s="38" t="b">
        <f>dataset_A!G769</f>
        <v>0</v>
      </c>
      <c r="F769" s="38" t="b">
        <f>dataset_A!G769</f>
        <v>0</v>
      </c>
      <c r="G769" s="38" t="str">
        <f t="shared" si="1"/>
        <v>Weekend</v>
      </c>
      <c r="H769" s="38" t="str">
        <f t="shared" si="2"/>
        <v>Morning</v>
      </c>
      <c r="I769" s="38" t="str">
        <f>IF(dataset_A!C769=1,"Spring",IF(dataset_A!C769=2,"Summer",IF(dataset_A!C769=3,"Fail","Winter")))</f>
        <v>Spring</v>
      </c>
      <c r="J769" s="38" t="str">
        <f>IF(dataset_A!I769=1,"Clear",IF(dataset_A!I769,"Mist/Cloudy",IF(dataset_A!I769=3,"Light Rain/Snow","Heavy Rain/Snow")))</f>
        <v>Clear</v>
      </c>
      <c r="K769" s="38">
        <f>dataset_A!N769</f>
        <v>8</v>
      </c>
      <c r="L769" s="38">
        <f>dataset_A!O769</f>
        <v>6</v>
      </c>
      <c r="M769" s="38">
        <f>dataset_A!P769</f>
        <v>14</v>
      </c>
      <c r="N769" s="38" t="str">
        <f t="shared" si="3"/>
        <v>Ok</v>
      </c>
      <c r="O769" s="38" t="str">
        <f>IF(M769&gt;Analysis!$B$3*1.5,"High",IF(M769&lt;Analysis!$B$3*0.5,"Low","Medium"))</f>
        <v>Low</v>
      </c>
      <c r="P769" s="38" t="str">
        <f>VLOOKUP(dataset_A!C769,$Q$2:$R$5,2,0)</f>
        <v>Spring</v>
      </c>
      <c r="S769" s="38" t="str">
        <f t="array" ref="S769">INDEX($R$2:$R$5,MATCH(dataset_A!C769,$Q$2:$Q$5,0))</f>
        <v>Spring</v>
      </c>
      <c r="T769" s="38" t="str">
        <f t="shared" si="4"/>
        <v>Match</v>
      </c>
    </row>
    <row r="770" ht="12.75" customHeight="1">
      <c r="A770" s="38">
        <f>dataset_A!A770</f>
        <v>302</v>
      </c>
      <c r="B770" s="39">
        <f>dataset_A!B770</f>
        <v>40557</v>
      </c>
      <c r="C770" s="38">
        <f>dataset_A!F770</f>
        <v>0</v>
      </c>
      <c r="D770" s="38">
        <f>dataset_A!H770</f>
        <v>5</v>
      </c>
      <c r="E770" s="38" t="b">
        <f>dataset_A!G770</f>
        <v>0</v>
      </c>
      <c r="F770" s="38" t="b">
        <f>dataset_A!G770</f>
        <v>0</v>
      </c>
      <c r="G770" s="38" t="str">
        <f t="shared" si="1"/>
        <v>Weekday</v>
      </c>
      <c r="H770" s="38" t="str">
        <f t="shared" si="2"/>
        <v>Night</v>
      </c>
      <c r="I770" s="38" t="str">
        <f>IF(dataset_A!C770=1,"Spring",IF(dataset_A!C770=2,"Summer",IF(dataset_A!C770=3,"Fail","Winter")))</f>
        <v>Spring</v>
      </c>
      <c r="J770" s="38" t="str">
        <f>IF(dataset_A!I770=1,"Clear",IF(dataset_A!I770,"Mist/Cloudy",IF(dataset_A!I770=3,"Light Rain/Snow","Heavy Rain/Snow")))</f>
        <v>Clear</v>
      </c>
      <c r="K770" s="38">
        <f>dataset_A!N770</f>
        <v>0</v>
      </c>
      <c r="L770" s="38">
        <f>dataset_A!O770</f>
        <v>14</v>
      </c>
      <c r="M770" s="38">
        <f>dataset_A!P770</f>
        <v>14</v>
      </c>
      <c r="N770" s="38" t="str">
        <f t="shared" si="3"/>
        <v>Ok</v>
      </c>
      <c r="O770" s="38" t="str">
        <f>IF(M770&gt;Analysis!$B$3*1.5,"High",IF(M770&lt;Analysis!$B$3*0.5,"Low","Medium"))</f>
        <v>Low</v>
      </c>
      <c r="P770" s="38" t="str">
        <f>VLOOKUP(dataset_A!C770,$Q$2:$R$5,2,0)</f>
        <v>Spring</v>
      </c>
      <c r="S770" s="38" t="str">
        <f t="array" ref="S770">INDEX($R$2:$R$5,MATCH(dataset_A!C770,$Q$2:$Q$5,0))</f>
        <v>Spring</v>
      </c>
      <c r="T770" s="38" t="str">
        <f t="shared" si="4"/>
        <v>Match</v>
      </c>
    </row>
    <row r="771" ht="12.75" customHeight="1">
      <c r="A771" s="38">
        <f>dataset_A!A771</f>
        <v>924</v>
      </c>
      <c r="B771" s="39">
        <f>dataset_A!B771</f>
        <v>40585</v>
      </c>
      <c r="C771" s="38">
        <f>dataset_A!F771</f>
        <v>0</v>
      </c>
      <c r="D771" s="38">
        <f>dataset_A!H771</f>
        <v>5</v>
      </c>
      <c r="E771" s="38" t="b">
        <f>dataset_A!G771</f>
        <v>0</v>
      </c>
      <c r="F771" s="38" t="b">
        <f>dataset_A!G771</f>
        <v>0</v>
      </c>
      <c r="G771" s="38" t="str">
        <f t="shared" si="1"/>
        <v>Weekday</v>
      </c>
      <c r="H771" s="38" t="str">
        <f t="shared" si="2"/>
        <v>Night</v>
      </c>
      <c r="I771" s="38" t="str">
        <f>IF(dataset_A!C771=1,"Spring",IF(dataset_A!C771=2,"Summer",IF(dataset_A!C771=3,"Fail","Winter")))</f>
        <v>Spring</v>
      </c>
      <c r="J771" s="38" t="str">
        <f>IF(dataset_A!I771=1,"Clear",IF(dataset_A!I771,"Mist/Cloudy",IF(dataset_A!I771=3,"Light Rain/Snow","Heavy Rain/Snow")))</f>
        <v>Clear</v>
      </c>
      <c r="K771" s="38">
        <f>dataset_A!N771</f>
        <v>2</v>
      </c>
      <c r="L771" s="38">
        <f>dataset_A!O771</f>
        <v>12</v>
      </c>
      <c r="M771" s="38">
        <f>dataset_A!P771</f>
        <v>14</v>
      </c>
      <c r="N771" s="38" t="str">
        <f t="shared" si="3"/>
        <v>Ok</v>
      </c>
      <c r="O771" s="38" t="str">
        <f>IF(M771&gt;Analysis!$B$3*1.5,"High",IF(M771&lt;Analysis!$B$3*0.5,"Low","Medium"))</f>
        <v>Low</v>
      </c>
      <c r="P771" s="38" t="str">
        <f>VLOOKUP(dataset_A!C771,$Q$2:$R$5,2,0)</f>
        <v>Spring</v>
      </c>
      <c r="S771" s="38" t="str">
        <f t="array" ref="S771">INDEX($R$2:$R$5,MATCH(dataset_A!C771,$Q$2:$Q$5,0))</f>
        <v>Spring</v>
      </c>
      <c r="T771" s="38" t="str">
        <f t="shared" si="4"/>
        <v>Match</v>
      </c>
    </row>
    <row r="772" ht="12.75" customHeight="1">
      <c r="A772" s="38">
        <f>dataset_A!A772</f>
        <v>4</v>
      </c>
      <c r="B772" s="39">
        <f>dataset_A!B772</f>
        <v>40544</v>
      </c>
      <c r="C772" s="38">
        <f>dataset_A!F772</f>
        <v>3</v>
      </c>
      <c r="D772" s="38">
        <f>dataset_A!H772</f>
        <v>6</v>
      </c>
      <c r="E772" s="38" t="b">
        <f>dataset_A!G772</f>
        <v>0</v>
      </c>
      <c r="F772" s="38" t="b">
        <f>dataset_A!G772</f>
        <v>0</v>
      </c>
      <c r="G772" s="38" t="str">
        <f t="shared" si="1"/>
        <v>Weekend</v>
      </c>
      <c r="H772" s="38" t="str">
        <f t="shared" si="2"/>
        <v>Night</v>
      </c>
      <c r="I772" s="38" t="str">
        <f>IF(dataset_A!C772=1,"Spring",IF(dataset_A!C772=2,"Summer",IF(dataset_A!C772=3,"Fail","Winter")))</f>
        <v>Spring</v>
      </c>
      <c r="J772" s="38" t="str">
        <f>IF(dataset_A!I772=1,"Clear",IF(dataset_A!I772,"Mist/Cloudy",IF(dataset_A!I772=3,"Light Rain/Snow","Heavy Rain/Snow")))</f>
        <v>Clear</v>
      </c>
      <c r="K772" s="38">
        <f>dataset_A!N772</f>
        <v>3</v>
      </c>
      <c r="L772" s="38">
        <f>dataset_A!O772</f>
        <v>10</v>
      </c>
      <c r="M772" s="38">
        <f>dataset_A!P772</f>
        <v>13</v>
      </c>
      <c r="N772" s="38" t="str">
        <f t="shared" si="3"/>
        <v>Ok</v>
      </c>
      <c r="O772" s="38" t="str">
        <f>IF(M772&gt;Analysis!$B$3*1.5,"High",IF(M772&lt;Analysis!$B$3*0.5,"Low","Medium"))</f>
        <v>Low</v>
      </c>
      <c r="P772" s="38" t="str">
        <f>VLOOKUP(dataset_A!C772,$Q$2:$R$5,2,0)</f>
        <v>Spring</v>
      </c>
      <c r="S772" s="38" t="str">
        <f t="array" ref="S772">INDEX($R$2:$R$5,MATCH(dataset_A!C772,$Q$2:$Q$5,0))</f>
        <v>Spring</v>
      </c>
      <c r="T772" s="38" t="str">
        <f t="shared" si="4"/>
        <v>Match</v>
      </c>
    </row>
    <row r="773" ht="12.75" customHeight="1">
      <c r="A773" s="38">
        <f>dataset_A!A773</f>
        <v>380</v>
      </c>
      <c r="B773" s="39">
        <f>dataset_A!B773</f>
        <v>40560</v>
      </c>
      <c r="C773" s="38">
        <f>dataset_A!F773</f>
        <v>7</v>
      </c>
      <c r="D773" s="38">
        <f>dataset_A!H773</f>
        <v>1</v>
      </c>
      <c r="E773" s="38" t="b">
        <f>dataset_A!G773</f>
        <v>1</v>
      </c>
      <c r="F773" s="38" t="b">
        <f>dataset_A!G773</f>
        <v>1</v>
      </c>
      <c r="G773" s="38" t="str">
        <f t="shared" si="1"/>
        <v>Weekday</v>
      </c>
      <c r="H773" s="38" t="str">
        <f t="shared" si="2"/>
        <v>Morning</v>
      </c>
      <c r="I773" s="38" t="str">
        <f>IF(dataset_A!C773=1,"Spring",IF(dataset_A!C773=2,"Summer",IF(dataset_A!C773=3,"Fail","Winter")))</f>
        <v>Spring</v>
      </c>
      <c r="J773" s="38" t="str">
        <f>IF(dataset_A!I773=1,"Clear",IF(dataset_A!I773,"Mist/Cloudy",IF(dataset_A!I773=3,"Light Rain/Snow","Heavy Rain/Snow")))</f>
        <v>Mist/Cloudy</v>
      </c>
      <c r="K773" s="38">
        <f>dataset_A!N773</f>
        <v>4</v>
      </c>
      <c r="L773" s="38">
        <f>dataset_A!O773</f>
        <v>9</v>
      </c>
      <c r="M773" s="38">
        <f>dataset_A!P773</f>
        <v>13</v>
      </c>
      <c r="N773" s="38" t="str">
        <f t="shared" si="3"/>
        <v>Ok</v>
      </c>
      <c r="O773" s="38" t="str">
        <f>IF(M773&gt;Analysis!$B$3*1.5,"High",IF(M773&lt;Analysis!$B$3*0.5,"Low","Medium"))</f>
        <v>Low</v>
      </c>
      <c r="P773" s="38" t="str">
        <f>VLOOKUP(dataset_A!C773,$Q$2:$R$5,2,0)</f>
        <v>Spring</v>
      </c>
      <c r="S773" s="38" t="str">
        <f t="array" ref="S773">INDEX($R$2:$R$5,MATCH(dataset_A!C773,$Q$2:$Q$5,0))</f>
        <v>Spring</v>
      </c>
      <c r="T773" s="38" t="str">
        <f t="shared" si="4"/>
        <v>Match</v>
      </c>
    </row>
    <row r="774" ht="12.75" customHeight="1">
      <c r="A774" s="38">
        <f>dataset_A!A774</f>
        <v>395</v>
      </c>
      <c r="B774" s="39">
        <f>dataset_A!B774</f>
        <v>40560</v>
      </c>
      <c r="C774" s="38">
        <f>dataset_A!F774</f>
        <v>22</v>
      </c>
      <c r="D774" s="38">
        <f>dataset_A!H774</f>
        <v>1</v>
      </c>
      <c r="E774" s="38" t="b">
        <f>dataset_A!G774</f>
        <v>1</v>
      </c>
      <c r="F774" s="38" t="b">
        <f>dataset_A!G774</f>
        <v>1</v>
      </c>
      <c r="G774" s="38" t="str">
        <f t="shared" si="1"/>
        <v>Weekday</v>
      </c>
      <c r="H774" s="38" t="str">
        <f t="shared" si="2"/>
        <v>Evening</v>
      </c>
      <c r="I774" s="38" t="str">
        <f>IF(dataset_A!C774=1,"Spring",IF(dataset_A!C774=2,"Summer",IF(dataset_A!C774=3,"Fail","Winter")))</f>
        <v>Spring</v>
      </c>
      <c r="J774" s="38" t="str">
        <f>IF(dataset_A!I774=1,"Clear",IF(dataset_A!I774,"Mist/Cloudy",IF(dataset_A!I774=3,"Light Rain/Snow","Heavy Rain/Snow")))</f>
        <v>Mist/Cloudy</v>
      </c>
      <c r="K774" s="38">
        <f>dataset_A!N774</f>
        <v>0</v>
      </c>
      <c r="L774" s="38">
        <f>dataset_A!O774</f>
        <v>13</v>
      </c>
      <c r="M774" s="38">
        <f>dataset_A!P774</f>
        <v>13</v>
      </c>
      <c r="N774" s="38" t="str">
        <f t="shared" si="3"/>
        <v>Ok</v>
      </c>
      <c r="O774" s="38" t="str">
        <f>IF(M774&gt;Analysis!$B$3*1.5,"High",IF(M774&lt;Analysis!$B$3*0.5,"Low","Medium"))</f>
        <v>Low</v>
      </c>
      <c r="P774" s="38" t="str">
        <f>VLOOKUP(dataset_A!C774,$Q$2:$R$5,2,0)</f>
        <v>Spring</v>
      </c>
      <c r="S774" s="38" t="str">
        <f t="array" ref="S774">INDEX($R$2:$R$5,MATCH(dataset_A!C774,$Q$2:$Q$5,0))</f>
        <v>Spring</v>
      </c>
      <c r="T774" s="38" t="str">
        <f t="shared" si="4"/>
        <v>Match</v>
      </c>
    </row>
    <row r="775" ht="12.75" customHeight="1">
      <c r="A775" s="38">
        <f>dataset_A!A775</f>
        <v>432</v>
      </c>
      <c r="B775" s="39">
        <f>dataset_A!B775</f>
        <v>40563</v>
      </c>
      <c r="C775" s="38">
        <f>dataset_A!F775</f>
        <v>0</v>
      </c>
      <c r="D775" s="38">
        <f>dataset_A!H775</f>
        <v>4</v>
      </c>
      <c r="E775" s="38" t="b">
        <f>dataset_A!G775</f>
        <v>0</v>
      </c>
      <c r="F775" s="38" t="b">
        <f>dataset_A!G775</f>
        <v>0</v>
      </c>
      <c r="G775" s="38" t="str">
        <f t="shared" si="1"/>
        <v>Weekday</v>
      </c>
      <c r="H775" s="38" t="str">
        <f t="shared" si="2"/>
        <v>Night</v>
      </c>
      <c r="I775" s="38" t="str">
        <f>IF(dataset_A!C775=1,"Spring",IF(dataset_A!C775=2,"Summer",IF(dataset_A!C775=3,"Fail","Winter")))</f>
        <v>Spring</v>
      </c>
      <c r="J775" s="38" t="str">
        <f>IF(dataset_A!I775=1,"Clear",IF(dataset_A!I775,"Mist/Cloudy",IF(dataset_A!I775=3,"Light Rain/Snow","Heavy Rain/Snow")))</f>
        <v>Clear</v>
      </c>
      <c r="K775" s="38">
        <f>dataset_A!N775</f>
        <v>5</v>
      </c>
      <c r="L775" s="38">
        <f>dataset_A!O775</f>
        <v>8</v>
      </c>
      <c r="M775" s="38">
        <f>dataset_A!P775</f>
        <v>13</v>
      </c>
      <c r="N775" s="38" t="str">
        <f t="shared" si="3"/>
        <v>Ok</v>
      </c>
      <c r="O775" s="38" t="str">
        <f>IF(M775&gt;Analysis!$B$3*1.5,"High",IF(M775&lt;Analysis!$B$3*0.5,"Low","Medium"))</f>
        <v>Low</v>
      </c>
      <c r="P775" s="38" t="str">
        <f>VLOOKUP(dataset_A!C775,$Q$2:$R$5,2,0)</f>
        <v>Spring</v>
      </c>
      <c r="S775" s="38" t="str">
        <f t="array" ref="S775">INDEX($R$2:$R$5,MATCH(dataset_A!C775,$Q$2:$Q$5,0))</f>
        <v>Spring</v>
      </c>
      <c r="T775" s="38" t="str">
        <f t="shared" si="4"/>
        <v>Match</v>
      </c>
    </row>
    <row r="776" ht="12.75" customHeight="1">
      <c r="A776" s="38">
        <f>dataset_A!A776</f>
        <v>480</v>
      </c>
      <c r="B776" s="39">
        <f>dataset_A!B776</f>
        <v>40565</v>
      </c>
      <c r="C776" s="38">
        <f>dataset_A!F776</f>
        <v>0</v>
      </c>
      <c r="D776" s="38">
        <f>dataset_A!H776</f>
        <v>6</v>
      </c>
      <c r="E776" s="38" t="b">
        <f>dataset_A!G776</f>
        <v>0</v>
      </c>
      <c r="F776" s="38" t="b">
        <f>dataset_A!G776</f>
        <v>0</v>
      </c>
      <c r="G776" s="38" t="str">
        <f t="shared" si="1"/>
        <v>Weekend</v>
      </c>
      <c r="H776" s="38" t="str">
        <f t="shared" si="2"/>
        <v>Night</v>
      </c>
      <c r="I776" s="38" t="str">
        <f>IF(dataset_A!C776=1,"Spring",IF(dataset_A!C776=2,"Summer",IF(dataset_A!C776=3,"Fail","Winter")))</f>
        <v>Spring</v>
      </c>
      <c r="J776" s="38" t="str">
        <f>IF(dataset_A!I776=1,"Clear",IF(dataset_A!I776,"Mist/Cloudy",IF(dataset_A!I776=3,"Light Rain/Snow","Heavy Rain/Snow")))</f>
        <v>Clear</v>
      </c>
      <c r="K776" s="38">
        <f>dataset_A!N776</f>
        <v>0</v>
      </c>
      <c r="L776" s="38">
        <f>dataset_A!O776</f>
        <v>13</v>
      </c>
      <c r="M776" s="38">
        <f>dataset_A!P776</f>
        <v>13</v>
      </c>
      <c r="N776" s="38" t="str">
        <f t="shared" si="3"/>
        <v>Ok</v>
      </c>
      <c r="O776" s="38" t="str">
        <f>IF(M776&gt;Analysis!$B$3*1.5,"High",IF(M776&lt;Analysis!$B$3*0.5,"Low","Medium"))</f>
        <v>Low</v>
      </c>
      <c r="P776" s="38" t="str">
        <f>VLOOKUP(dataset_A!C776,$Q$2:$R$5,2,0)</f>
        <v>Spring</v>
      </c>
      <c r="S776" s="38" t="str">
        <f t="array" ref="S776">INDEX($R$2:$R$5,MATCH(dataset_A!C776,$Q$2:$Q$5,0))</f>
        <v>Spring</v>
      </c>
      <c r="T776" s="38" t="str">
        <f t="shared" si="4"/>
        <v>Match</v>
      </c>
    </row>
    <row r="777" ht="12.75" customHeight="1">
      <c r="A777" s="38">
        <f>dataset_A!A777</f>
        <v>504</v>
      </c>
      <c r="B777" s="39">
        <f>dataset_A!B777</f>
        <v>40566</v>
      </c>
      <c r="C777" s="38">
        <f>dataset_A!F777</f>
        <v>1</v>
      </c>
      <c r="D777" s="38">
        <f>dataset_A!H777</f>
        <v>0</v>
      </c>
      <c r="E777" s="38" t="b">
        <f>dataset_A!G777</f>
        <v>0</v>
      </c>
      <c r="F777" s="38" t="b">
        <f>dataset_A!G777</f>
        <v>0</v>
      </c>
      <c r="G777" s="38" t="str">
        <f t="shared" si="1"/>
        <v>Weekend</v>
      </c>
      <c r="H777" s="38" t="str">
        <f t="shared" si="2"/>
        <v>Night</v>
      </c>
      <c r="I777" s="38" t="str">
        <f>IF(dataset_A!C777=1,"Spring",IF(dataset_A!C777=2,"Summer",IF(dataset_A!C777=3,"Fail","Winter")))</f>
        <v>Spring</v>
      </c>
      <c r="J777" s="38" t="str">
        <f>IF(dataset_A!I777=1,"Clear",IF(dataset_A!I777,"Mist/Cloudy",IF(dataset_A!I777=3,"Light Rain/Snow","Heavy Rain/Snow")))</f>
        <v>Clear</v>
      </c>
      <c r="K777" s="38">
        <f>dataset_A!N777</f>
        <v>1</v>
      </c>
      <c r="L777" s="38">
        <f>dataset_A!O777</f>
        <v>12</v>
      </c>
      <c r="M777" s="38">
        <f>dataset_A!P777</f>
        <v>13</v>
      </c>
      <c r="N777" s="38" t="str">
        <f t="shared" si="3"/>
        <v>Ok</v>
      </c>
      <c r="O777" s="38" t="str">
        <f>IF(M777&gt;Analysis!$B$3*1.5,"High",IF(M777&lt;Analysis!$B$3*0.5,"Low","Medium"))</f>
        <v>Low</v>
      </c>
      <c r="P777" s="38" t="str">
        <f>VLOOKUP(dataset_A!C777,$Q$2:$R$5,2,0)</f>
        <v>Spring</v>
      </c>
      <c r="S777" s="38" t="str">
        <f t="array" ref="S777">INDEX($R$2:$R$5,MATCH(dataset_A!C777,$Q$2:$Q$5,0))</f>
        <v>Spring</v>
      </c>
      <c r="T777" s="38" t="str">
        <f t="shared" si="4"/>
        <v>Match</v>
      </c>
    </row>
    <row r="778" ht="12.75" customHeight="1">
      <c r="A778" s="38">
        <f>dataset_A!A778</f>
        <v>759</v>
      </c>
      <c r="B778" s="39">
        <f>dataset_A!B778</f>
        <v>40578</v>
      </c>
      <c r="C778" s="38">
        <f>dataset_A!F778</f>
        <v>0</v>
      </c>
      <c r="D778" s="38">
        <f>dataset_A!H778</f>
        <v>5</v>
      </c>
      <c r="E778" s="38" t="b">
        <f>dataset_A!G778</f>
        <v>0</v>
      </c>
      <c r="F778" s="38" t="b">
        <f>dataset_A!G778</f>
        <v>0</v>
      </c>
      <c r="G778" s="38" t="str">
        <f t="shared" si="1"/>
        <v>Weekday</v>
      </c>
      <c r="H778" s="38" t="str">
        <f t="shared" si="2"/>
        <v>Night</v>
      </c>
      <c r="I778" s="38" t="str">
        <f>IF(dataset_A!C778=1,"Spring",IF(dataset_A!C778=2,"Summer",IF(dataset_A!C778=3,"Fail","Winter")))</f>
        <v>Spring</v>
      </c>
      <c r="J778" s="38" t="str">
        <f>IF(dataset_A!I778=1,"Clear",IF(dataset_A!I778,"Mist/Cloudy",IF(dataset_A!I778=3,"Light Rain/Snow","Heavy Rain/Snow")))</f>
        <v>Mist/Cloudy</v>
      </c>
      <c r="K778" s="38">
        <f>dataset_A!N778</f>
        <v>3</v>
      </c>
      <c r="L778" s="38">
        <f>dataset_A!O778</f>
        <v>10</v>
      </c>
      <c r="M778" s="38">
        <f>dataset_A!P778</f>
        <v>13</v>
      </c>
      <c r="N778" s="38" t="str">
        <f t="shared" si="3"/>
        <v>Ok</v>
      </c>
      <c r="O778" s="38" t="str">
        <f>IF(M778&gt;Analysis!$B$3*1.5,"High",IF(M778&lt;Analysis!$B$3*0.5,"Low","Medium"))</f>
        <v>Low</v>
      </c>
      <c r="P778" s="38" t="str">
        <f>VLOOKUP(dataset_A!C778,$Q$2:$R$5,2,0)</f>
        <v>Spring</v>
      </c>
      <c r="S778" s="38" t="str">
        <f t="array" ref="S778">INDEX($R$2:$R$5,MATCH(dataset_A!C778,$Q$2:$Q$5,0))</f>
        <v>Spring</v>
      </c>
      <c r="T778" s="38" t="str">
        <f t="shared" si="4"/>
        <v>Match</v>
      </c>
    </row>
    <row r="779" ht="12.75" customHeight="1">
      <c r="A779" s="38">
        <f>dataset_A!A779</f>
        <v>809</v>
      </c>
      <c r="B779" s="39">
        <f>dataset_A!B779</f>
        <v>40580</v>
      </c>
      <c r="C779" s="38">
        <f>dataset_A!F779</f>
        <v>3</v>
      </c>
      <c r="D779" s="38">
        <f>dataset_A!H779</f>
        <v>0</v>
      </c>
      <c r="E779" s="38" t="b">
        <f>dataset_A!G779</f>
        <v>0</v>
      </c>
      <c r="F779" s="38" t="b">
        <f>dataset_A!G779</f>
        <v>0</v>
      </c>
      <c r="G779" s="38" t="str">
        <f t="shared" si="1"/>
        <v>Weekend</v>
      </c>
      <c r="H779" s="38" t="str">
        <f t="shared" si="2"/>
        <v>Night</v>
      </c>
      <c r="I779" s="38" t="str">
        <f>IF(dataset_A!C779=1,"Spring",IF(dataset_A!C779=2,"Summer",IF(dataset_A!C779=3,"Fail","Winter")))</f>
        <v>Spring</v>
      </c>
      <c r="J779" s="38" t="str">
        <f>IF(dataset_A!I779=1,"Clear",IF(dataset_A!I779,"Mist/Cloudy",IF(dataset_A!I779=3,"Light Rain/Snow","Heavy Rain/Snow")))</f>
        <v>Clear</v>
      </c>
      <c r="K779" s="38">
        <f>dataset_A!N779</f>
        <v>3</v>
      </c>
      <c r="L779" s="38">
        <f>dataset_A!O779</f>
        <v>10</v>
      </c>
      <c r="M779" s="38">
        <f>dataset_A!P779</f>
        <v>13</v>
      </c>
      <c r="N779" s="38" t="str">
        <f t="shared" si="3"/>
        <v>Ok</v>
      </c>
      <c r="O779" s="38" t="str">
        <f>IF(M779&gt;Analysis!$B$3*1.5,"High",IF(M779&lt;Analysis!$B$3*0.5,"Low","Medium"))</f>
        <v>Low</v>
      </c>
      <c r="P779" s="38" t="str">
        <f>VLOOKUP(dataset_A!C779,$Q$2:$R$5,2,0)</f>
        <v>Spring</v>
      </c>
      <c r="S779" s="38" t="str">
        <f t="array" ref="S779">INDEX($R$2:$R$5,MATCH(dataset_A!C779,$Q$2:$Q$5,0))</f>
        <v>Spring</v>
      </c>
      <c r="T779" s="38" t="str">
        <f t="shared" si="4"/>
        <v>Match</v>
      </c>
    </row>
    <row r="780" ht="12.75" customHeight="1">
      <c r="A780" s="38">
        <f>dataset_A!A780</f>
        <v>69</v>
      </c>
      <c r="B780" s="39">
        <f>dataset_A!B780</f>
        <v>40546</v>
      </c>
      <c r="C780" s="38">
        <f>dataset_A!F780</f>
        <v>23</v>
      </c>
      <c r="D780" s="38">
        <f>dataset_A!H780</f>
        <v>1</v>
      </c>
      <c r="E780" s="38" t="b">
        <f>dataset_A!G780</f>
        <v>0</v>
      </c>
      <c r="F780" s="38" t="b">
        <f>dataset_A!G780</f>
        <v>0</v>
      </c>
      <c r="G780" s="38" t="str">
        <f t="shared" si="1"/>
        <v>Weekday</v>
      </c>
      <c r="H780" s="38" t="str">
        <f t="shared" si="2"/>
        <v>Evening</v>
      </c>
      <c r="I780" s="38" t="str">
        <f>IF(dataset_A!C780=1,"Spring",IF(dataset_A!C780=2,"Summer",IF(dataset_A!C780=3,"Fail","Winter")))</f>
        <v>Spring</v>
      </c>
      <c r="J780" s="38" t="str">
        <f>IF(dataset_A!I780=1,"Clear",IF(dataset_A!I780,"Mist/Cloudy",IF(dataset_A!I780=3,"Light Rain/Snow","Heavy Rain/Snow")))</f>
        <v>Clear</v>
      </c>
      <c r="K780" s="38">
        <f>dataset_A!N780</f>
        <v>1</v>
      </c>
      <c r="L780" s="38">
        <f>dataset_A!O780</f>
        <v>11</v>
      </c>
      <c r="M780" s="38">
        <f>dataset_A!P780</f>
        <v>12</v>
      </c>
      <c r="N780" s="38" t="str">
        <f t="shared" si="3"/>
        <v>Ok</v>
      </c>
      <c r="O780" s="38" t="str">
        <f>IF(M780&gt;Analysis!$B$3*1.5,"High",IF(M780&lt;Analysis!$B$3*0.5,"Low","Medium"))</f>
        <v>Low</v>
      </c>
      <c r="P780" s="38" t="str">
        <f>VLOOKUP(dataset_A!C780,$Q$2:$R$5,2,0)</f>
        <v>Spring</v>
      </c>
      <c r="S780" s="38" t="str">
        <f t="array" ref="S780">INDEX($R$2:$R$5,MATCH(dataset_A!C780,$Q$2:$Q$5,0))</f>
        <v>Spring</v>
      </c>
      <c r="T780" s="38" t="str">
        <f t="shared" si="4"/>
        <v>Match</v>
      </c>
    </row>
    <row r="781" ht="12.75" customHeight="1">
      <c r="A781" s="38">
        <f>dataset_A!A781</f>
        <v>187</v>
      </c>
      <c r="B781" s="39">
        <f>dataset_A!B781</f>
        <v>40552</v>
      </c>
      <c r="C781" s="38">
        <f>dataset_A!F781</f>
        <v>1</v>
      </c>
      <c r="D781" s="38">
        <f>dataset_A!H781</f>
        <v>0</v>
      </c>
      <c r="E781" s="38" t="b">
        <f>dataset_A!G781</f>
        <v>0</v>
      </c>
      <c r="F781" s="38" t="b">
        <f>dataset_A!G781</f>
        <v>0</v>
      </c>
      <c r="G781" s="38" t="str">
        <f t="shared" si="1"/>
        <v>Weekend</v>
      </c>
      <c r="H781" s="38" t="str">
        <f t="shared" si="2"/>
        <v>Night</v>
      </c>
      <c r="I781" s="38" t="str">
        <f>IF(dataset_A!C781=1,"Spring",IF(dataset_A!C781=2,"Summer",IF(dataset_A!C781=3,"Fail","Winter")))</f>
        <v>Spring</v>
      </c>
      <c r="J781" s="38" t="str">
        <f>IF(dataset_A!I781=1,"Clear",IF(dataset_A!I781,"Mist/Cloudy",IF(dataset_A!I781=3,"Light Rain/Snow","Heavy Rain/Snow")))</f>
        <v>Clear</v>
      </c>
      <c r="K781" s="38">
        <f>dataset_A!N781</f>
        <v>0</v>
      </c>
      <c r="L781" s="38">
        <f>dataset_A!O781</f>
        <v>12</v>
      </c>
      <c r="M781" s="38">
        <f>dataset_A!P781</f>
        <v>12</v>
      </c>
      <c r="N781" s="38" t="str">
        <f t="shared" si="3"/>
        <v>Ok</v>
      </c>
      <c r="O781" s="38" t="str">
        <f>IF(M781&gt;Analysis!$B$3*1.5,"High",IF(M781&lt;Analysis!$B$3*0.5,"Low","Medium"))</f>
        <v>Low</v>
      </c>
      <c r="P781" s="38" t="str">
        <f>VLOOKUP(dataset_A!C781,$Q$2:$R$5,2,0)</f>
        <v>Spring</v>
      </c>
      <c r="S781" s="38" t="str">
        <f t="array" ref="S781">INDEX($R$2:$R$5,MATCH(dataset_A!C781,$Q$2:$Q$5,0))</f>
        <v>Spring</v>
      </c>
      <c r="T781" s="38" t="str">
        <f t="shared" si="4"/>
        <v>Match</v>
      </c>
    </row>
    <row r="782" ht="12.75" customHeight="1">
      <c r="A782" s="38">
        <f>dataset_A!A782</f>
        <v>234</v>
      </c>
      <c r="B782" s="39">
        <f>dataset_A!B782</f>
        <v>40554</v>
      </c>
      <c r="C782" s="38">
        <f>dataset_A!F782</f>
        <v>0</v>
      </c>
      <c r="D782" s="38">
        <f>dataset_A!H782</f>
        <v>2</v>
      </c>
      <c r="E782" s="38" t="b">
        <f>dataset_A!G782</f>
        <v>0</v>
      </c>
      <c r="F782" s="38" t="b">
        <f>dataset_A!G782</f>
        <v>0</v>
      </c>
      <c r="G782" s="38" t="str">
        <f t="shared" si="1"/>
        <v>Weekday</v>
      </c>
      <c r="H782" s="38" t="str">
        <f t="shared" si="2"/>
        <v>Night</v>
      </c>
      <c r="I782" s="38" t="str">
        <f>IF(dataset_A!C782=1,"Spring",IF(dataset_A!C782=2,"Summer",IF(dataset_A!C782=3,"Fail","Winter")))</f>
        <v>Spring</v>
      </c>
      <c r="J782" s="38" t="str">
        <f>IF(dataset_A!I782=1,"Clear",IF(dataset_A!I782,"Mist/Cloudy",IF(dataset_A!I782=3,"Light Rain/Snow","Heavy Rain/Snow")))</f>
        <v>Clear</v>
      </c>
      <c r="K782" s="38">
        <f>dataset_A!N782</f>
        <v>2</v>
      </c>
      <c r="L782" s="38">
        <f>dataset_A!O782</f>
        <v>10</v>
      </c>
      <c r="M782" s="38">
        <f>dataset_A!P782</f>
        <v>12</v>
      </c>
      <c r="N782" s="38" t="str">
        <f t="shared" si="3"/>
        <v>Ok</v>
      </c>
      <c r="O782" s="38" t="str">
        <f>IF(M782&gt;Analysis!$B$3*1.5,"High",IF(M782&lt;Analysis!$B$3*0.5,"Low","Medium"))</f>
        <v>Low</v>
      </c>
      <c r="P782" s="38" t="str">
        <f>VLOOKUP(dataset_A!C782,$Q$2:$R$5,2,0)</f>
        <v>Spring</v>
      </c>
      <c r="S782" s="38" t="str">
        <f t="array" ref="S782">INDEX($R$2:$R$5,MATCH(dataset_A!C782,$Q$2:$Q$5,0))</f>
        <v>Spring</v>
      </c>
      <c r="T782" s="38" t="str">
        <f t="shared" si="4"/>
        <v>Match</v>
      </c>
    </row>
    <row r="783" ht="12.75" customHeight="1">
      <c r="A783" s="38">
        <f>dataset_A!A783</f>
        <v>327</v>
      </c>
      <c r="B783" s="39">
        <f>dataset_A!B783</f>
        <v>40558</v>
      </c>
      <c r="C783" s="38">
        <f>dataset_A!F783</f>
        <v>2</v>
      </c>
      <c r="D783" s="38">
        <f>dataset_A!H783</f>
        <v>6</v>
      </c>
      <c r="E783" s="38" t="b">
        <f>dataset_A!G783</f>
        <v>0</v>
      </c>
      <c r="F783" s="38" t="b">
        <f>dataset_A!G783</f>
        <v>0</v>
      </c>
      <c r="G783" s="38" t="str">
        <f t="shared" si="1"/>
        <v>Weekend</v>
      </c>
      <c r="H783" s="38" t="str">
        <f t="shared" si="2"/>
        <v>Night</v>
      </c>
      <c r="I783" s="38" t="str">
        <f>IF(dataset_A!C783=1,"Spring",IF(dataset_A!C783=2,"Summer",IF(dataset_A!C783=3,"Fail","Winter")))</f>
        <v>Spring</v>
      </c>
      <c r="J783" s="38" t="str">
        <f>IF(dataset_A!I783=1,"Clear",IF(dataset_A!I783,"Mist/Cloudy",IF(dataset_A!I783=3,"Light Rain/Snow","Heavy Rain/Snow")))</f>
        <v>Mist/Cloudy</v>
      </c>
      <c r="K783" s="38">
        <f>dataset_A!N783</f>
        <v>0</v>
      </c>
      <c r="L783" s="38">
        <f>dataset_A!O783</f>
        <v>12</v>
      </c>
      <c r="M783" s="38">
        <f>dataset_A!P783</f>
        <v>12</v>
      </c>
      <c r="N783" s="38" t="str">
        <f t="shared" si="3"/>
        <v>Ok</v>
      </c>
      <c r="O783" s="38" t="str">
        <f>IF(M783&gt;Analysis!$B$3*1.5,"High",IF(M783&lt;Analysis!$B$3*0.5,"Low","Medium"))</f>
        <v>Low</v>
      </c>
      <c r="P783" s="38" t="str">
        <f>VLOOKUP(dataset_A!C783,$Q$2:$R$5,2,0)</f>
        <v>Spring</v>
      </c>
      <c r="S783" s="38" t="str">
        <f t="array" ref="S783">INDEX($R$2:$R$5,MATCH(dataset_A!C783,$Q$2:$Q$5,0))</f>
        <v>Spring</v>
      </c>
      <c r="T783" s="38" t="str">
        <f t="shared" si="4"/>
        <v>Match</v>
      </c>
    </row>
    <row r="784" ht="12.75" customHeight="1">
      <c r="A784" s="38">
        <f>dataset_A!A784</f>
        <v>481</v>
      </c>
      <c r="B784" s="39">
        <f>dataset_A!B784</f>
        <v>40565</v>
      </c>
      <c r="C784" s="38">
        <f>dataset_A!F784</f>
        <v>1</v>
      </c>
      <c r="D784" s="38">
        <f>dataset_A!H784</f>
        <v>6</v>
      </c>
      <c r="E784" s="38" t="b">
        <f>dataset_A!G784</f>
        <v>0</v>
      </c>
      <c r="F784" s="38" t="b">
        <f>dataset_A!G784</f>
        <v>0</v>
      </c>
      <c r="G784" s="38" t="str">
        <f t="shared" si="1"/>
        <v>Weekend</v>
      </c>
      <c r="H784" s="38" t="str">
        <f t="shared" si="2"/>
        <v>Night</v>
      </c>
      <c r="I784" s="38" t="str">
        <f>IF(dataset_A!C784=1,"Spring",IF(dataset_A!C784=2,"Summer",IF(dataset_A!C784=3,"Fail","Winter")))</f>
        <v>Spring</v>
      </c>
      <c r="J784" s="38" t="str">
        <f>IF(dataset_A!I784=1,"Clear",IF(dataset_A!I784,"Mist/Cloudy",IF(dataset_A!I784=3,"Light Rain/Snow","Heavy Rain/Snow")))</f>
        <v>Mist/Cloudy</v>
      </c>
      <c r="K784" s="38">
        <f>dataset_A!N784</f>
        <v>3</v>
      </c>
      <c r="L784" s="38">
        <f>dataset_A!O784</f>
        <v>9</v>
      </c>
      <c r="M784" s="38">
        <f>dataset_A!P784</f>
        <v>12</v>
      </c>
      <c r="N784" s="38" t="str">
        <f t="shared" si="3"/>
        <v>Ok</v>
      </c>
      <c r="O784" s="38" t="str">
        <f>IF(M784&gt;Analysis!$B$3*1.5,"High",IF(M784&lt;Analysis!$B$3*0.5,"Low","Medium"))</f>
        <v>Low</v>
      </c>
      <c r="P784" s="38" t="str">
        <f>VLOOKUP(dataset_A!C784,$Q$2:$R$5,2,0)</f>
        <v>Spring</v>
      </c>
      <c r="S784" s="38" t="str">
        <f t="array" ref="S784">INDEX($R$2:$R$5,MATCH(dataset_A!C784,$Q$2:$Q$5,0))</f>
        <v>Spring</v>
      </c>
      <c r="T784" s="38" t="str">
        <f t="shared" si="4"/>
        <v>Match</v>
      </c>
    </row>
    <row r="785" ht="12.75" customHeight="1">
      <c r="A785" s="38">
        <f>dataset_A!A785</f>
        <v>649</v>
      </c>
      <c r="B785" s="39">
        <f>dataset_A!B785</f>
        <v>40573</v>
      </c>
      <c r="C785" s="38">
        <f>dataset_A!F785</f>
        <v>8</v>
      </c>
      <c r="D785" s="38">
        <f>dataset_A!H785</f>
        <v>0</v>
      </c>
      <c r="E785" s="38" t="b">
        <f>dataset_A!G785</f>
        <v>0</v>
      </c>
      <c r="F785" s="38" t="b">
        <f>dataset_A!G785</f>
        <v>0</v>
      </c>
      <c r="G785" s="38" t="str">
        <f t="shared" si="1"/>
        <v>Weekend</v>
      </c>
      <c r="H785" s="38" t="str">
        <f t="shared" si="2"/>
        <v>Morning</v>
      </c>
      <c r="I785" s="38" t="str">
        <f>IF(dataset_A!C785=1,"Spring",IF(dataset_A!C785=2,"Summer",IF(dataset_A!C785=3,"Fail","Winter")))</f>
        <v>Spring</v>
      </c>
      <c r="J785" s="38" t="str">
        <f>IF(dataset_A!I785=1,"Clear",IF(dataset_A!I785,"Mist/Cloudy",IF(dataset_A!I785=3,"Light Rain/Snow","Heavy Rain/Snow")))</f>
        <v>Mist/Cloudy</v>
      </c>
      <c r="K785" s="38">
        <f>dataset_A!N785</f>
        <v>1</v>
      </c>
      <c r="L785" s="38">
        <f>dataset_A!O785</f>
        <v>11</v>
      </c>
      <c r="M785" s="38">
        <f>dataset_A!P785</f>
        <v>12</v>
      </c>
      <c r="N785" s="38" t="str">
        <f t="shared" si="3"/>
        <v>Ok</v>
      </c>
      <c r="O785" s="38" t="str">
        <f>IF(M785&gt;Analysis!$B$3*1.5,"High",IF(M785&lt;Analysis!$B$3*0.5,"Low","Medium"))</f>
        <v>Low</v>
      </c>
      <c r="P785" s="38" t="str">
        <f>VLOOKUP(dataset_A!C785,$Q$2:$R$5,2,0)</f>
        <v>Spring</v>
      </c>
      <c r="S785" s="38" t="str">
        <f t="array" ref="S785">INDEX($R$2:$R$5,MATCH(dataset_A!C785,$Q$2:$Q$5,0))</f>
        <v>Spring</v>
      </c>
      <c r="T785" s="38" t="str">
        <f t="shared" si="4"/>
        <v>Match</v>
      </c>
    </row>
    <row r="786" ht="12.75" customHeight="1">
      <c r="A786" s="38">
        <f>dataset_A!A786</f>
        <v>736</v>
      </c>
      <c r="B786" s="39">
        <f>dataset_A!B786</f>
        <v>40577</v>
      </c>
      <c r="C786" s="38">
        <f>dataset_A!F786</f>
        <v>0</v>
      </c>
      <c r="D786" s="38">
        <f>dataset_A!H786</f>
        <v>4</v>
      </c>
      <c r="E786" s="38" t="b">
        <f>dataset_A!G786</f>
        <v>0</v>
      </c>
      <c r="F786" s="38" t="b">
        <f>dataset_A!G786</f>
        <v>0</v>
      </c>
      <c r="G786" s="38" t="str">
        <f t="shared" si="1"/>
        <v>Weekday</v>
      </c>
      <c r="H786" s="38" t="str">
        <f t="shared" si="2"/>
        <v>Night</v>
      </c>
      <c r="I786" s="38" t="str">
        <f>IF(dataset_A!C786=1,"Spring",IF(dataset_A!C786=2,"Summer",IF(dataset_A!C786=3,"Fail","Winter")))</f>
        <v>Spring</v>
      </c>
      <c r="J786" s="38" t="str">
        <f>IF(dataset_A!I786=1,"Clear",IF(dataset_A!I786,"Mist/Cloudy",IF(dataset_A!I786=3,"Light Rain/Snow","Heavy Rain/Snow")))</f>
        <v>Clear</v>
      </c>
      <c r="K786" s="38">
        <f>dataset_A!N786</f>
        <v>1</v>
      </c>
      <c r="L786" s="38">
        <f>dataset_A!O786</f>
        <v>11</v>
      </c>
      <c r="M786" s="38">
        <f>dataset_A!P786</f>
        <v>12</v>
      </c>
      <c r="N786" s="38" t="str">
        <f t="shared" si="3"/>
        <v>Ok</v>
      </c>
      <c r="O786" s="38" t="str">
        <f>IF(M786&gt;Analysis!$B$3*1.5,"High",IF(M786&lt;Analysis!$B$3*0.5,"Low","Medium"))</f>
        <v>Low</v>
      </c>
      <c r="P786" s="38" t="str">
        <f>VLOOKUP(dataset_A!C786,$Q$2:$R$5,2,0)</f>
        <v>Spring</v>
      </c>
      <c r="S786" s="38" t="str">
        <f t="array" ref="S786">INDEX($R$2:$R$5,MATCH(dataset_A!C786,$Q$2:$Q$5,0))</f>
        <v>Spring</v>
      </c>
      <c r="T786" s="38" t="str">
        <f t="shared" si="4"/>
        <v>Match</v>
      </c>
    </row>
    <row r="787" ht="12.75" customHeight="1">
      <c r="A787" s="38">
        <f>dataset_A!A787</f>
        <v>877</v>
      </c>
      <c r="B787" s="39">
        <f>dataset_A!B787</f>
        <v>40582</v>
      </c>
      <c r="C787" s="38">
        <f>dataset_A!F787</f>
        <v>23</v>
      </c>
      <c r="D787" s="38">
        <f>dataset_A!H787</f>
        <v>2</v>
      </c>
      <c r="E787" s="38" t="b">
        <f>dataset_A!G787</f>
        <v>0</v>
      </c>
      <c r="F787" s="38" t="b">
        <f>dataset_A!G787</f>
        <v>0</v>
      </c>
      <c r="G787" s="38" t="str">
        <f t="shared" si="1"/>
        <v>Weekday</v>
      </c>
      <c r="H787" s="38" t="str">
        <f t="shared" si="2"/>
        <v>Evening</v>
      </c>
      <c r="I787" s="38" t="str">
        <f>IF(dataset_A!C787=1,"Spring",IF(dataset_A!C787=2,"Summer",IF(dataset_A!C787=3,"Fail","Winter")))</f>
        <v>Spring</v>
      </c>
      <c r="J787" s="38" t="str">
        <f>IF(dataset_A!I787=1,"Clear",IF(dataset_A!I787,"Mist/Cloudy",IF(dataset_A!I787=3,"Light Rain/Snow","Heavy Rain/Snow")))</f>
        <v>Clear</v>
      </c>
      <c r="K787" s="38">
        <f>dataset_A!N787</f>
        <v>3</v>
      </c>
      <c r="L787" s="38">
        <f>dataset_A!O787</f>
        <v>9</v>
      </c>
      <c r="M787" s="38">
        <f>dataset_A!P787</f>
        <v>12</v>
      </c>
      <c r="N787" s="38" t="str">
        <f t="shared" si="3"/>
        <v>Ok</v>
      </c>
      <c r="O787" s="38" t="str">
        <f>IF(M787&gt;Analysis!$B$3*1.5,"High",IF(M787&lt;Analysis!$B$3*0.5,"Low","Medium"))</f>
        <v>Low</v>
      </c>
      <c r="P787" s="38" t="str">
        <f>VLOOKUP(dataset_A!C787,$Q$2:$R$5,2,0)</f>
        <v>Spring</v>
      </c>
      <c r="S787" s="38" t="str">
        <f t="array" ref="S787">INDEX($R$2:$R$5,MATCH(dataset_A!C787,$Q$2:$Q$5,0))</f>
        <v>Spring</v>
      </c>
      <c r="T787" s="38" t="str">
        <f t="shared" si="4"/>
        <v>Match</v>
      </c>
    </row>
    <row r="788" ht="12.75" customHeight="1">
      <c r="A788" s="38">
        <f>dataset_A!A788</f>
        <v>973</v>
      </c>
      <c r="B788" s="39">
        <f>dataset_A!B788</f>
        <v>40587</v>
      </c>
      <c r="C788" s="38">
        <f>dataset_A!F788</f>
        <v>3</v>
      </c>
      <c r="D788" s="38">
        <f>dataset_A!H788</f>
        <v>0</v>
      </c>
      <c r="E788" s="38" t="b">
        <f>dataset_A!G788</f>
        <v>0</v>
      </c>
      <c r="F788" s="38" t="b">
        <f>dataset_A!G788</f>
        <v>0</v>
      </c>
      <c r="G788" s="38" t="str">
        <f t="shared" si="1"/>
        <v>Weekend</v>
      </c>
      <c r="H788" s="38" t="str">
        <f t="shared" si="2"/>
        <v>Night</v>
      </c>
      <c r="I788" s="38" t="str">
        <f>IF(dataset_A!C788=1,"Spring",IF(dataset_A!C788=2,"Summer",IF(dataset_A!C788=3,"Fail","Winter")))</f>
        <v>Spring</v>
      </c>
      <c r="J788" s="38" t="str">
        <f>IF(dataset_A!I788=1,"Clear",IF(dataset_A!I788,"Mist/Cloudy",IF(dataset_A!I788=3,"Light Rain/Snow","Heavy Rain/Snow")))</f>
        <v>Mist/Cloudy</v>
      </c>
      <c r="K788" s="38">
        <f>dataset_A!N788</f>
        <v>4</v>
      </c>
      <c r="L788" s="38">
        <f>dataset_A!O788</f>
        <v>8</v>
      </c>
      <c r="M788" s="38">
        <f>dataset_A!P788</f>
        <v>12</v>
      </c>
      <c r="N788" s="38" t="str">
        <f t="shared" si="3"/>
        <v>Ok</v>
      </c>
      <c r="O788" s="38" t="str">
        <f>IF(M788&gt;Analysis!$B$3*1.5,"High",IF(M788&lt;Analysis!$B$3*0.5,"Low","Medium"))</f>
        <v>Low</v>
      </c>
      <c r="P788" s="38" t="str">
        <f>VLOOKUP(dataset_A!C788,$Q$2:$R$5,2,0)</f>
        <v>Spring</v>
      </c>
      <c r="S788" s="38" t="str">
        <f t="array" ref="S788">INDEX($R$2:$R$5,MATCH(dataset_A!C788,$Q$2:$Q$5,0))</f>
        <v>Spring</v>
      </c>
      <c r="T788" s="38" t="str">
        <f t="shared" si="4"/>
        <v>Match</v>
      </c>
    </row>
    <row r="789" ht="12.75" customHeight="1">
      <c r="A789" s="38">
        <f>dataset_A!A789</f>
        <v>977</v>
      </c>
      <c r="B789" s="39">
        <f>dataset_A!B789</f>
        <v>40587</v>
      </c>
      <c r="C789" s="38">
        <f>dataset_A!F789</f>
        <v>8</v>
      </c>
      <c r="D789" s="38">
        <f>dataset_A!H789</f>
        <v>0</v>
      </c>
      <c r="E789" s="38" t="b">
        <f>dataset_A!G789</f>
        <v>0</v>
      </c>
      <c r="F789" s="38" t="b">
        <f>dataset_A!G789</f>
        <v>0</v>
      </c>
      <c r="G789" s="38" t="str">
        <f t="shared" si="1"/>
        <v>Weekend</v>
      </c>
      <c r="H789" s="38" t="str">
        <f t="shared" si="2"/>
        <v>Morning</v>
      </c>
      <c r="I789" s="38" t="str">
        <f>IF(dataset_A!C789=1,"Spring",IF(dataset_A!C789=2,"Summer",IF(dataset_A!C789=3,"Fail","Winter")))</f>
        <v>Spring</v>
      </c>
      <c r="J789" s="38" t="str">
        <f>IF(dataset_A!I789=1,"Clear",IF(dataset_A!I789,"Mist/Cloudy",IF(dataset_A!I789=3,"Light Rain/Snow","Heavy Rain/Snow")))</f>
        <v>Mist/Cloudy</v>
      </c>
      <c r="K789" s="38">
        <f>dataset_A!N789</f>
        <v>1</v>
      </c>
      <c r="L789" s="38">
        <f>dataset_A!O789</f>
        <v>11</v>
      </c>
      <c r="M789" s="38">
        <f>dataset_A!P789</f>
        <v>12</v>
      </c>
      <c r="N789" s="38" t="str">
        <f t="shared" si="3"/>
        <v>Ok</v>
      </c>
      <c r="O789" s="38" t="str">
        <f>IF(M789&gt;Analysis!$B$3*1.5,"High",IF(M789&lt;Analysis!$B$3*0.5,"Low","Medium"))</f>
        <v>Low</v>
      </c>
      <c r="P789" s="38" t="str">
        <f>VLOOKUP(dataset_A!C789,$Q$2:$R$5,2,0)</f>
        <v>Spring</v>
      </c>
      <c r="S789" s="38" t="str">
        <f t="array" ref="S789">INDEX($R$2:$R$5,MATCH(dataset_A!C789,$Q$2:$Q$5,0))</f>
        <v>Spring</v>
      </c>
      <c r="T789" s="38" t="str">
        <f t="shared" si="4"/>
        <v>Match</v>
      </c>
    </row>
    <row r="790" ht="12.75" customHeight="1">
      <c r="A790" s="38">
        <f>dataset_A!A790</f>
        <v>92</v>
      </c>
      <c r="B790" s="39">
        <f>dataset_A!B790</f>
        <v>40547</v>
      </c>
      <c r="C790" s="38">
        <f>dataset_A!F790</f>
        <v>23</v>
      </c>
      <c r="D790" s="38">
        <f>dataset_A!H790</f>
        <v>2</v>
      </c>
      <c r="E790" s="38" t="b">
        <f>dataset_A!G790</f>
        <v>0</v>
      </c>
      <c r="F790" s="38" t="b">
        <f>dataset_A!G790</f>
        <v>0</v>
      </c>
      <c r="G790" s="38" t="str">
        <f t="shared" si="1"/>
        <v>Weekday</v>
      </c>
      <c r="H790" s="38" t="str">
        <f t="shared" si="2"/>
        <v>Evening</v>
      </c>
      <c r="I790" s="38" t="str">
        <f>IF(dataset_A!C790=1,"Spring",IF(dataset_A!C790=2,"Summer",IF(dataset_A!C790=3,"Fail","Winter")))</f>
        <v>Spring</v>
      </c>
      <c r="J790" s="38" t="str">
        <f>IF(dataset_A!I790=1,"Clear",IF(dataset_A!I790,"Mist/Cloudy",IF(dataset_A!I790=3,"Light Rain/Snow","Heavy Rain/Snow")))</f>
        <v>Clear</v>
      </c>
      <c r="K790" s="38">
        <f>dataset_A!N790</f>
        <v>2</v>
      </c>
      <c r="L790" s="38">
        <f>dataset_A!O790</f>
        <v>9</v>
      </c>
      <c r="M790" s="38">
        <f>dataset_A!P790</f>
        <v>11</v>
      </c>
      <c r="N790" s="38" t="str">
        <f t="shared" si="3"/>
        <v>Ok</v>
      </c>
      <c r="O790" s="38" t="str">
        <f>IF(M790&gt;Analysis!$B$3*1.5,"High",IF(M790&lt;Analysis!$B$3*0.5,"Low","Medium"))</f>
        <v>Low</v>
      </c>
      <c r="P790" s="38" t="str">
        <f>VLOOKUP(dataset_A!C790,$Q$2:$R$5,2,0)</f>
        <v>Spring</v>
      </c>
      <c r="S790" s="38" t="str">
        <f t="array" ref="S790">INDEX($R$2:$R$5,MATCH(dataset_A!C790,$Q$2:$Q$5,0))</f>
        <v>Spring</v>
      </c>
      <c r="T790" s="38" t="str">
        <f t="shared" si="4"/>
        <v>Match</v>
      </c>
    </row>
    <row r="791" ht="12.75" customHeight="1">
      <c r="A791" s="38">
        <f>dataset_A!A791</f>
        <v>116</v>
      </c>
      <c r="B791" s="39">
        <f>dataset_A!B791</f>
        <v>40549</v>
      </c>
      <c r="C791" s="38">
        <f>dataset_A!F791</f>
        <v>0</v>
      </c>
      <c r="D791" s="38">
        <f>dataset_A!H791</f>
        <v>4</v>
      </c>
      <c r="E791" s="38" t="b">
        <f>dataset_A!G791</f>
        <v>0</v>
      </c>
      <c r="F791" s="38" t="b">
        <f>dataset_A!G791</f>
        <v>0</v>
      </c>
      <c r="G791" s="38" t="str">
        <f t="shared" si="1"/>
        <v>Weekday</v>
      </c>
      <c r="H791" s="38" t="str">
        <f t="shared" si="2"/>
        <v>Night</v>
      </c>
      <c r="I791" s="38" t="str">
        <f>IF(dataset_A!C791=1,"Spring",IF(dataset_A!C791=2,"Summer",IF(dataset_A!C791=3,"Fail","Winter")))</f>
        <v>Spring</v>
      </c>
      <c r="J791" s="38" t="str">
        <f>IF(dataset_A!I791=1,"Clear",IF(dataset_A!I791,"Mist/Cloudy",IF(dataset_A!I791=3,"Light Rain/Snow","Heavy Rain/Snow")))</f>
        <v>Clear</v>
      </c>
      <c r="K791" s="38">
        <f>dataset_A!N791</f>
        <v>0</v>
      </c>
      <c r="L791" s="38">
        <f>dataset_A!O791</f>
        <v>11</v>
      </c>
      <c r="M791" s="38">
        <f>dataset_A!P791</f>
        <v>11</v>
      </c>
      <c r="N791" s="38" t="str">
        <f t="shared" si="3"/>
        <v>Ok</v>
      </c>
      <c r="O791" s="38" t="str">
        <f>IF(M791&gt;Analysis!$B$3*1.5,"High",IF(M791&lt;Analysis!$B$3*0.5,"Low","Medium"))</f>
        <v>Low</v>
      </c>
      <c r="P791" s="38" t="str">
        <f>VLOOKUP(dataset_A!C791,$Q$2:$R$5,2,0)</f>
        <v>Spring</v>
      </c>
      <c r="S791" s="38" t="str">
        <f t="array" ref="S791">INDEX($R$2:$R$5,MATCH(dataset_A!C791,$Q$2:$Q$5,0))</f>
        <v>Spring</v>
      </c>
      <c r="T791" s="38" t="str">
        <f t="shared" si="4"/>
        <v>Match</v>
      </c>
    </row>
    <row r="792" ht="12.75" customHeight="1">
      <c r="A792" s="38">
        <f>dataset_A!A792</f>
        <v>188</v>
      </c>
      <c r="B792" s="39">
        <f>dataset_A!B792</f>
        <v>40552</v>
      </c>
      <c r="C792" s="38">
        <f>dataset_A!F792</f>
        <v>2</v>
      </c>
      <c r="D792" s="38">
        <f>dataset_A!H792</f>
        <v>0</v>
      </c>
      <c r="E792" s="38" t="b">
        <f>dataset_A!G792</f>
        <v>0</v>
      </c>
      <c r="F792" s="38" t="b">
        <f>dataset_A!G792</f>
        <v>0</v>
      </c>
      <c r="G792" s="38" t="str">
        <f t="shared" si="1"/>
        <v>Weekend</v>
      </c>
      <c r="H792" s="38" t="str">
        <f t="shared" si="2"/>
        <v>Night</v>
      </c>
      <c r="I792" s="38" t="str">
        <f>IF(dataset_A!C792=1,"Spring",IF(dataset_A!C792=2,"Summer",IF(dataset_A!C792=3,"Fail","Winter")))</f>
        <v>Spring</v>
      </c>
      <c r="J792" s="38" t="str">
        <f>IF(dataset_A!I792=1,"Clear",IF(dataset_A!I792,"Mist/Cloudy",IF(dataset_A!I792=3,"Light Rain/Snow","Heavy Rain/Snow")))</f>
        <v>Clear</v>
      </c>
      <c r="K792" s="38">
        <f>dataset_A!N792</f>
        <v>0</v>
      </c>
      <c r="L792" s="38">
        <f>dataset_A!O792</f>
        <v>11</v>
      </c>
      <c r="M792" s="38">
        <f>dataset_A!P792</f>
        <v>11</v>
      </c>
      <c r="N792" s="38" t="str">
        <f t="shared" si="3"/>
        <v>Ok</v>
      </c>
      <c r="O792" s="38" t="str">
        <f>IF(M792&gt;Analysis!$B$3*1.5,"High",IF(M792&lt;Analysis!$B$3*0.5,"Low","Medium"))</f>
        <v>Low</v>
      </c>
      <c r="P792" s="38" t="str">
        <f>VLOOKUP(dataset_A!C792,$Q$2:$R$5,2,0)</f>
        <v>Spring</v>
      </c>
      <c r="S792" s="38" t="str">
        <f t="array" ref="S792">INDEX($R$2:$R$5,MATCH(dataset_A!C792,$Q$2:$Q$5,0))</f>
        <v>Spring</v>
      </c>
      <c r="T792" s="38" t="str">
        <f t="shared" si="4"/>
        <v>Match</v>
      </c>
    </row>
    <row r="793" ht="12.75" customHeight="1">
      <c r="A793" s="38">
        <f>dataset_A!A793</f>
        <v>482</v>
      </c>
      <c r="B793" s="39">
        <f>dataset_A!B793</f>
        <v>40565</v>
      </c>
      <c r="C793" s="38">
        <f>dataset_A!F793</f>
        <v>2</v>
      </c>
      <c r="D793" s="38">
        <f>dataset_A!H793</f>
        <v>6</v>
      </c>
      <c r="E793" s="38" t="b">
        <f>dataset_A!G793</f>
        <v>0</v>
      </c>
      <c r="F793" s="38" t="b">
        <f>dataset_A!G793</f>
        <v>0</v>
      </c>
      <c r="G793" s="38" t="str">
        <f t="shared" si="1"/>
        <v>Weekend</v>
      </c>
      <c r="H793" s="38" t="str">
        <f t="shared" si="2"/>
        <v>Night</v>
      </c>
      <c r="I793" s="38" t="str">
        <f>IF(dataset_A!C793=1,"Spring",IF(dataset_A!C793=2,"Summer",IF(dataset_A!C793=3,"Fail","Winter")))</f>
        <v>Spring</v>
      </c>
      <c r="J793" s="38" t="str">
        <f>IF(dataset_A!I793=1,"Clear",IF(dataset_A!I793,"Mist/Cloudy",IF(dataset_A!I793=3,"Light Rain/Snow","Heavy Rain/Snow")))</f>
        <v>Mist/Cloudy</v>
      </c>
      <c r="K793" s="38">
        <f>dataset_A!N793</f>
        <v>0</v>
      </c>
      <c r="L793" s="38">
        <f>dataset_A!O793</f>
        <v>11</v>
      </c>
      <c r="M793" s="38">
        <f>dataset_A!P793</f>
        <v>11</v>
      </c>
      <c r="N793" s="38" t="str">
        <f t="shared" si="3"/>
        <v>Ok</v>
      </c>
      <c r="O793" s="38" t="str">
        <f>IF(M793&gt;Analysis!$B$3*1.5,"High",IF(M793&lt;Analysis!$B$3*0.5,"Low","Medium"))</f>
        <v>Low</v>
      </c>
      <c r="P793" s="38" t="str">
        <f>VLOOKUP(dataset_A!C793,$Q$2:$R$5,2,0)</f>
        <v>Spring</v>
      </c>
      <c r="S793" s="38" t="str">
        <f t="array" ref="S793">INDEX($R$2:$R$5,MATCH(dataset_A!C793,$Q$2:$Q$5,0))</f>
        <v>Spring</v>
      </c>
      <c r="T793" s="38" t="str">
        <f t="shared" si="4"/>
        <v>Match</v>
      </c>
    </row>
    <row r="794" ht="12.75" customHeight="1">
      <c r="A794" s="38">
        <f>dataset_A!A794</f>
        <v>644</v>
      </c>
      <c r="B794" s="39">
        <f>dataset_A!B794</f>
        <v>40573</v>
      </c>
      <c r="C794" s="38">
        <f>dataset_A!F794</f>
        <v>2</v>
      </c>
      <c r="D794" s="38">
        <f>dataset_A!H794</f>
        <v>0</v>
      </c>
      <c r="E794" s="38" t="b">
        <f>dataset_A!G794</f>
        <v>0</v>
      </c>
      <c r="F794" s="38" t="b">
        <f>dataset_A!G794</f>
        <v>0</v>
      </c>
      <c r="G794" s="38" t="str">
        <f t="shared" si="1"/>
        <v>Weekend</v>
      </c>
      <c r="H794" s="38" t="str">
        <f t="shared" si="2"/>
        <v>Night</v>
      </c>
      <c r="I794" s="38" t="str">
        <f>IF(dataset_A!C794=1,"Spring",IF(dataset_A!C794=2,"Summer",IF(dataset_A!C794=3,"Fail","Winter")))</f>
        <v>Spring</v>
      </c>
      <c r="J794" s="38" t="str">
        <f>IF(dataset_A!I794=1,"Clear",IF(dataset_A!I794,"Mist/Cloudy",IF(dataset_A!I794=3,"Light Rain/Snow","Heavy Rain/Snow")))</f>
        <v>Clear</v>
      </c>
      <c r="K794" s="38">
        <f>dataset_A!N794</f>
        <v>1</v>
      </c>
      <c r="L794" s="38">
        <f>dataset_A!O794</f>
        <v>10</v>
      </c>
      <c r="M794" s="38">
        <f>dataset_A!P794</f>
        <v>11</v>
      </c>
      <c r="N794" s="38" t="str">
        <f t="shared" si="3"/>
        <v>Ok</v>
      </c>
      <c r="O794" s="38" t="str">
        <f>IF(M794&gt;Analysis!$B$3*1.5,"High",IF(M794&lt;Analysis!$B$3*0.5,"Low","Medium"))</f>
        <v>Low</v>
      </c>
      <c r="P794" s="38" t="str">
        <f>VLOOKUP(dataset_A!C794,$Q$2:$R$5,2,0)</f>
        <v>Spring</v>
      </c>
      <c r="S794" s="38" t="str">
        <f t="array" ref="S794">INDEX($R$2:$R$5,MATCH(dataset_A!C794,$Q$2:$Q$5,0))</f>
        <v>Spring</v>
      </c>
      <c r="T794" s="38" t="str">
        <f t="shared" si="4"/>
        <v>Match</v>
      </c>
    </row>
    <row r="795" ht="12.75" customHeight="1">
      <c r="A795" s="38">
        <f>dataset_A!A795</f>
        <v>785</v>
      </c>
      <c r="B795" s="39">
        <f>dataset_A!B795</f>
        <v>40579</v>
      </c>
      <c r="C795" s="38">
        <f>dataset_A!F795</f>
        <v>3</v>
      </c>
      <c r="D795" s="38">
        <f>dataset_A!H795</f>
        <v>6</v>
      </c>
      <c r="E795" s="38" t="b">
        <f>dataset_A!G795</f>
        <v>0</v>
      </c>
      <c r="F795" s="38" t="b">
        <f>dataset_A!G795</f>
        <v>0</v>
      </c>
      <c r="G795" s="38" t="str">
        <f t="shared" si="1"/>
        <v>Weekend</v>
      </c>
      <c r="H795" s="38" t="str">
        <f t="shared" si="2"/>
        <v>Night</v>
      </c>
      <c r="I795" s="38" t="str">
        <f>IF(dataset_A!C795=1,"Spring",IF(dataset_A!C795=2,"Summer",IF(dataset_A!C795=3,"Fail","Winter")))</f>
        <v>Spring</v>
      </c>
      <c r="J795" s="38" t="str">
        <f>IF(dataset_A!I795=1,"Clear",IF(dataset_A!I795,"Mist/Cloudy",IF(dataset_A!I795=3,"Light Rain/Snow","Heavy Rain/Snow")))</f>
        <v>Mist/Cloudy</v>
      </c>
      <c r="K795" s="38">
        <f>dataset_A!N795</f>
        <v>1</v>
      </c>
      <c r="L795" s="38">
        <f>dataset_A!O795</f>
        <v>10</v>
      </c>
      <c r="M795" s="38">
        <f>dataset_A!P795</f>
        <v>11</v>
      </c>
      <c r="N795" s="38" t="str">
        <f t="shared" si="3"/>
        <v>Ok</v>
      </c>
      <c r="O795" s="38" t="str">
        <f>IF(M795&gt;Analysis!$B$3*1.5,"High",IF(M795&lt;Analysis!$B$3*0.5,"Low","Medium"))</f>
        <v>Low</v>
      </c>
      <c r="P795" s="38" t="str">
        <f>VLOOKUP(dataset_A!C795,$Q$2:$R$5,2,0)</f>
        <v>Spring</v>
      </c>
      <c r="S795" s="38" t="str">
        <f t="array" ref="S795">INDEX($R$2:$R$5,MATCH(dataset_A!C795,$Q$2:$Q$5,0))</f>
        <v>Spring</v>
      </c>
      <c r="T795" s="38" t="str">
        <f t="shared" si="4"/>
        <v>Match</v>
      </c>
    </row>
    <row r="796" ht="12.75" customHeight="1">
      <c r="A796" s="38">
        <f>dataset_A!A796</f>
        <v>953</v>
      </c>
      <c r="B796" s="39">
        <f>dataset_A!B796</f>
        <v>40586</v>
      </c>
      <c r="C796" s="38">
        <f>dataset_A!F796</f>
        <v>7</v>
      </c>
      <c r="D796" s="38">
        <f>dataset_A!H796</f>
        <v>6</v>
      </c>
      <c r="E796" s="38" t="b">
        <f>dataset_A!G796</f>
        <v>0</v>
      </c>
      <c r="F796" s="38" t="b">
        <f>dataset_A!G796</f>
        <v>0</v>
      </c>
      <c r="G796" s="38" t="str">
        <f t="shared" si="1"/>
        <v>Weekend</v>
      </c>
      <c r="H796" s="38" t="str">
        <f t="shared" si="2"/>
        <v>Morning</v>
      </c>
      <c r="I796" s="38" t="str">
        <f>IF(dataset_A!C796=1,"Spring",IF(dataset_A!C796=2,"Summer",IF(dataset_A!C796=3,"Fail","Winter")))</f>
        <v>Spring</v>
      </c>
      <c r="J796" s="38" t="str">
        <f>IF(dataset_A!I796=1,"Clear",IF(dataset_A!I796,"Mist/Cloudy",IF(dataset_A!I796=3,"Light Rain/Snow","Heavy Rain/Snow")))</f>
        <v>Clear</v>
      </c>
      <c r="K796" s="38">
        <f>dataset_A!N796</f>
        <v>2</v>
      </c>
      <c r="L796" s="38">
        <f>dataset_A!O796</f>
        <v>9</v>
      </c>
      <c r="M796" s="38">
        <f>dataset_A!P796</f>
        <v>11</v>
      </c>
      <c r="N796" s="38" t="str">
        <f t="shared" si="3"/>
        <v>Ok</v>
      </c>
      <c r="O796" s="38" t="str">
        <f>IF(M796&gt;Analysis!$B$3*1.5,"High",IF(M796&lt;Analysis!$B$3*0.5,"Low","Medium"))</f>
        <v>Low</v>
      </c>
      <c r="P796" s="38" t="str">
        <f>VLOOKUP(dataset_A!C796,$Q$2:$R$5,2,0)</f>
        <v>Spring</v>
      </c>
      <c r="S796" s="38" t="str">
        <f t="array" ref="S796">INDEX($R$2:$R$5,MATCH(dataset_A!C796,$Q$2:$Q$5,0))</f>
        <v>Spring</v>
      </c>
      <c r="T796" s="38" t="str">
        <f t="shared" si="4"/>
        <v>Match</v>
      </c>
    </row>
    <row r="797" ht="12.75" customHeight="1">
      <c r="A797" s="38">
        <f>dataset_A!A797</f>
        <v>993</v>
      </c>
      <c r="B797" s="39">
        <f>dataset_A!B797</f>
        <v>40588</v>
      </c>
      <c r="C797" s="38">
        <f>dataset_A!F797</f>
        <v>0</v>
      </c>
      <c r="D797" s="38">
        <f>dataset_A!H797</f>
        <v>1</v>
      </c>
      <c r="E797" s="38" t="b">
        <f>dataset_A!G797</f>
        <v>0</v>
      </c>
      <c r="F797" s="38" t="b">
        <f>dataset_A!G797</f>
        <v>0</v>
      </c>
      <c r="G797" s="38" t="str">
        <f t="shared" si="1"/>
        <v>Weekday</v>
      </c>
      <c r="H797" s="38" t="str">
        <f t="shared" si="2"/>
        <v>Night</v>
      </c>
      <c r="I797" s="38" t="str">
        <f>IF(dataset_A!C797=1,"Spring",IF(dataset_A!C797=2,"Summer",IF(dataset_A!C797=3,"Fail","Winter")))</f>
        <v>Spring</v>
      </c>
      <c r="J797" s="38" t="str">
        <f>IF(dataset_A!I797=1,"Clear",IF(dataset_A!I797,"Mist/Cloudy",IF(dataset_A!I797=3,"Light Rain/Snow","Heavy Rain/Snow")))</f>
        <v>Clear</v>
      </c>
      <c r="K797" s="38">
        <f>dataset_A!N797</f>
        <v>3</v>
      </c>
      <c r="L797" s="38">
        <f>dataset_A!O797</f>
        <v>8</v>
      </c>
      <c r="M797" s="38">
        <f>dataset_A!P797</f>
        <v>11</v>
      </c>
      <c r="N797" s="38" t="str">
        <f t="shared" si="3"/>
        <v>Ok</v>
      </c>
      <c r="O797" s="38" t="str">
        <f>IF(M797&gt;Analysis!$B$3*1.5,"High",IF(M797&lt;Analysis!$B$3*0.5,"Low","Medium"))</f>
        <v>Low</v>
      </c>
      <c r="P797" s="38" t="str">
        <f>VLOOKUP(dataset_A!C797,$Q$2:$R$5,2,0)</f>
        <v>Spring</v>
      </c>
      <c r="S797" s="38" t="str">
        <f t="array" ref="S797">INDEX($R$2:$R$5,MATCH(dataset_A!C797,$Q$2:$Q$5,0))</f>
        <v>Spring</v>
      </c>
      <c r="T797" s="38" t="str">
        <f t="shared" si="4"/>
        <v>Match</v>
      </c>
    </row>
    <row r="798" ht="12.75" customHeight="1">
      <c r="A798" s="38">
        <f>dataset_A!A798</f>
        <v>194</v>
      </c>
      <c r="B798" s="39">
        <f>dataset_A!B798</f>
        <v>40552</v>
      </c>
      <c r="C798" s="38">
        <f>dataset_A!F798</f>
        <v>8</v>
      </c>
      <c r="D798" s="38">
        <f>dataset_A!H798</f>
        <v>0</v>
      </c>
      <c r="E798" s="38" t="b">
        <f>dataset_A!G798</f>
        <v>0</v>
      </c>
      <c r="F798" s="38" t="b">
        <f>dataset_A!G798</f>
        <v>0</v>
      </c>
      <c r="G798" s="38" t="str">
        <f t="shared" si="1"/>
        <v>Weekend</v>
      </c>
      <c r="H798" s="38" t="str">
        <f t="shared" si="2"/>
        <v>Morning</v>
      </c>
      <c r="I798" s="38" t="str">
        <f>IF(dataset_A!C798=1,"Spring",IF(dataset_A!C798=2,"Summer",IF(dataset_A!C798=3,"Fail","Winter")))</f>
        <v>Spring</v>
      </c>
      <c r="J798" s="38" t="str">
        <f>IF(dataset_A!I798=1,"Clear",IF(dataset_A!I798,"Mist/Cloudy",IF(dataset_A!I798=3,"Light Rain/Snow","Heavy Rain/Snow")))</f>
        <v>Clear</v>
      </c>
      <c r="K798" s="38">
        <f>dataset_A!N798</f>
        <v>0</v>
      </c>
      <c r="L798" s="38">
        <f>dataset_A!O798</f>
        <v>10</v>
      </c>
      <c r="M798" s="38">
        <f>dataset_A!P798</f>
        <v>10</v>
      </c>
      <c r="N798" s="38" t="str">
        <f t="shared" si="3"/>
        <v>Ok</v>
      </c>
      <c r="O798" s="38" t="str">
        <f>IF(M798&gt;Analysis!$B$3*1.5,"High",IF(M798&lt;Analysis!$B$3*0.5,"Low","Medium"))</f>
        <v>Low</v>
      </c>
      <c r="P798" s="38" t="str">
        <f>VLOOKUP(dataset_A!C798,$Q$2:$R$5,2,0)</f>
        <v>Spring</v>
      </c>
      <c r="S798" s="38" t="str">
        <f t="array" ref="S798">INDEX($R$2:$R$5,MATCH(dataset_A!C798,$Q$2:$Q$5,0))</f>
        <v>Spring</v>
      </c>
      <c r="T798" s="38" t="str">
        <f t="shared" si="4"/>
        <v>Match</v>
      </c>
    </row>
    <row r="799" ht="12.75" customHeight="1">
      <c r="A799" s="38">
        <f>dataset_A!A799</f>
        <v>332</v>
      </c>
      <c r="B799" s="39">
        <f>dataset_A!B799</f>
        <v>40558</v>
      </c>
      <c r="C799" s="38">
        <f>dataset_A!F799</f>
        <v>7</v>
      </c>
      <c r="D799" s="38">
        <f>dataset_A!H799</f>
        <v>6</v>
      </c>
      <c r="E799" s="38" t="b">
        <f>dataset_A!G799</f>
        <v>0</v>
      </c>
      <c r="F799" s="38" t="b">
        <f>dataset_A!G799</f>
        <v>0</v>
      </c>
      <c r="G799" s="38" t="str">
        <f t="shared" si="1"/>
        <v>Weekend</v>
      </c>
      <c r="H799" s="38" t="str">
        <f t="shared" si="2"/>
        <v>Morning</v>
      </c>
      <c r="I799" s="38" t="str">
        <f>IF(dataset_A!C799=1,"Spring",IF(dataset_A!C799=2,"Summer",IF(dataset_A!C799=3,"Fail","Winter")))</f>
        <v>Spring</v>
      </c>
      <c r="J799" s="38" t="str">
        <f>IF(dataset_A!I799=1,"Clear",IF(dataset_A!I799,"Mist/Cloudy",IF(dataset_A!I799=3,"Light Rain/Snow","Heavy Rain/Snow")))</f>
        <v>Clear</v>
      </c>
      <c r="K799" s="38">
        <f>dataset_A!N799</f>
        <v>1</v>
      </c>
      <c r="L799" s="38">
        <f>dataset_A!O799</f>
        <v>9</v>
      </c>
      <c r="M799" s="38">
        <f>dataset_A!P799</f>
        <v>10</v>
      </c>
      <c r="N799" s="38" t="str">
        <f t="shared" si="3"/>
        <v>Ok</v>
      </c>
      <c r="O799" s="38" t="str">
        <f>IF(M799&gt;Analysis!$B$3*1.5,"High",IF(M799&lt;Analysis!$B$3*0.5,"Low","Medium"))</f>
        <v>Low</v>
      </c>
      <c r="P799" s="38" t="str">
        <f>VLOOKUP(dataset_A!C799,$Q$2:$R$5,2,0)</f>
        <v>Spring</v>
      </c>
      <c r="S799" s="38" t="str">
        <f t="array" ref="S799">INDEX($R$2:$R$5,MATCH(dataset_A!C799,$Q$2:$Q$5,0))</f>
        <v>Spring</v>
      </c>
      <c r="T799" s="38" t="str">
        <f t="shared" si="4"/>
        <v>Match</v>
      </c>
    </row>
    <row r="800" ht="12.75" customHeight="1">
      <c r="A800" s="38">
        <f>dataset_A!A800</f>
        <v>574</v>
      </c>
      <c r="B800" s="39">
        <f>dataset_A!B800</f>
        <v>40569</v>
      </c>
      <c r="C800" s="38">
        <f>dataset_A!F800</f>
        <v>2</v>
      </c>
      <c r="D800" s="38">
        <f>dataset_A!H800</f>
        <v>3</v>
      </c>
      <c r="E800" s="38" t="b">
        <f>dataset_A!G800</f>
        <v>0</v>
      </c>
      <c r="F800" s="38" t="b">
        <f>dataset_A!G800</f>
        <v>0</v>
      </c>
      <c r="G800" s="38" t="str">
        <f t="shared" si="1"/>
        <v>Weekday</v>
      </c>
      <c r="H800" s="38" t="str">
        <f t="shared" si="2"/>
        <v>Night</v>
      </c>
      <c r="I800" s="38" t="str">
        <f>IF(dataset_A!C800=1,"Spring",IF(dataset_A!C800=2,"Summer",IF(dataset_A!C800=3,"Fail","Winter")))</f>
        <v>Spring</v>
      </c>
      <c r="J800" s="38" t="str">
        <f>IF(dataset_A!I800=1,"Clear",IF(dataset_A!I800,"Mist/Cloudy",IF(dataset_A!I800=3,"Light Rain/Snow","Heavy Rain/Snow")))</f>
        <v>Mist/Cloudy</v>
      </c>
      <c r="K800" s="38">
        <f>dataset_A!N800</f>
        <v>3</v>
      </c>
      <c r="L800" s="38">
        <f>dataset_A!O800</f>
        <v>7</v>
      </c>
      <c r="M800" s="38">
        <f>dataset_A!P800</f>
        <v>10</v>
      </c>
      <c r="N800" s="38" t="str">
        <f t="shared" si="3"/>
        <v>Ok</v>
      </c>
      <c r="O800" s="38" t="str">
        <f>IF(M800&gt;Analysis!$B$3*1.5,"High",IF(M800&lt;Analysis!$B$3*0.5,"Low","Medium"))</f>
        <v>Low</v>
      </c>
      <c r="P800" s="38" t="str">
        <f>VLOOKUP(dataset_A!C800,$Q$2:$R$5,2,0)</f>
        <v>Spring</v>
      </c>
      <c r="S800" s="38" t="str">
        <f t="array" ref="S800">INDEX($R$2:$R$5,MATCH(dataset_A!C800,$Q$2:$Q$5,0))</f>
        <v>Spring</v>
      </c>
      <c r="T800" s="38" t="str">
        <f t="shared" si="4"/>
        <v>Match</v>
      </c>
    </row>
    <row r="801" ht="12.75" customHeight="1">
      <c r="A801" s="38">
        <f>dataset_A!A801</f>
        <v>790</v>
      </c>
      <c r="B801" s="39">
        <f>dataset_A!B801</f>
        <v>40579</v>
      </c>
      <c r="C801" s="38">
        <f>dataset_A!F801</f>
        <v>8</v>
      </c>
      <c r="D801" s="38">
        <f>dataset_A!H801</f>
        <v>6</v>
      </c>
      <c r="E801" s="38" t="b">
        <f>dataset_A!G801</f>
        <v>0</v>
      </c>
      <c r="F801" s="38" t="b">
        <f>dataset_A!G801</f>
        <v>0</v>
      </c>
      <c r="G801" s="38" t="str">
        <f t="shared" si="1"/>
        <v>Weekend</v>
      </c>
      <c r="H801" s="38" t="str">
        <f t="shared" si="2"/>
        <v>Morning</v>
      </c>
      <c r="I801" s="38" t="str">
        <f>IF(dataset_A!C801=1,"Spring",IF(dataset_A!C801=2,"Summer",IF(dataset_A!C801=3,"Fail","Winter")))</f>
        <v>Spring</v>
      </c>
      <c r="J801" s="38" t="str">
        <f>IF(dataset_A!I801=1,"Clear",IF(dataset_A!I801,"Mist/Cloudy",IF(dataset_A!I801=3,"Light Rain/Snow","Heavy Rain/Snow")))</f>
        <v>Mist/Cloudy</v>
      </c>
      <c r="K801" s="38">
        <f>dataset_A!N801</f>
        <v>0</v>
      </c>
      <c r="L801" s="38">
        <f>dataset_A!O801</f>
        <v>10</v>
      </c>
      <c r="M801" s="38">
        <f>dataset_A!P801</f>
        <v>10</v>
      </c>
      <c r="N801" s="38" t="str">
        <f t="shared" si="3"/>
        <v>Ok</v>
      </c>
      <c r="O801" s="38" t="str">
        <f>IF(M801&gt;Analysis!$B$3*1.5,"High",IF(M801&lt;Analysis!$B$3*0.5,"Low","Medium"))</f>
        <v>Low</v>
      </c>
      <c r="P801" s="38" t="str">
        <f>VLOOKUP(dataset_A!C801,$Q$2:$R$5,2,0)</f>
        <v>Spring</v>
      </c>
      <c r="S801" s="38" t="str">
        <f t="array" ref="S801">INDEX($R$2:$R$5,MATCH(dataset_A!C801,$Q$2:$Q$5,0))</f>
        <v>Spring</v>
      </c>
      <c r="T801" s="38" t="str">
        <f t="shared" si="4"/>
        <v>Match</v>
      </c>
    </row>
    <row r="802" ht="12.75" customHeight="1">
      <c r="A802" s="38">
        <f>dataset_A!A802</f>
        <v>835</v>
      </c>
      <c r="B802" s="39">
        <f>dataset_A!B802</f>
        <v>40581</v>
      </c>
      <c r="C802" s="38">
        <f>dataset_A!F802</f>
        <v>5</v>
      </c>
      <c r="D802" s="38">
        <f>dataset_A!H802</f>
        <v>1</v>
      </c>
      <c r="E802" s="38" t="b">
        <f>dataset_A!G802</f>
        <v>0</v>
      </c>
      <c r="F802" s="38" t="b">
        <f>dataset_A!G802</f>
        <v>0</v>
      </c>
      <c r="G802" s="38" t="str">
        <f t="shared" si="1"/>
        <v>Weekday</v>
      </c>
      <c r="H802" s="38" t="str">
        <f t="shared" si="2"/>
        <v>Night</v>
      </c>
      <c r="I802" s="38" t="str">
        <f>IF(dataset_A!C802=1,"Spring",IF(dataset_A!C802=2,"Summer",IF(dataset_A!C802=3,"Fail","Winter")))</f>
        <v>Spring</v>
      </c>
      <c r="J802" s="38" t="str">
        <f>IF(dataset_A!I802=1,"Clear",IF(dataset_A!I802,"Mist/Cloudy",IF(dataset_A!I802=3,"Light Rain/Snow","Heavy Rain/Snow")))</f>
        <v>Clear</v>
      </c>
      <c r="K802" s="38">
        <f>dataset_A!N802</f>
        <v>1</v>
      </c>
      <c r="L802" s="38">
        <f>dataset_A!O802</f>
        <v>9</v>
      </c>
      <c r="M802" s="38">
        <f>dataset_A!P802</f>
        <v>10</v>
      </c>
      <c r="N802" s="38" t="str">
        <f t="shared" si="3"/>
        <v>Ok</v>
      </c>
      <c r="O802" s="38" t="str">
        <f>IF(M802&gt;Analysis!$B$3*1.5,"High",IF(M802&lt;Analysis!$B$3*0.5,"Low","Medium"))</f>
        <v>Low</v>
      </c>
      <c r="P802" s="38" t="str">
        <f>VLOOKUP(dataset_A!C802,$Q$2:$R$5,2,0)</f>
        <v>Spring</v>
      </c>
      <c r="S802" s="38" t="str">
        <f t="array" ref="S802">INDEX($R$2:$R$5,MATCH(dataset_A!C802,$Q$2:$Q$5,0))</f>
        <v>Spring</v>
      </c>
      <c r="T802" s="38" t="str">
        <f t="shared" si="4"/>
        <v>Match</v>
      </c>
    </row>
    <row r="803" ht="12.75" customHeight="1">
      <c r="A803" s="38">
        <f>dataset_A!A803</f>
        <v>854</v>
      </c>
      <c r="B803" s="39">
        <f>dataset_A!B803</f>
        <v>40582</v>
      </c>
      <c r="C803" s="38">
        <f>dataset_A!F803</f>
        <v>0</v>
      </c>
      <c r="D803" s="38">
        <f>dataset_A!H803</f>
        <v>2</v>
      </c>
      <c r="E803" s="38" t="b">
        <f>dataset_A!G803</f>
        <v>0</v>
      </c>
      <c r="F803" s="38" t="b">
        <f>dataset_A!G803</f>
        <v>0</v>
      </c>
      <c r="G803" s="38" t="str">
        <f t="shared" si="1"/>
        <v>Weekday</v>
      </c>
      <c r="H803" s="38" t="str">
        <f t="shared" si="2"/>
        <v>Night</v>
      </c>
      <c r="I803" s="38" t="str">
        <f>IF(dataset_A!C803=1,"Spring",IF(dataset_A!C803=2,"Summer",IF(dataset_A!C803=3,"Fail","Winter")))</f>
        <v>Spring</v>
      </c>
      <c r="J803" s="38" t="str">
        <f>IF(dataset_A!I803=1,"Clear",IF(dataset_A!I803,"Mist/Cloudy",IF(dataset_A!I803=3,"Light Rain/Snow","Heavy Rain/Snow")))</f>
        <v>Mist/Cloudy</v>
      </c>
      <c r="K803" s="38">
        <f>dataset_A!N803</f>
        <v>4</v>
      </c>
      <c r="L803" s="38">
        <f>dataset_A!O803</f>
        <v>6</v>
      </c>
      <c r="M803" s="38">
        <f>dataset_A!P803</f>
        <v>10</v>
      </c>
      <c r="N803" s="38" t="str">
        <f t="shared" si="3"/>
        <v>Ok</v>
      </c>
      <c r="O803" s="38" t="str">
        <f>IF(M803&gt;Analysis!$B$3*1.5,"High",IF(M803&lt;Analysis!$B$3*0.5,"Low","Medium"))</f>
        <v>Low</v>
      </c>
      <c r="P803" s="38" t="str">
        <f>VLOOKUP(dataset_A!C803,$Q$2:$R$5,2,0)</f>
        <v>Spring</v>
      </c>
      <c r="S803" s="38" t="str">
        <f t="array" ref="S803">INDEX($R$2:$R$5,MATCH(dataset_A!C803,$Q$2:$Q$5,0))</f>
        <v>Spring</v>
      </c>
      <c r="T803" s="38" t="str">
        <f t="shared" si="4"/>
        <v>Match</v>
      </c>
    </row>
    <row r="804" ht="12.75" customHeight="1">
      <c r="A804" s="38">
        <f>dataset_A!A804</f>
        <v>949</v>
      </c>
      <c r="B804" s="39">
        <f>dataset_A!B804</f>
        <v>40586</v>
      </c>
      <c r="C804" s="38">
        <f>dataset_A!F804</f>
        <v>3</v>
      </c>
      <c r="D804" s="38">
        <f>dataset_A!H804</f>
        <v>6</v>
      </c>
      <c r="E804" s="38" t="b">
        <f>dataset_A!G804</f>
        <v>0</v>
      </c>
      <c r="F804" s="38" t="b">
        <f>dataset_A!G804</f>
        <v>0</v>
      </c>
      <c r="G804" s="38" t="str">
        <f t="shared" si="1"/>
        <v>Weekend</v>
      </c>
      <c r="H804" s="38" t="str">
        <f t="shared" si="2"/>
        <v>Night</v>
      </c>
      <c r="I804" s="38" t="str">
        <f>IF(dataset_A!C804=1,"Spring",IF(dataset_A!C804=2,"Summer",IF(dataset_A!C804=3,"Fail","Winter")))</f>
        <v>Spring</v>
      </c>
      <c r="J804" s="38" t="str">
        <f>IF(dataset_A!I804=1,"Clear",IF(dataset_A!I804,"Mist/Cloudy",IF(dataset_A!I804=3,"Light Rain/Snow","Heavy Rain/Snow")))</f>
        <v>Clear</v>
      </c>
      <c r="K804" s="38">
        <f>dataset_A!N804</f>
        <v>3</v>
      </c>
      <c r="L804" s="38">
        <f>dataset_A!O804</f>
        <v>7</v>
      </c>
      <c r="M804" s="38">
        <f>dataset_A!P804</f>
        <v>10</v>
      </c>
      <c r="N804" s="38" t="str">
        <f t="shared" si="3"/>
        <v>Ok</v>
      </c>
      <c r="O804" s="38" t="str">
        <f>IF(M804&gt;Analysis!$B$3*1.5,"High",IF(M804&lt;Analysis!$B$3*0.5,"Low","Medium"))</f>
        <v>Low</v>
      </c>
      <c r="P804" s="38" t="str">
        <f>VLOOKUP(dataset_A!C804,$Q$2:$R$5,2,0)</f>
        <v>Spring</v>
      </c>
      <c r="S804" s="38" t="str">
        <f t="array" ref="S804">INDEX($R$2:$R$5,MATCH(dataset_A!C804,$Q$2:$Q$5,0))</f>
        <v>Spring</v>
      </c>
      <c r="T804" s="38" t="str">
        <f t="shared" si="4"/>
        <v>Match</v>
      </c>
    </row>
    <row r="805" ht="12.75" customHeight="1">
      <c r="A805" s="38">
        <f>dataset_A!A805</f>
        <v>27</v>
      </c>
      <c r="B805" s="39">
        <f>dataset_A!B805</f>
        <v>40545</v>
      </c>
      <c r="C805" s="38">
        <f>dataset_A!F805</f>
        <v>2</v>
      </c>
      <c r="D805" s="38">
        <f>dataset_A!H805</f>
        <v>0</v>
      </c>
      <c r="E805" s="38" t="b">
        <f>dataset_A!G805</f>
        <v>0</v>
      </c>
      <c r="F805" s="38" t="b">
        <f>dataset_A!G805</f>
        <v>0</v>
      </c>
      <c r="G805" s="38" t="str">
        <f t="shared" si="1"/>
        <v>Weekend</v>
      </c>
      <c r="H805" s="38" t="str">
        <f t="shared" si="2"/>
        <v>Night</v>
      </c>
      <c r="I805" s="38" t="str">
        <f>IF(dataset_A!C805=1,"Spring",IF(dataset_A!C805=2,"Summer",IF(dataset_A!C805=3,"Fail","Winter")))</f>
        <v>Spring</v>
      </c>
      <c r="J805" s="38" t="str">
        <f>IF(dataset_A!I805=1,"Clear",IF(dataset_A!I805,"Mist/Cloudy",IF(dataset_A!I805=3,"Light Rain/Snow","Heavy Rain/Snow")))</f>
        <v>Mist/Cloudy</v>
      </c>
      <c r="K805" s="38">
        <f>dataset_A!N805</f>
        <v>1</v>
      </c>
      <c r="L805" s="38">
        <f>dataset_A!O805</f>
        <v>8</v>
      </c>
      <c r="M805" s="38">
        <f>dataset_A!P805</f>
        <v>9</v>
      </c>
      <c r="N805" s="38" t="str">
        <f t="shared" si="3"/>
        <v>Ok</v>
      </c>
      <c r="O805" s="38" t="str">
        <f>IF(M805&gt;Analysis!$B$3*1.5,"High",IF(M805&lt;Analysis!$B$3*0.5,"Low","Medium"))</f>
        <v>Low</v>
      </c>
      <c r="P805" s="38" t="str">
        <f>VLOOKUP(dataset_A!C805,$Q$2:$R$5,2,0)</f>
        <v>Spring</v>
      </c>
      <c r="S805" s="38" t="str">
        <f t="array" ref="S805">INDEX($R$2:$R$5,MATCH(dataset_A!C805,$Q$2:$Q$5,0))</f>
        <v>Spring</v>
      </c>
      <c r="T805" s="38" t="str">
        <f t="shared" si="4"/>
        <v>Match</v>
      </c>
    </row>
    <row r="806" ht="12.75" customHeight="1">
      <c r="A806" s="38">
        <f>dataset_A!A806</f>
        <v>46</v>
      </c>
      <c r="B806" s="39">
        <f>dataset_A!B806</f>
        <v>40545</v>
      </c>
      <c r="C806" s="38">
        <f>dataset_A!F806</f>
        <v>22</v>
      </c>
      <c r="D806" s="38">
        <f>dataset_A!H806</f>
        <v>0</v>
      </c>
      <c r="E806" s="38" t="b">
        <f>dataset_A!G806</f>
        <v>0</v>
      </c>
      <c r="F806" s="38" t="b">
        <f>dataset_A!G806</f>
        <v>0</v>
      </c>
      <c r="G806" s="38" t="str">
        <f t="shared" si="1"/>
        <v>Weekend</v>
      </c>
      <c r="H806" s="38" t="str">
        <f t="shared" si="2"/>
        <v>Evening</v>
      </c>
      <c r="I806" s="38" t="str">
        <f>IF(dataset_A!C806=1,"Spring",IF(dataset_A!C806=2,"Summer",IF(dataset_A!C806=3,"Fail","Winter")))</f>
        <v>Spring</v>
      </c>
      <c r="J806" s="38" t="str">
        <f>IF(dataset_A!I806=1,"Clear",IF(dataset_A!I806,"Mist/Cloudy",IF(dataset_A!I806=3,"Light Rain/Snow","Heavy Rain/Snow")))</f>
        <v>Clear</v>
      </c>
      <c r="K806" s="38">
        <f>dataset_A!N806</f>
        <v>0</v>
      </c>
      <c r="L806" s="38">
        <f>dataset_A!O806</f>
        <v>9</v>
      </c>
      <c r="M806" s="38">
        <f>dataset_A!P806</f>
        <v>9</v>
      </c>
      <c r="N806" s="38" t="str">
        <f t="shared" si="3"/>
        <v>Ok</v>
      </c>
      <c r="O806" s="38" t="str">
        <f>IF(M806&gt;Analysis!$B$3*1.5,"High",IF(M806&lt;Analysis!$B$3*0.5,"Low","Medium"))</f>
        <v>Low</v>
      </c>
      <c r="P806" s="38" t="str">
        <f>VLOOKUP(dataset_A!C806,$Q$2:$R$5,2,0)</f>
        <v>Spring</v>
      </c>
      <c r="S806" s="38" t="str">
        <f t="array" ref="S806">INDEX($R$2:$R$5,MATCH(dataset_A!C806,$Q$2:$Q$5,0))</f>
        <v>Spring</v>
      </c>
      <c r="T806" s="38" t="str">
        <f t="shared" si="4"/>
        <v>Match</v>
      </c>
    </row>
    <row r="807" ht="12.75" customHeight="1">
      <c r="A807" s="38">
        <f>dataset_A!A807</f>
        <v>169</v>
      </c>
      <c r="B807" s="39">
        <f>dataset_A!B807</f>
        <v>40551</v>
      </c>
      <c r="C807" s="38">
        <f>dataset_A!F807</f>
        <v>7</v>
      </c>
      <c r="D807" s="38">
        <f>dataset_A!H807</f>
        <v>6</v>
      </c>
      <c r="E807" s="38" t="b">
        <f>dataset_A!G807</f>
        <v>0</v>
      </c>
      <c r="F807" s="38" t="b">
        <f>dataset_A!G807</f>
        <v>0</v>
      </c>
      <c r="G807" s="38" t="str">
        <f t="shared" si="1"/>
        <v>Weekend</v>
      </c>
      <c r="H807" s="38" t="str">
        <f t="shared" si="2"/>
        <v>Morning</v>
      </c>
      <c r="I807" s="38" t="str">
        <f>IF(dataset_A!C807=1,"Spring",IF(dataset_A!C807=2,"Summer",IF(dataset_A!C807=3,"Fail","Winter")))</f>
        <v>Spring</v>
      </c>
      <c r="J807" s="38" t="str">
        <f>IF(dataset_A!I807=1,"Clear",IF(dataset_A!I807,"Mist/Cloudy",IF(dataset_A!I807=3,"Light Rain/Snow","Heavy Rain/Snow")))</f>
        <v>Mist/Cloudy</v>
      </c>
      <c r="K807" s="38">
        <f>dataset_A!N807</f>
        <v>1</v>
      </c>
      <c r="L807" s="38">
        <f>dataset_A!O807</f>
        <v>8</v>
      </c>
      <c r="M807" s="38">
        <f>dataset_A!P807</f>
        <v>9</v>
      </c>
      <c r="N807" s="38" t="str">
        <f t="shared" si="3"/>
        <v>Ok</v>
      </c>
      <c r="O807" s="38" t="str">
        <f>IF(M807&gt;Analysis!$B$3*1.5,"High",IF(M807&lt;Analysis!$B$3*0.5,"Low","Medium"))</f>
        <v>Low</v>
      </c>
      <c r="P807" s="38" t="str">
        <f>VLOOKUP(dataset_A!C807,$Q$2:$R$5,2,0)</f>
        <v>Spring</v>
      </c>
      <c r="S807" s="38" t="str">
        <f t="array" ref="S807">INDEX($R$2:$R$5,MATCH(dataset_A!C807,$Q$2:$Q$5,0))</f>
        <v>Spring</v>
      </c>
      <c r="T807" s="38" t="str">
        <f t="shared" si="4"/>
        <v>Match</v>
      </c>
    </row>
    <row r="808" ht="12.75" customHeight="1">
      <c r="A808" s="38">
        <f>dataset_A!A808</f>
        <v>549</v>
      </c>
      <c r="B808" s="39">
        <f>dataset_A!B808</f>
        <v>40568</v>
      </c>
      <c r="C808" s="38">
        <f>dataset_A!F808</f>
        <v>0</v>
      </c>
      <c r="D808" s="38">
        <f>dataset_A!H808</f>
        <v>2</v>
      </c>
      <c r="E808" s="38" t="b">
        <f>dataset_A!G808</f>
        <v>0</v>
      </c>
      <c r="F808" s="38" t="b">
        <f>dataset_A!G808</f>
        <v>0</v>
      </c>
      <c r="G808" s="38" t="str">
        <f t="shared" si="1"/>
        <v>Weekday</v>
      </c>
      <c r="H808" s="38" t="str">
        <f t="shared" si="2"/>
        <v>Night</v>
      </c>
      <c r="I808" s="38" t="str">
        <f>IF(dataset_A!C808=1,"Spring",IF(dataset_A!C808=2,"Summer",IF(dataset_A!C808=3,"Fail","Winter")))</f>
        <v>Spring</v>
      </c>
      <c r="J808" s="38" t="str">
        <f>IF(dataset_A!I808=1,"Clear",IF(dataset_A!I808,"Mist/Cloudy",IF(dataset_A!I808=3,"Light Rain/Snow","Heavy Rain/Snow")))</f>
        <v>Mist/Cloudy</v>
      </c>
      <c r="K808" s="38">
        <f>dataset_A!N808</f>
        <v>3</v>
      </c>
      <c r="L808" s="38">
        <f>dataset_A!O808</f>
        <v>6</v>
      </c>
      <c r="M808" s="38">
        <f>dataset_A!P808</f>
        <v>9</v>
      </c>
      <c r="N808" s="38" t="str">
        <f t="shared" si="3"/>
        <v>Ok</v>
      </c>
      <c r="O808" s="38" t="str">
        <f>IF(M808&gt;Analysis!$B$3*1.5,"High",IF(M808&lt;Analysis!$B$3*0.5,"Low","Medium"))</f>
        <v>Low</v>
      </c>
      <c r="P808" s="38" t="str">
        <f>VLOOKUP(dataset_A!C808,$Q$2:$R$5,2,0)</f>
        <v>Spring</v>
      </c>
      <c r="S808" s="38" t="str">
        <f t="array" ref="S808">INDEX($R$2:$R$5,MATCH(dataset_A!C808,$Q$2:$Q$5,0))</f>
        <v>Spring</v>
      </c>
      <c r="T808" s="38" t="str">
        <f t="shared" si="4"/>
        <v>Match</v>
      </c>
    </row>
    <row r="809" ht="12.75" customHeight="1">
      <c r="A809" s="38">
        <f>dataset_A!A809</f>
        <v>553</v>
      </c>
      <c r="B809" s="39">
        <f>dataset_A!B809</f>
        <v>40568</v>
      </c>
      <c r="C809" s="38">
        <f>dataset_A!F809</f>
        <v>5</v>
      </c>
      <c r="D809" s="38">
        <f>dataset_A!H809</f>
        <v>2</v>
      </c>
      <c r="E809" s="38" t="b">
        <f>dataset_A!G809</f>
        <v>0</v>
      </c>
      <c r="F809" s="38" t="b">
        <f>dataset_A!G809</f>
        <v>0</v>
      </c>
      <c r="G809" s="38" t="str">
        <f t="shared" si="1"/>
        <v>Weekday</v>
      </c>
      <c r="H809" s="38" t="str">
        <f t="shared" si="2"/>
        <v>Night</v>
      </c>
      <c r="I809" s="38" t="str">
        <f>IF(dataset_A!C809=1,"Spring",IF(dataset_A!C809=2,"Summer",IF(dataset_A!C809=3,"Fail","Winter")))</f>
        <v>Spring</v>
      </c>
      <c r="J809" s="38" t="str">
        <f>IF(dataset_A!I809=1,"Clear",IF(dataset_A!I809,"Mist/Cloudy",IF(dataset_A!I809=3,"Light Rain/Snow","Heavy Rain/Snow")))</f>
        <v>Clear</v>
      </c>
      <c r="K809" s="38">
        <f>dataset_A!N809</f>
        <v>0</v>
      </c>
      <c r="L809" s="38">
        <f>dataset_A!O809</f>
        <v>9</v>
      </c>
      <c r="M809" s="38">
        <f>dataset_A!P809</f>
        <v>9</v>
      </c>
      <c r="N809" s="38" t="str">
        <f t="shared" si="3"/>
        <v>Ok</v>
      </c>
      <c r="O809" s="38" t="str">
        <f>IF(M809&gt;Analysis!$B$3*1.5,"High",IF(M809&lt;Analysis!$B$3*0.5,"Low","Medium"))</f>
        <v>Low</v>
      </c>
      <c r="P809" s="38" t="str">
        <f>VLOOKUP(dataset_A!C809,$Q$2:$R$5,2,0)</f>
        <v>Spring</v>
      </c>
      <c r="S809" s="38" t="str">
        <f t="array" ref="S809">INDEX($R$2:$R$5,MATCH(dataset_A!C809,$Q$2:$Q$5,0))</f>
        <v>Spring</v>
      </c>
      <c r="T809" s="38" t="str">
        <f t="shared" si="4"/>
        <v>Match</v>
      </c>
    </row>
    <row r="810" ht="12.75" customHeight="1">
      <c r="A810" s="38">
        <f>dataset_A!A810</f>
        <v>596</v>
      </c>
      <c r="B810" s="39">
        <f>dataset_A!B810</f>
        <v>40571</v>
      </c>
      <c r="C810" s="38">
        <f>dataset_A!F810</f>
        <v>0</v>
      </c>
      <c r="D810" s="38">
        <f>dataset_A!H810</f>
        <v>5</v>
      </c>
      <c r="E810" s="38" t="b">
        <f>dataset_A!G810</f>
        <v>0</v>
      </c>
      <c r="F810" s="38" t="b">
        <f>dataset_A!G810</f>
        <v>0</v>
      </c>
      <c r="G810" s="38" t="str">
        <f t="shared" si="1"/>
        <v>Weekday</v>
      </c>
      <c r="H810" s="38" t="str">
        <f t="shared" si="2"/>
        <v>Night</v>
      </c>
      <c r="I810" s="38" t="str">
        <f>IF(dataset_A!C810=1,"Spring",IF(dataset_A!C810=2,"Summer",IF(dataset_A!C810=3,"Fail","Winter")))</f>
        <v>Spring</v>
      </c>
      <c r="J810" s="38" t="str">
        <f>IF(dataset_A!I810=1,"Clear",IF(dataset_A!I810,"Mist/Cloudy",IF(dataset_A!I810=3,"Light Rain/Snow","Heavy Rain/Snow")))</f>
        <v>Mist/Cloudy</v>
      </c>
      <c r="K810" s="38">
        <f>dataset_A!N810</f>
        <v>0</v>
      </c>
      <c r="L810" s="38">
        <f>dataset_A!O810</f>
        <v>9</v>
      </c>
      <c r="M810" s="38">
        <f>dataset_A!P810</f>
        <v>9</v>
      </c>
      <c r="N810" s="38" t="str">
        <f t="shared" si="3"/>
        <v>Ok</v>
      </c>
      <c r="O810" s="38" t="str">
        <f>IF(M810&gt;Analysis!$B$3*1.5,"High",IF(M810&lt;Analysis!$B$3*0.5,"Low","Medium"))</f>
        <v>Low</v>
      </c>
      <c r="P810" s="38" t="str">
        <f>VLOOKUP(dataset_A!C810,$Q$2:$R$5,2,0)</f>
        <v>Spring</v>
      </c>
      <c r="S810" s="38" t="str">
        <f t="array" ref="S810">INDEX($R$2:$R$5,MATCH(dataset_A!C810,$Q$2:$Q$5,0))</f>
        <v>Spring</v>
      </c>
      <c r="T810" s="38" t="str">
        <f t="shared" si="4"/>
        <v>Match</v>
      </c>
    </row>
    <row r="811" ht="12.75" customHeight="1">
      <c r="A811" s="38">
        <f>dataset_A!A811</f>
        <v>787</v>
      </c>
      <c r="B811" s="39">
        <f>dataset_A!B811</f>
        <v>40579</v>
      </c>
      <c r="C811" s="38">
        <f>dataset_A!F811</f>
        <v>5</v>
      </c>
      <c r="D811" s="38">
        <f>dataset_A!H811</f>
        <v>6</v>
      </c>
      <c r="E811" s="38" t="b">
        <f>dataset_A!G811</f>
        <v>0</v>
      </c>
      <c r="F811" s="38" t="b">
        <f>dataset_A!G811</f>
        <v>0</v>
      </c>
      <c r="G811" s="38" t="str">
        <f t="shared" si="1"/>
        <v>Weekend</v>
      </c>
      <c r="H811" s="38" t="str">
        <f t="shared" si="2"/>
        <v>Night</v>
      </c>
      <c r="I811" s="38" t="str">
        <f>IF(dataset_A!C811=1,"Spring",IF(dataset_A!C811=2,"Summer",IF(dataset_A!C811=3,"Fail","Winter")))</f>
        <v>Spring</v>
      </c>
      <c r="J811" s="38" t="str">
        <f>IF(dataset_A!I811=1,"Clear",IF(dataset_A!I811,"Mist/Cloudy",IF(dataset_A!I811=3,"Light Rain/Snow","Heavy Rain/Snow")))</f>
        <v>Mist/Cloudy</v>
      </c>
      <c r="K811" s="38">
        <f>dataset_A!N811</f>
        <v>0</v>
      </c>
      <c r="L811" s="38">
        <f>dataset_A!O811</f>
        <v>9</v>
      </c>
      <c r="M811" s="38">
        <f>dataset_A!P811</f>
        <v>9</v>
      </c>
      <c r="N811" s="38" t="str">
        <f t="shared" si="3"/>
        <v>Ok</v>
      </c>
      <c r="O811" s="38" t="str">
        <f>IF(M811&gt;Analysis!$B$3*1.5,"High",IF(M811&lt;Analysis!$B$3*0.5,"Low","Medium"))</f>
        <v>Low</v>
      </c>
      <c r="P811" s="38" t="str">
        <f>VLOOKUP(dataset_A!C811,$Q$2:$R$5,2,0)</f>
        <v>Spring</v>
      </c>
      <c r="S811" s="38" t="str">
        <f t="array" ref="S811">INDEX($R$2:$R$5,MATCH(dataset_A!C811,$Q$2:$Q$5,0))</f>
        <v>Spring</v>
      </c>
      <c r="T811" s="38" t="str">
        <f t="shared" si="4"/>
        <v>Match</v>
      </c>
    </row>
    <row r="812" ht="12.75" customHeight="1">
      <c r="A812" s="38">
        <f>dataset_A!A812</f>
        <v>9</v>
      </c>
      <c r="B812" s="39">
        <f>dataset_A!B812</f>
        <v>40544</v>
      </c>
      <c r="C812" s="38">
        <f>dataset_A!F812</f>
        <v>8</v>
      </c>
      <c r="D812" s="38">
        <f>dataset_A!H812</f>
        <v>6</v>
      </c>
      <c r="E812" s="38" t="b">
        <f>dataset_A!G812</f>
        <v>0</v>
      </c>
      <c r="F812" s="38" t="b">
        <f>dataset_A!G812</f>
        <v>0</v>
      </c>
      <c r="G812" s="38" t="str">
        <f t="shared" si="1"/>
        <v>Weekend</v>
      </c>
      <c r="H812" s="38" t="str">
        <f t="shared" si="2"/>
        <v>Morning</v>
      </c>
      <c r="I812" s="38" t="str">
        <f>IF(dataset_A!C812=1,"Spring",IF(dataset_A!C812=2,"Summer",IF(dataset_A!C812=3,"Fail","Winter")))</f>
        <v>Spring</v>
      </c>
      <c r="J812" s="38" t="str">
        <f>IF(dataset_A!I812=1,"Clear",IF(dataset_A!I812,"Mist/Cloudy",IF(dataset_A!I812=3,"Light Rain/Snow","Heavy Rain/Snow")))</f>
        <v>Clear</v>
      </c>
      <c r="K812" s="38">
        <f>dataset_A!N812</f>
        <v>1</v>
      </c>
      <c r="L812" s="38">
        <f>dataset_A!O812</f>
        <v>7</v>
      </c>
      <c r="M812" s="38">
        <f>dataset_A!P812</f>
        <v>8</v>
      </c>
      <c r="N812" s="38" t="str">
        <f t="shared" si="3"/>
        <v>Ok</v>
      </c>
      <c r="O812" s="38" t="str">
        <f>IF(M812&gt;Analysis!$B$3*1.5,"High",IF(M812&lt;Analysis!$B$3*0.5,"Low","Medium"))</f>
        <v>Low</v>
      </c>
      <c r="P812" s="38" t="str">
        <f>VLOOKUP(dataset_A!C812,$Q$2:$R$5,2,0)</f>
        <v>Spring</v>
      </c>
      <c r="S812" s="38" t="str">
        <f t="array" ref="S812">INDEX($R$2:$R$5,MATCH(dataset_A!C812,$Q$2:$Q$5,0))</f>
        <v>Spring</v>
      </c>
      <c r="T812" s="38" t="str">
        <f t="shared" si="4"/>
        <v>Match</v>
      </c>
    </row>
    <row r="813" ht="12.75" customHeight="1">
      <c r="A813" s="38">
        <f>dataset_A!A813</f>
        <v>32</v>
      </c>
      <c r="B813" s="39">
        <f>dataset_A!B813</f>
        <v>40545</v>
      </c>
      <c r="C813" s="38">
        <f>dataset_A!F813</f>
        <v>8</v>
      </c>
      <c r="D813" s="38">
        <f>dataset_A!H813</f>
        <v>0</v>
      </c>
      <c r="E813" s="38" t="b">
        <f>dataset_A!G813</f>
        <v>0</v>
      </c>
      <c r="F813" s="38" t="b">
        <f>dataset_A!G813</f>
        <v>0</v>
      </c>
      <c r="G813" s="38" t="str">
        <f t="shared" si="1"/>
        <v>Weekend</v>
      </c>
      <c r="H813" s="38" t="str">
        <f t="shared" si="2"/>
        <v>Morning</v>
      </c>
      <c r="I813" s="38" t="str">
        <f>IF(dataset_A!C813=1,"Spring",IF(dataset_A!C813=2,"Summer",IF(dataset_A!C813=3,"Fail","Winter")))</f>
        <v>Spring</v>
      </c>
      <c r="J813" s="38" t="str">
        <f>IF(dataset_A!I813=1,"Clear",IF(dataset_A!I813,"Mist/Cloudy",IF(dataset_A!I813=3,"Light Rain/Snow","Heavy Rain/Snow")))</f>
        <v>Mist/Cloudy</v>
      </c>
      <c r="K813" s="38">
        <f>dataset_A!N813</f>
        <v>0</v>
      </c>
      <c r="L813" s="38">
        <f>dataset_A!O813</f>
        <v>8</v>
      </c>
      <c r="M813" s="38">
        <f>dataset_A!P813</f>
        <v>8</v>
      </c>
      <c r="N813" s="38" t="str">
        <f t="shared" si="3"/>
        <v>Ok</v>
      </c>
      <c r="O813" s="38" t="str">
        <f>IF(M813&gt;Analysis!$B$3*1.5,"High",IF(M813&lt;Analysis!$B$3*0.5,"Low","Medium"))</f>
        <v>Low</v>
      </c>
      <c r="P813" s="38" t="str">
        <f>VLOOKUP(dataset_A!C813,$Q$2:$R$5,2,0)</f>
        <v>Spring</v>
      </c>
      <c r="S813" s="38" t="str">
        <f t="array" ref="S813">INDEX($R$2:$R$5,MATCH(dataset_A!C813,$Q$2:$Q$5,0))</f>
        <v>Spring</v>
      </c>
      <c r="T813" s="38" t="str">
        <f t="shared" si="4"/>
        <v>Match</v>
      </c>
    </row>
    <row r="814" ht="12.75" customHeight="1">
      <c r="A814" s="38">
        <f>dataset_A!A814</f>
        <v>47</v>
      </c>
      <c r="B814" s="39">
        <f>dataset_A!B814</f>
        <v>40545</v>
      </c>
      <c r="C814" s="38">
        <f>dataset_A!F814</f>
        <v>23</v>
      </c>
      <c r="D814" s="38">
        <f>dataset_A!H814</f>
        <v>0</v>
      </c>
      <c r="E814" s="38" t="b">
        <f>dataset_A!G814</f>
        <v>0</v>
      </c>
      <c r="F814" s="38" t="b">
        <f>dataset_A!G814</f>
        <v>0</v>
      </c>
      <c r="G814" s="38" t="str">
        <f t="shared" si="1"/>
        <v>Weekend</v>
      </c>
      <c r="H814" s="38" t="str">
        <f t="shared" si="2"/>
        <v>Evening</v>
      </c>
      <c r="I814" s="38" t="str">
        <f>IF(dataset_A!C814=1,"Spring",IF(dataset_A!C814=2,"Summer",IF(dataset_A!C814=3,"Fail","Winter")))</f>
        <v>Spring</v>
      </c>
      <c r="J814" s="38" t="str">
        <f>IF(dataset_A!I814=1,"Clear",IF(dataset_A!I814,"Mist/Cloudy",IF(dataset_A!I814=3,"Light Rain/Snow","Heavy Rain/Snow")))</f>
        <v>Clear</v>
      </c>
      <c r="K814" s="38">
        <f>dataset_A!N814</f>
        <v>0</v>
      </c>
      <c r="L814" s="38">
        <f>dataset_A!O814</f>
        <v>8</v>
      </c>
      <c r="M814" s="38">
        <f>dataset_A!P814</f>
        <v>8</v>
      </c>
      <c r="N814" s="38" t="str">
        <f t="shared" si="3"/>
        <v>Ok</v>
      </c>
      <c r="O814" s="38" t="str">
        <f>IF(M814&gt;Analysis!$B$3*1.5,"High",IF(M814&lt;Analysis!$B$3*0.5,"Low","Medium"))</f>
        <v>Low</v>
      </c>
      <c r="P814" s="38" t="str">
        <f>VLOOKUP(dataset_A!C814,$Q$2:$R$5,2,0)</f>
        <v>Spring</v>
      </c>
      <c r="S814" s="38" t="str">
        <f t="array" ref="S814">INDEX($R$2:$R$5,MATCH(dataset_A!C814,$Q$2:$Q$5,0))</f>
        <v>Spring</v>
      </c>
      <c r="T814" s="38" t="str">
        <f t="shared" si="4"/>
        <v>Match</v>
      </c>
    </row>
    <row r="815" ht="12.75" customHeight="1">
      <c r="A815" s="38">
        <f>dataset_A!A815</f>
        <v>306</v>
      </c>
      <c r="B815" s="39">
        <f>dataset_A!B815</f>
        <v>40557</v>
      </c>
      <c r="C815" s="38">
        <f>dataset_A!F815</f>
        <v>5</v>
      </c>
      <c r="D815" s="38">
        <f>dataset_A!H815</f>
        <v>5</v>
      </c>
      <c r="E815" s="38" t="b">
        <f>dataset_A!G815</f>
        <v>0</v>
      </c>
      <c r="F815" s="38" t="b">
        <f>dataset_A!G815</f>
        <v>0</v>
      </c>
      <c r="G815" s="38" t="str">
        <f t="shared" si="1"/>
        <v>Weekday</v>
      </c>
      <c r="H815" s="38" t="str">
        <f t="shared" si="2"/>
        <v>Night</v>
      </c>
      <c r="I815" s="38" t="str">
        <f>IF(dataset_A!C815=1,"Spring",IF(dataset_A!C815=2,"Summer",IF(dataset_A!C815=3,"Fail","Winter")))</f>
        <v>Spring</v>
      </c>
      <c r="J815" s="38" t="str">
        <f>IF(dataset_A!I815=1,"Clear",IF(dataset_A!I815,"Mist/Cloudy",IF(dataset_A!I815=3,"Light Rain/Snow","Heavy Rain/Snow")))</f>
        <v>Clear</v>
      </c>
      <c r="K815" s="38">
        <f>dataset_A!N815</f>
        <v>0</v>
      </c>
      <c r="L815" s="38">
        <f>dataset_A!O815</f>
        <v>8</v>
      </c>
      <c r="M815" s="38">
        <f>dataset_A!P815</f>
        <v>8</v>
      </c>
      <c r="N815" s="38" t="str">
        <f t="shared" si="3"/>
        <v>Ok</v>
      </c>
      <c r="O815" s="38" t="str">
        <f>IF(M815&gt;Analysis!$B$3*1.5,"High",IF(M815&lt;Analysis!$B$3*0.5,"Low","Medium"))</f>
        <v>Low</v>
      </c>
      <c r="P815" s="38" t="str">
        <f>VLOOKUP(dataset_A!C815,$Q$2:$R$5,2,0)</f>
        <v>Spring</v>
      </c>
      <c r="S815" s="38" t="str">
        <f t="array" ref="S815">INDEX($R$2:$R$5,MATCH(dataset_A!C815,$Q$2:$Q$5,0))</f>
        <v>Spring</v>
      </c>
      <c r="T815" s="38" t="str">
        <f t="shared" si="4"/>
        <v>Match</v>
      </c>
    </row>
    <row r="816" ht="12.75" customHeight="1">
      <c r="A816" s="38">
        <f>dataset_A!A816</f>
        <v>328</v>
      </c>
      <c r="B816" s="39">
        <f>dataset_A!B816</f>
        <v>40558</v>
      </c>
      <c r="C816" s="38">
        <f>dataset_A!F816</f>
        <v>3</v>
      </c>
      <c r="D816" s="38">
        <f>dataset_A!H816</f>
        <v>6</v>
      </c>
      <c r="E816" s="38" t="b">
        <f>dataset_A!G816</f>
        <v>0</v>
      </c>
      <c r="F816" s="38" t="b">
        <f>dataset_A!G816</f>
        <v>0</v>
      </c>
      <c r="G816" s="38" t="str">
        <f t="shared" si="1"/>
        <v>Weekend</v>
      </c>
      <c r="H816" s="38" t="str">
        <f t="shared" si="2"/>
        <v>Night</v>
      </c>
      <c r="I816" s="38" t="str">
        <f>IF(dataset_A!C816=1,"Spring",IF(dataset_A!C816=2,"Summer",IF(dataset_A!C816=3,"Fail","Winter")))</f>
        <v>Spring</v>
      </c>
      <c r="J816" s="38" t="str">
        <f>IF(dataset_A!I816=1,"Clear",IF(dataset_A!I816,"Mist/Cloudy",IF(dataset_A!I816=3,"Light Rain/Snow","Heavy Rain/Snow")))</f>
        <v>Mist/Cloudy</v>
      </c>
      <c r="K816" s="38">
        <f>dataset_A!N816</f>
        <v>1</v>
      </c>
      <c r="L816" s="38">
        <f>dataset_A!O816</f>
        <v>7</v>
      </c>
      <c r="M816" s="38">
        <f>dataset_A!P816</f>
        <v>8</v>
      </c>
      <c r="N816" s="38" t="str">
        <f t="shared" si="3"/>
        <v>Ok</v>
      </c>
      <c r="O816" s="38" t="str">
        <f>IF(M816&gt;Analysis!$B$3*1.5,"High",IF(M816&lt;Analysis!$B$3*0.5,"Low","Medium"))</f>
        <v>Low</v>
      </c>
      <c r="P816" s="38" t="str">
        <f>VLOOKUP(dataset_A!C816,$Q$2:$R$5,2,0)</f>
        <v>Spring</v>
      </c>
      <c r="S816" s="38" t="str">
        <f t="array" ref="S816">INDEX($R$2:$R$5,MATCH(dataset_A!C816,$Q$2:$Q$5,0))</f>
        <v>Spring</v>
      </c>
      <c r="T816" s="38" t="str">
        <f t="shared" si="4"/>
        <v>Match</v>
      </c>
    </row>
    <row r="817" ht="12.75" customHeight="1">
      <c r="A817" s="38">
        <f>dataset_A!A817</f>
        <v>375</v>
      </c>
      <c r="B817" s="39">
        <f>dataset_A!B817</f>
        <v>40560</v>
      </c>
      <c r="C817" s="38">
        <f>dataset_A!F817</f>
        <v>2</v>
      </c>
      <c r="D817" s="38">
        <f>dataset_A!H817</f>
        <v>1</v>
      </c>
      <c r="E817" s="38" t="b">
        <f>dataset_A!G817</f>
        <v>1</v>
      </c>
      <c r="F817" s="38" t="b">
        <f>dataset_A!G817</f>
        <v>1</v>
      </c>
      <c r="G817" s="38" t="str">
        <f t="shared" si="1"/>
        <v>Weekday</v>
      </c>
      <c r="H817" s="38" t="str">
        <f t="shared" si="2"/>
        <v>Night</v>
      </c>
      <c r="I817" s="38" t="str">
        <f>IF(dataset_A!C817=1,"Spring",IF(dataset_A!C817=2,"Summer",IF(dataset_A!C817=3,"Fail","Winter")))</f>
        <v>Spring</v>
      </c>
      <c r="J817" s="38" t="str">
        <f>IF(dataset_A!I817=1,"Clear",IF(dataset_A!I817,"Mist/Cloudy",IF(dataset_A!I817=3,"Light Rain/Snow","Heavy Rain/Snow")))</f>
        <v>Mist/Cloudy</v>
      </c>
      <c r="K817" s="38">
        <f>dataset_A!N817</f>
        <v>0</v>
      </c>
      <c r="L817" s="38">
        <f>dataset_A!O817</f>
        <v>8</v>
      </c>
      <c r="M817" s="38">
        <f>dataset_A!P817</f>
        <v>8</v>
      </c>
      <c r="N817" s="38" t="str">
        <f t="shared" si="3"/>
        <v>Ok</v>
      </c>
      <c r="O817" s="38" t="str">
        <f>IF(M817&gt;Analysis!$B$3*1.5,"High",IF(M817&lt;Analysis!$B$3*0.5,"Low","Medium"))</f>
        <v>Low</v>
      </c>
      <c r="P817" s="38" t="str">
        <f>VLOOKUP(dataset_A!C817,$Q$2:$R$5,2,0)</f>
        <v>Spring</v>
      </c>
      <c r="S817" s="38" t="str">
        <f t="array" ref="S817">INDEX($R$2:$R$5,MATCH(dataset_A!C817,$Q$2:$Q$5,0))</f>
        <v>Spring</v>
      </c>
      <c r="T817" s="38" t="str">
        <f t="shared" si="4"/>
        <v>Match</v>
      </c>
    </row>
    <row r="818" ht="12.75" customHeight="1">
      <c r="A818" s="38">
        <f>dataset_A!A818</f>
        <v>486</v>
      </c>
      <c r="B818" s="39">
        <f>dataset_A!B818</f>
        <v>40565</v>
      </c>
      <c r="C818" s="38">
        <f>dataset_A!F818</f>
        <v>7</v>
      </c>
      <c r="D818" s="38">
        <f>dataset_A!H818</f>
        <v>6</v>
      </c>
      <c r="E818" s="38" t="b">
        <f>dataset_A!G818</f>
        <v>0</v>
      </c>
      <c r="F818" s="38" t="b">
        <f>dataset_A!G818</f>
        <v>0</v>
      </c>
      <c r="G818" s="38" t="str">
        <f t="shared" si="1"/>
        <v>Weekend</v>
      </c>
      <c r="H818" s="38" t="str">
        <f t="shared" si="2"/>
        <v>Morning</v>
      </c>
      <c r="I818" s="38" t="str">
        <f>IF(dataset_A!C818=1,"Spring",IF(dataset_A!C818=2,"Summer",IF(dataset_A!C818=3,"Fail","Winter")))</f>
        <v>Spring</v>
      </c>
      <c r="J818" s="38" t="str">
        <f>IF(dataset_A!I818=1,"Clear",IF(dataset_A!I818,"Mist/Cloudy",IF(dataset_A!I818=3,"Light Rain/Snow","Heavy Rain/Snow")))</f>
        <v>Clear</v>
      </c>
      <c r="K818" s="38">
        <f>dataset_A!N818</f>
        <v>0</v>
      </c>
      <c r="L818" s="38">
        <f>dataset_A!O818</f>
        <v>8</v>
      </c>
      <c r="M818" s="38">
        <f>dataset_A!P818</f>
        <v>8</v>
      </c>
      <c r="N818" s="38" t="str">
        <f t="shared" si="3"/>
        <v>Ok</v>
      </c>
      <c r="O818" s="38" t="str">
        <f>IF(M818&gt;Analysis!$B$3*1.5,"High",IF(M818&lt;Analysis!$B$3*0.5,"Low","Medium"))</f>
        <v>Low</v>
      </c>
      <c r="P818" s="38" t="str">
        <f>VLOOKUP(dataset_A!C818,$Q$2:$R$5,2,0)</f>
        <v>Spring</v>
      </c>
      <c r="S818" s="38" t="str">
        <f t="array" ref="S818">INDEX($R$2:$R$5,MATCH(dataset_A!C818,$Q$2:$Q$5,0))</f>
        <v>Spring</v>
      </c>
      <c r="T818" s="38" t="str">
        <f t="shared" si="4"/>
        <v>Match</v>
      </c>
    </row>
    <row r="819" ht="12.75" customHeight="1">
      <c r="A819" s="38">
        <f>dataset_A!A819</f>
        <v>576</v>
      </c>
      <c r="B819" s="39">
        <f>dataset_A!B819</f>
        <v>40569</v>
      </c>
      <c r="C819" s="38">
        <f>dataset_A!F819</f>
        <v>6</v>
      </c>
      <c r="D819" s="38">
        <f>dataset_A!H819</f>
        <v>3</v>
      </c>
      <c r="E819" s="38" t="b">
        <f>dataset_A!G819</f>
        <v>0</v>
      </c>
      <c r="F819" s="38" t="b">
        <f>dataset_A!G819</f>
        <v>0</v>
      </c>
      <c r="G819" s="38" t="str">
        <f t="shared" si="1"/>
        <v>Weekday</v>
      </c>
      <c r="H819" s="38" t="str">
        <f t="shared" si="2"/>
        <v>Morning</v>
      </c>
      <c r="I819" s="38" t="str">
        <f>IF(dataset_A!C819=1,"Spring",IF(dataset_A!C819=2,"Summer",IF(dataset_A!C819=3,"Fail","Winter")))</f>
        <v>Spring</v>
      </c>
      <c r="J819" s="38" t="str">
        <f>IF(dataset_A!I819=1,"Clear",IF(dataset_A!I819,"Mist/Cloudy",IF(dataset_A!I819=3,"Light Rain/Snow","Heavy Rain/Snow")))</f>
        <v>Mist/Cloudy</v>
      </c>
      <c r="K819" s="38">
        <f>dataset_A!N819</f>
        <v>0</v>
      </c>
      <c r="L819" s="38">
        <f>dataset_A!O819</f>
        <v>8</v>
      </c>
      <c r="M819" s="38">
        <f>dataset_A!P819</f>
        <v>8</v>
      </c>
      <c r="N819" s="38" t="str">
        <f t="shared" si="3"/>
        <v>Ok</v>
      </c>
      <c r="O819" s="38" t="str">
        <f>IF(M819&gt;Analysis!$B$3*1.5,"High",IF(M819&lt;Analysis!$B$3*0.5,"Low","Medium"))</f>
        <v>Low</v>
      </c>
      <c r="P819" s="38" t="str">
        <f>VLOOKUP(dataset_A!C819,$Q$2:$R$5,2,0)</f>
        <v>Spring</v>
      </c>
      <c r="S819" s="38" t="str">
        <f t="array" ref="S819">INDEX($R$2:$R$5,MATCH(dataset_A!C819,$Q$2:$Q$5,0))</f>
        <v>Spring</v>
      </c>
      <c r="T819" s="38" t="str">
        <f t="shared" si="4"/>
        <v>Match</v>
      </c>
    </row>
    <row r="820" ht="12.75" customHeight="1">
      <c r="A820" s="38">
        <f>dataset_A!A820</f>
        <v>622</v>
      </c>
      <c r="B820" s="39">
        <f>dataset_A!B820</f>
        <v>40572</v>
      </c>
      <c r="C820" s="38">
        <f>dataset_A!F820</f>
        <v>3</v>
      </c>
      <c r="D820" s="38">
        <f>dataset_A!H820</f>
        <v>6</v>
      </c>
      <c r="E820" s="38" t="b">
        <f>dataset_A!G820</f>
        <v>0</v>
      </c>
      <c r="F820" s="38" t="b">
        <f>dataset_A!G820</f>
        <v>0</v>
      </c>
      <c r="G820" s="38" t="str">
        <f t="shared" si="1"/>
        <v>Weekend</v>
      </c>
      <c r="H820" s="38" t="str">
        <f t="shared" si="2"/>
        <v>Night</v>
      </c>
      <c r="I820" s="38" t="str">
        <f>IF(dataset_A!C820=1,"Spring",IF(dataset_A!C820=2,"Summer",IF(dataset_A!C820=3,"Fail","Winter")))</f>
        <v>Spring</v>
      </c>
      <c r="J820" s="38" t="str">
        <f>IF(dataset_A!I820=1,"Clear",IF(dataset_A!I820,"Mist/Cloudy",IF(dataset_A!I820=3,"Light Rain/Snow","Heavy Rain/Snow")))</f>
        <v>Clear</v>
      </c>
      <c r="K820" s="38">
        <f>dataset_A!N820</f>
        <v>3</v>
      </c>
      <c r="L820" s="38">
        <f>dataset_A!O820</f>
        <v>5</v>
      </c>
      <c r="M820" s="38">
        <f>dataset_A!P820</f>
        <v>8</v>
      </c>
      <c r="N820" s="38" t="str">
        <f t="shared" si="3"/>
        <v>Ok</v>
      </c>
      <c r="O820" s="38" t="str">
        <f>IF(M820&gt;Analysis!$B$3*1.5,"High",IF(M820&lt;Analysis!$B$3*0.5,"Low","Medium"))</f>
        <v>Low</v>
      </c>
      <c r="P820" s="38" t="str">
        <f>VLOOKUP(dataset_A!C820,$Q$2:$R$5,2,0)</f>
        <v>Spring</v>
      </c>
      <c r="S820" s="38" t="str">
        <f t="array" ref="S820">INDEX($R$2:$R$5,MATCH(dataset_A!C820,$Q$2:$Q$5,0))</f>
        <v>Spring</v>
      </c>
      <c r="T820" s="38" t="str">
        <f t="shared" si="4"/>
        <v>Match</v>
      </c>
    </row>
    <row r="821" ht="12.75" customHeight="1">
      <c r="A821" s="38">
        <f>dataset_A!A821</f>
        <v>645</v>
      </c>
      <c r="B821" s="39">
        <f>dataset_A!B821</f>
        <v>40573</v>
      </c>
      <c r="C821" s="38">
        <f>dataset_A!F821</f>
        <v>3</v>
      </c>
      <c r="D821" s="38">
        <f>dataset_A!H821</f>
        <v>0</v>
      </c>
      <c r="E821" s="38" t="b">
        <f>dataset_A!G821</f>
        <v>0</v>
      </c>
      <c r="F821" s="38" t="b">
        <f>dataset_A!G821</f>
        <v>0</v>
      </c>
      <c r="G821" s="38" t="str">
        <f t="shared" si="1"/>
        <v>Weekend</v>
      </c>
      <c r="H821" s="38" t="str">
        <f t="shared" si="2"/>
        <v>Night</v>
      </c>
      <c r="I821" s="38" t="str">
        <f>IF(dataset_A!C821=1,"Spring",IF(dataset_A!C821=2,"Summer",IF(dataset_A!C821=3,"Fail","Winter")))</f>
        <v>Spring</v>
      </c>
      <c r="J821" s="38" t="str">
        <f>IF(dataset_A!I821=1,"Clear",IF(dataset_A!I821,"Mist/Cloudy",IF(dataset_A!I821=3,"Light Rain/Snow","Heavy Rain/Snow")))</f>
        <v>Clear</v>
      </c>
      <c r="K821" s="38">
        <f>dataset_A!N821</f>
        <v>1</v>
      </c>
      <c r="L821" s="38">
        <f>dataset_A!O821</f>
        <v>7</v>
      </c>
      <c r="M821" s="38">
        <f>dataset_A!P821</f>
        <v>8</v>
      </c>
      <c r="N821" s="38" t="str">
        <f t="shared" si="3"/>
        <v>Ok</v>
      </c>
      <c r="O821" s="38" t="str">
        <f>IF(M821&gt;Analysis!$B$3*1.5,"High",IF(M821&lt;Analysis!$B$3*0.5,"Low","Medium"))</f>
        <v>Low</v>
      </c>
      <c r="P821" s="38" t="str">
        <f>VLOOKUP(dataset_A!C821,$Q$2:$R$5,2,0)</f>
        <v>Spring</v>
      </c>
      <c r="S821" s="38" t="str">
        <f t="array" ref="S821">INDEX($R$2:$R$5,MATCH(dataset_A!C821,$Q$2:$Q$5,0))</f>
        <v>Spring</v>
      </c>
      <c r="T821" s="38" t="str">
        <f t="shared" si="4"/>
        <v>Match</v>
      </c>
    </row>
    <row r="822" ht="12.75" customHeight="1">
      <c r="A822" s="38">
        <f>dataset_A!A822</f>
        <v>670</v>
      </c>
      <c r="B822" s="39">
        <f>dataset_A!B822</f>
        <v>40574</v>
      </c>
      <c r="C822" s="38">
        <f>dataset_A!F822</f>
        <v>5</v>
      </c>
      <c r="D822" s="38">
        <f>dataset_A!H822</f>
        <v>1</v>
      </c>
      <c r="E822" s="38" t="b">
        <f>dataset_A!G822</f>
        <v>0</v>
      </c>
      <c r="F822" s="38" t="b">
        <f>dataset_A!G822</f>
        <v>0</v>
      </c>
      <c r="G822" s="38" t="str">
        <f t="shared" si="1"/>
        <v>Weekday</v>
      </c>
      <c r="H822" s="38" t="str">
        <f t="shared" si="2"/>
        <v>Night</v>
      </c>
      <c r="I822" s="38" t="str">
        <f>IF(dataset_A!C822=1,"Spring",IF(dataset_A!C822=2,"Summer",IF(dataset_A!C822=3,"Fail","Winter")))</f>
        <v>Spring</v>
      </c>
      <c r="J822" s="38" t="str">
        <f>IF(dataset_A!I822=1,"Clear",IF(dataset_A!I822,"Mist/Cloudy",IF(dataset_A!I822=3,"Light Rain/Snow","Heavy Rain/Snow")))</f>
        <v>Clear</v>
      </c>
      <c r="K822" s="38">
        <f>dataset_A!N822</f>
        <v>0</v>
      </c>
      <c r="L822" s="38">
        <f>dataset_A!O822</f>
        <v>8</v>
      </c>
      <c r="M822" s="38">
        <f>dataset_A!P822</f>
        <v>8</v>
      </c>
      <c r="N822" s="38" t="str">
        <f t="shared" si="3"/>
        <v>Ok</v>
      </c>
      <c r="O822" s="38" t="str">
        <f>IF(M822&gt;Analysis!$B$3*1.5,"High",IF(M822&lt;Analysis!$B$3*0.5,"Low","Medium"))</f>
        <v>Low</v>
      </c>
      <c r="P822" s="38" t="str">
        <f>VLOOKUP(dataset_A!C822,$Q$2:$R$5,2,0)</f>
        <v>Spring</v>
      </c>
      <c r="S822" s="38" t="str">
        <f t="array" ref="S822">INDEX($R$2:$R$5,MATCH(dataset_A!C822,$Q$2:$Q$5,0))</f>
        <v>Spring</v>
      </c>
      <c r="T822" s="38" t="str">
        <f t="shared" si="4"/>
        <v>Match</v>
      </c>
    </row>
    <row r="823" ht="12.75" customHeight="1">
      <c r="A823" s="38">
        <f>dataset_A!A823</f>
        <v>689</v>
      </c>
      <c r="B823" s="39">
        <f>dataset_A!B823</f>
        <v>40575</v>
      </c>
      <c r="C823" s="38">
        <f>dataset_A!F823</f>
        <v>0</v>
      </c>
      <c r="D823" s="38">
        <f>dataset_A!H823</f>
        <v>2</v>
      </c>
      <c r="E823" s="38" t="b">
        <f>dataset_A!G823</f>
        <v>0</v>
      </c>
      <c r="F823" s="38" t="b">
        <f>dataset_A!G823</f>
        <v>0</v>
      </c>
      <c r="G823" s="38" t="str">
        <f t="shared" si="1"/>
        <v>Weekday</v>
      </c>
      <c r="H823" s="38" t="str">
        <f t="shared" si="2"/>
        <v>Night</v>
      </c>
      <c r="I823" s="38" t="str">
        <f>IF(dataset_A!C823=1,"Spring",IF(dataset_A!C823=2,"Summer",IF(dataset_A!C823=3,"Fail","Winter")))</f>
        <v>Spring</v>
      </c>
      <c r="J823" s="38" t="str">
        <f>IF(dataset_A!I823=1,"Clear",IF(dataset_A!I823,"Mist/Cloudy",IF(dataset_A!I823=3,"Light Rain/Snow","Heavy Rain/Snow")))</f>
        <v>Mist/Cloudy</v>
      </c>
      <c r="K823" s="38">
        <f>dataset_A!N823</f>
        <v>2</v>
      </c>
      <c r="L823" s="38">
        <f>dataset_A!O823</f>
        <v>6</v>
      </c>
      <c r="M823" s="38">
        <f>dataset_A!P823</f>
        <v>8</v>
      </c>
      <c r="N823" s="38" t="str">
        <f t="shared" si="3"/>
        <v>Ok</v>
      </c>
      <c r="O823" s="38" t="str">
        <f>IF(M823&gt;Analysis!$B$3*1.5,"High",IF(M823&lt;Analysis!$B$3*0.5,"Low","Medium"))</f>
        <v>Low</v>
      </c>
      <c r="P823" s="38" t="str">
        <f>VLOOKUP(dataset_A!C823,$Q$2:$R$5,2,0)</f>
        <v>Spring</v>
      </c>
      <c r="S823" s="38" t="str">
        <f t="array" ref="S823">INDEX($R$2:$R$5,MATCH(dataset_A!C823,$Q$2:$Q$5,0))</f>
        <v>Spring</v>
      </c>
      <c r="T823" s="38" t="str">
        <f t="shared" si="4"/>
        <v>Match</v>
      </c>
    </row>
    <row r="824" ht="12.75" customHeight="1">
      <c r="A824" s="38">
        <f>dataset_A!A824</f>
        <v>786</v>
      </c>
      <c r="B824" s="39">
        <f>dataset_A!B824</f>
        <v>40579</v>
      </c>
      <c r="C824" s="38">
        <f>dataset_A!F824</f>
        <v>4</v>
      </c>
      <c r="D824" s="38">
        <f>dataset_A!H824</f>
        <v>6</v>
      </c>
      <c r="E824" s="38" t="b">
        <f>dataset_A!G824</f>
        <v>0</v>
      </c>
      <c r="F824" s="38" t="b">
        <f>dataset_A!G824</f>
        <v>0</v>
      </c>
      <c r="G824" s="38" t="str">
        <f t="shared" si="1"/>
        <v>Weekend</v>
      </c>
      <c r="H824" s="38" t="str">
        <f t="shared" si="2"/>
        <v>Night</v>
      </c>
      <c r="I824" s="38" t="str">
        <f>IF(dataset_A!C824=1,"Spring",IF(dataset_A!C824=2,"Summer",IF(dataset_A!C824=3,"Fail","Winter")))</f>
        <v>Spring</v>
      </c>
      <c r="J824" s="38" t="str">
        <f>IF(dataset_A!I824=1,"Clear",IF(dataset_A!I824,"Mist/Cloudy",IF(dataset_A!I824=3,"Light Rain/Snow","Heavy Rain/Snow")))</f>
        <v>Mist/Cloudy</v>
      </c>
      <c r="K824" s="38">
        <f>dataset_A!N824</f>
        <v>0</v>
      </c>
      <c r="L824" s="38">
        <f>dataset_A!O824</f>
        <v>8</v>
      </c>
      <c r="M824" s="38">
        <f>dataset_A!P824</f>
        <v>8</v>
      </c>
      <c r="N824" s="38" t="str">
        <f t="shared" si="3"/>
        <v>Ok</v>
      </c>
      <c r="O824" s="38" t="str">
        <f>IF(M824&gt;Analysis!$B$3*1.5,"High",IF(M824&lt;Analysis!$B$3*0.5,"Low","Medium"))</f>
        <v>Low</v>
      </c>
      <c r="P824" s="38" t="str">
        <f>VLOOKUP(dataset_A!C824,$Q$2:$R$5,2,0)</f>
        <v>Spring</v>
      </c>
      <c r="S824" s="38" t="str">
        <f t="array" ref="S824">INDEX($R$2:$R$5,MATCH(dataset_A!C824,$Q$2:$Q$5,0))</f>
        <v>Spring</v>
      </c>
      <c r="T824" s="38" t="str">
        <f t="shared" si="4"/>
        <v>Match</v>
      </c>
    </row>
    <row r="825" ht="12.75" customHeight="1">
      <c r="A825" s="38">
        <f>dataset_A!A825</f>
        <v>813</v>
      </c>
      <c r="B825" s="39">
        <f>dataset_A!B825</f>
        <v>40580</v>
      </c>
      <c r="C825" s="38">
        <f>dataset_A!F825</f>
        <v>7</v>
      </c>
      <c r="D825" s="38">
        <f>dataset_A!H825</f>
        <v>0</v>
      </c>
      <c r="E825" s="38" t="b">
        <f>dataset_A!G825</f>
        <v>0</v>
      </c>
      <c r="F825" s="38" t="b">
        <f>dataset_A!G825</f>
        <v>0</v>
      </c>
      <c r="G825" s="38" t="str">
        <f t="shared" si="1"/>
        <v>Weekend</v>
      </c>
      <c r="H825" s="38" t="str">
        <f t="shared" si="2"/>
        <v>Morning</v>
      </c>
      <c r="I825" s="38" t="str">
        <f>IF(dataset_A!C825=1,"Spring",IF(dataset_A!C825=2,"Summer",IF(dataset_A!C825=3,"Fail","Winter")))</f>
        <v>Spring</v>
      </c>
      <c r="J825" s="38" t="str">
        <f>IF(dataset_A!I825=1,"Clear",IF(dataset_A!I825,"Mist/Cloudy",IF(dataset_A!I825=3,"Light Rain/Snow","Heavy Rain/Snow")))</f>
        <v>Clear</v>
      </c>
      <c r="K825" s="38">
        <f>dataset_A!N825</f>
        <v>0</v>
      </c>
      <c r="L825" s="38">
        <f>dataset_A!O825</f>
        <v>8</v>
      </c>
      <c r="M825" s="38">
        <f>dataset_A!P825</f>
        <v>8</v>
      </c>
      <c r="N825" s="38" t="str">
        <f t="shared" si="3"/>
        <v>Ok</v>
      </c>
      <c r="O825" s="38" t="str">
        <f>IF(M825&gt;Analysis!$B$3*1.5,"High",IF(M825&lt;Analysis!$B$3*0.5,"Low","Medium"))</f>
        <v>Low</v>
      </c>
      <c r="P825" s="38" t="str">
        <f>VLOOKUP(dataset_A!C825,$Q$2:$R$5,2,0)</f>
        <v>Spring</v>
      </c>
      <c r="S825" s="38" t="str">
        <f t="array" ref="S825">INDEX($R$2:$R$5,MATCH(dataset_A!C825,$Q$2:$Q$5,0))</f>
        <v>Spring</v>
      </c>
      <c r="T825" s="38" t="str">
        <f t="shared" si="4"/>
        <v>Match</v>
      </c>
    </row>
    <row r="826" ht="12.75" customHeight="1">
      <c r="A826" s="38">
        <f>dataset_A!A826</f>
        <v>140</v>
      </c>
      <c r="B826" s="39">
        <f>dataset_A!B826</f>
        <v>40550</v>
      </c>
      <c r="C826" s="38">
        <f>dataset_A!F826</f>
        <v>1</v>
      </c>
      <c r="D826" s="38">
        <f>dataset_A!H826</f>
        <v>5</v>
      </c>
      <c r="E826" s="38" t="b">
        <f>dataset_A!G826</f>
        <v>0</v>
      </c>
      <c r="F826" s="38" t="b">
        <f>dataset_A!G826</f>
        <v>0</v>
      </c>
      <c r="G826" s="38" t="str">
        <f t="shared" si="1"/>
        <v>Weekday</v>
      </c>
      <c r="H826" s="38" t="str">
        <f t="shared" si="2"/>
        <v>Night</v>
      </c>
      <c r="I826" s="38" t="str">
        <f>IF(dataset_A!C826=1,"Spring",IF(dataset_A!C826=2,"Summer",IF(dataset_A!C826=3,"Fail","Winter")))</f>
        <v>Spring</v>
      </c>
      <c r="J826" s="38" t="str">
        <f>IF(dataset_A!I826=1,"Clear",IF(dataset_A!I826,"Mist/Cloudy",IF(dataset_A!I826=3,"Light Rain/Snow","Heavy Rain/Snow")))</f>
        <v>Mist/Cloudy</v>
      </c>
      <c r="K826" s="38">
        <f>dataset_A!N826</f>
        <v>2</v>
      </c>
      <c r="L826" s="38">
        <f>dataset_A!O826</f>
        <v>5</v>
      </c>
      <c r="M826" s="38">
        <f>dataset_A!P826</f>
        <v>7</v>
      </c>
      <c r="N826" s="38" t="str">
        <f t="shared" si="3"/>
        <v>Ok</v>
      </c>
      <c r="O826" s="38" t="str">
        <f>IF(M826&gt;Analysis!$B$3*1.5,"High",IF(M826&lt;Analysis!$B$3*0.5,"Low","Medium"))</f>
        <v>Low</v>
      </c>
      <c r="P826" s="38" t="str">
        <f>VLOOKUP(dataset_A!C826,$Q$2:$R$5,2,0)</f>
        <v>Spring</v>
      </c>
      <c r="S826" s="38" t="str">
        <f t="array" ref="S826">INDEX($R$2:$R$5,MATCH(dataset_A!C826,$Q$2:$Q$5,0))</f>
        <v>Spring</v>
      </c>
      <c r="T826" s="38" t="str">
        <f t="shared" si="4"/>
        <v>Match</v>
      </c>
    </row>
    <row r="827" ht="12.75" customHeight="1">
      <c r="A827" s="38">
        <f>dataset_A!A827</f>
        <v>165</v>
      </c>
      <c r="B827" s="39">
        <f>dataset_A!B827</f>
        <v>40551</v>
      </c>
      <c r="C827" s="38">
        <f>dataset_A!F827</f>
        <v>3</v>
      </c>
      <c r="D827" s="38">
        <f>dataset_A!H827</f>
        <v>6</v>
      </c>
      <c r="E827" s="38" t="b">
        <f>dataset_A!G827</f>
        <v>0</v>
      </c>
      <c r="F827" s="38" t="b">
        <f>dataset_A!G827</f>
        <v>0</v>
      </c>
      <c r="G827" s="38" t="str">
        <f t="shared" si="1"/>
        <v>Weekend</v>
      </c>
      <c r="H827" s="38" t="str">
        <f t="shared" si="2"/>
        <v>Night</v>
      </c>
      <c r="I827" s="38" t="str">
        <f>IF(dataset_A!C827=1,"Spring",IF(dataset_A!C827=2,"Summer",IF(dataset_A!C827=3,"Fail","Winter")))</f>
        <v>Spring</v>
      </c>
      <c r="J827" s="38" t="str">
        <f>IF(dataset_A!I827=1,"Clear",IF(dataset_A!I827,"Mist/Cloudy",IF(dataset_A!I827=3,"Light Rain/Snow","Heavy Rain/Snow")))</f>
        <v>Mist/Cloudy</v>
      </c>
      <c r="K827" s="38">
        <f>dataset_A!N827</f>
        <v>0</v>
      </c>
      <c r="L827" s="38">
        <f>dataset_A!O827</f>
        <v>7</v>
      </c>
      <c r="M827" s="38">
        <f>dataset_A!P827</f>
        <v>7</v>
      </c>
      <c r="N827" s="38" t="str">
        <f t="shared" si="3"/>
        <v>Ok</v>
      </c>
      <c r="O827" s="38" t="str">
        <f>IF(M827&gt;Analysis!$B$3*1.5,"High",IF(M827&lt;Analysis!$B$3*0.5,"Low","Medium"))</f>
        <v>Low</v>
      </c>
      <c r="P827" s="38" t="str">
        <f>VLOOKUP(dataset_A!C827,$Q$2:$R$5,2,0)</f>
        <v>Spring</v>
      </c>
      <c r="S827" s="38" t="str">
        <f t="array" ref="S827">INDEX($R$2:$R$5,MATCH(dataset_A!C827,$Q$2:$Q$5,0))</f>
        <v>Spring</v>
      </c>
      <c r="T827" s="38" t="str">
        <f t="shared" si="4"/>
        <v>Match</v>
      </c>
    </row>
    <row r="828" ht="12.75" customHeight="1">
      <c r="A828" s="38">
        <f>dataset_A!A828</f>
        <v>256</v>
      </c>
      <c r="B828" s="39">
        <f>dataset_A!B828</f>
        <v>40555</v>
      </c>
      <c r="C828" s="38">
        <f>dataset_A!F828</f>
        <v>0</v>
      </c>
      <c r="D828" s="38">
        <f>dataset_A!H828</f>
        <v>3</v>
      </c>
      <c r="E828" s="38" t="b">
        <f>dataset_A!G828</f>
        <v>0</v>
      </c>
      <c r="F828" s="38" t="b">
        <f>dataset_A!G828</f>
        <v>0</v>
      </c>
      <c r="G828" s="38" t="str">
        <f t="shared" si="1"/>
        <v>Weekday</v>
      </c>
      <c r="H828" s="38" t="str">
        <f t="shared" si="2"/>
        <v>Night</v>
      </c>
      <c r="I828" s="38" t="str">
        <f>IF(dataset_A!C828=1,"Spring",IF(dataset_A!C828=2,"Summer",IF(dataset_A!C828=3,"Fail","Winter")))</f>
        <v>Spring</v>
      </c>
      <c r="J828" s="38" t="str">
        <f>IF(dataset_A!I828=1,"Clear",IF(dataset_A!I828,"Mist/Cloudy",IF(dataset_A!I828=3,"Light Rain/Snow","Heavy Rain/Snow")))</f>
        <v>Mist/Cloudy</v>
      </c>
      <c r="K828" s="38">
        <f>dataset_A!N828</f>
        <v>0</v>
      </c>
      <c r="L828" s="38">
        <f>dataset_A!O828</f>
        <v>7</v>
      </c>
      <c r="M828" s="38">
        <f>dataset_A!P828</f>
        <v>7</v>
      </c>
      <c r="N828" s="38" t="str">
        <f t="shared" si="3"/>
        <v>Ok</v>
      </c>
      <c r="O828" s="38" t="str">
        <f>IF(M828&gt;Analysis!$B$3*1.5,"High",IF(M828&lt;Analysis!$B$3*0.5,"Low","Medium"))</f>
        <v>Low</v>
      </c>
      <c r="P828" s="38" t="str">
        <f>VLOOKUP(dataset_A!C828,$Q$2:$R$5,2,0)</f>
        <v>Spring</v>
      </c>
      <c r="S828" s="38" t="str">
        <f t="array" ref="S828">INDEX($R$2:$R$5,MATCH(dataset_A!C828,$Q$2:$Q$5,0))</f>
        <v>Spring</v>
      </c>
      <c r="T828" s="38" t="str">
        <f t="shared" si="4"/>
        <v>Match</v>
      </c>
    </row>
    <row r="829" ht="12.75" customHeight="1">
      <c r="A829" s="38">
        <f>dataset_A!A829</f>
        <v>278</v>
      </c>
      <c r="B829" s="39">
        <f>dataset_A!B829</f>
        <v>40556</v>
      </c>
      <c r="C829" s="38">
        <f>dataset_A!F829</f>
        <v>0</v>
      </c>
      <c r="D829" s="38">
        <f>dataset_A!H829</f>
        <v>4</v>
      </c>
      <c r="E829" s="38" t="b">
        <f>dataset_A!G829</f>
        <v>0</v>
      </c>
      <c r="F829" s="38" t="b">
        <f>dataset_A!G829</f>
        <v>0</v>
      </c>
      <c r="G829" s="38" t="str">
        <f t="shared" si="1"/>
        <v>Weekday</v>
      </c>
      <c r="H829" s="38" t="str">
        <f t="shared" si="2"/>
        <v>Night</v>
      </c>
      <c r="I829" s="38" t="str">
        <f>IF(dataset_A!C829=1,"Spring",IF(dataset_A!C829=2,"Summer",IF(dataset_A!C829=3,"Fail","Winter")))</f>
        <v>Spring</v>
      </c>
      <c r="J829" s="38" t="str">
        <f>IF(dataset_A!I829=1,"Clear",IF(dataset_A!I829,"Mist/Cloudy",IF(dataset_A!I829=3,"Light Rain/Snow","Heavy Rain/Snow")))</f>
        <v>Clear</v>
      </c>
      <c r="K829" s="38">
        <f>dataset_A!N829</f>
        <v>1</v>
      </c>
      <c r="L829" s="38">
        <f>dataset_A!O829</f>
        <v>6</v>
      </c>
      <c r="M829" s="38">
        <f>dataset_A!P829</f>
        <v>7</v>
      </c>
      <c r="N829" s="38" t="str">
        <f t="shared" si="3"/>
        <v>Ok</v>
      </c>
      <c r="O829" s="38" t="str">
        <f>IF(M829&gt;Analysis!$B$3*1.5,"High",IF(M829&lt;Analysis!$B$3*0.5,"Low","Medium"))</f>
        <v>Low</v>
      </c>
      <c r="P829" s="38" t="str">
        <f>VLOOKUP(dataset_A!C829,$Q$2:$R$5,2,0)</f>
        <v>Spring</v>
      </c>
      <c r="S829" s="38" t="str">
        <f t="array" ref="S829">INDEX($R$2:$R$5,MATCH(dataset_A!C829,$Q$2:$Q$5,0))</f>
        <v>Spring</v>
      </c>
      <c r="T829" s="38" t="str">
        <f t="shared" si="4"/>
        <v>Match</v>
      </c>
    </row>
    <row r="830" ht="12.75" customHeight="1">
      <c r="A830" s="38">
        <f>dataset_A!A830</f>
        <v>410</v>
      </c>
      <c r="B830" s="39">
        <f>dataset_A!B830</f>
        <v>40562</v>
      </c>
      <c r="C830" s="38">
        <f>dataset_A!F830</f>
        <v>1</v>
      </c>
      <c r="D830" s="38">
        <f>dataset_A!H830</f>
        <v>3</v>
      </c>
      <c r="E830" s="38" t="b">
        <f>dataset_A!G830</f>
        <v>0</v>
      </c>
      <c r="F830" s="38" t="b">
        <f>dataset_A!G830</f>
        <v>0</v>
      </c>
      <c r="G830" s="38" t="str">
        <f t="shared" si="1"/>
        <v>Weekday</v>
      </c>
      <c r="H830" s="38" t="str">
        <f t="shared" si="2"/>
        <v>Night</v>
      </c>
      <c r="I830" s="38" t="str">
        <f>IF(dataset_A!C830=1,"Spring",IF(dataset_A!C830=2,"Summer",IF(dataset_A!C830=3,"Fail","Winter")))</f>
        <v>Spring</v>
      </c>
      <c r="J830" s="38" t="str">
        <f>IF(dataset_A!I830=1,"Clear",IF(dataset_A!I830,"Mist/Cloudy",IF(dataset_A!I830=3,"Light Rain/Snow","Heavy Rain/Snow")))</f>
        <v>Mist/Cloudy</v>
      </c>
      <c r="K830" s="38">
        <f>dataset_A!N830</f>
        <v>1</v>
      </c>
      <c r="L830" s="38">
        <f>dataset_A!O830</f>
        <v>6</v>
      </c>
      <c r="M830" s="38">
        <f>dataset_A!P830</f>
        <v>7</v>
      </c>
      <c r="N830" s="38" t="str">
        <f t="shared" si="3"/>
        <v>Ok</v>
      </c>
      <c r="O830" s="38" t="str">
        <f>IF(M830&gt;Analysis!$B$3*1.5,"High",IF(M830&lt;Analysis!$B$3*0.5,"Low","Medium"))</f>
        <v>Low</v>
      </c>
      <c r="P830" s="38" t="str">
        <f>VLOOKUP(dataset_A!C830,$Q$2:$R$5,2,0)</f>
        <v>Spring</v>
      </c>
      <c r="S830" s="38" t="str">
        <f t="array" ref="S830">INDEX($R$2:$R$5,MATCH(dataset_A!C830,$Q$2:$Q$5,0))</f>
        <v>Spring</v>
      </c>
      <c r="T830" s="38" t="str">
        <f t="shared" si="4"/>
        <v>Match</v>
      </c>
    </row>
    <row r="831" ht="12.75" customHeight="1">
      <c r="A831" s="38">
        <f>dataset_A!A831</f>
        <v>413</v>
      </c>
      <c r="B831" s="39">
        <f>dataset_A!B831</f>
        <v>40562</v>
      </c>
      <c r="C831" s="38">
        <f>dataset_A!F831</f>
        <v>5</v>
      </c>
      <c r="D831" s="38">
        <f>dataset_A!H831</f>
        <v>3</v>
      </c>
      <c r="E831" s="38" t="b">
        <f>dataset_A!G831</f>
        <v>0</v>
      </c>
      <c r="F831" s="38" t="b">
        <f>dataset_A!G831</f>
        <v>0</v>
      </c>
      <c r="G831" s="38" t="str">
        <f t="shared" si="1"/>
        <v>Weekday</v>
      </c>
      <c r="H831" s="38" t="str">
        <f t="shared" si="2"/>
        <v>Night</v>
      </c>
      <c r="I831" s="38" t="str">
        <f>IF(dataset_A!C831=1,"Spring",IF(dataset_A!C831=2,"Summer",IF(dataset_A!C831=3,"Fail","Winter")))</f>
        <v>Spring</v>
      </c>
      <c r="J831" s="38" t="str">
        <f>IF(dataset_A!I831=1,"Clear",IF(dataset_A!I831,"Mist/Cloudy",IF(dataset_A!I831=3,"Light Rain/Snow","Heavy Rain/Snow")))</f>
        <v>Mist/Cloudy</v>
      </c>
      <c r="K831" s="38">
        <f>dataset_A!N831</f>
        <v>0</v>
      </c>
      <c r="L831" s="38">
        <f>dataset_A!O831</f>
        <v>7</v>
      </c>
      <c r="M831" s="38">
        <f>dataset_A!P831</f>
        <v>7</v>
      </c>
      <c r="N831" s="38" t="str">
        <f t="shared" si="3"/>
        <v>Ok</v>
      </c>
      <c r="O831" s="38" t="str">
        <f>IF(M831&gt;Analysis!$B$3*1.5,"High",IF(M831&lt;Analysis!$B$3*0.5,"Low","Medium"))</f>
        <v>Low</v>
      </c>
      <c r="P831" s="38" t="str">
        <f>VLOOKUP(dataset_A!C831,$Q$2:$R$5,2,0)</f>
        <v>Spring</v>
      </c>
      <c r="S831" s="38" t="str">
        <f t="array" ref="S831">INDEX($R$2:$R$5,MATCH(dataset_A!C831,$Q$2:$Q$5,0))</f>
        <v>Spring</v>
      </c>
      <c r="T831" s="38" t="str">
        <f t="shared" si="4"/>
        <v>Match</v>
      </c>
    </row>
    <row r="832" ht="12.75" customHeight="1">
      <c r="A832" s="38">
        <f>dataset_A!A832</f>
        <v>483</v>
      </c>
      <c r="B832" s="39">
        <f>dataset_A!B832</f>
        <v>40565</v>
      </c>
      <c r="C832" s="38">
        <f>dataset_A!F832</f>
        <v>3</v>
      </c>
      <c r="D832" s="38">
        <f>dataset_A!H832</f>
        <v>6</v>
      </c>
      <c r="E832" s="38" t="b">
        <f>dataset_A!G832</f>
        <v>0</v>
      </c>
      <c r="F832" s="38" t="b">
        <f>dataset_A!G832</f>
        <v>0</v>
      </c>
      <c r="G832" s="38" t="str">
        <f t="shared" si="1"/>
        <v>Weekend</v>
      </c>
      <c r="H832" s="38" t="str">
        <f t="shared" si="2"/>
        <v>Night</v>
      </c>
      <c r="I832" s="38" t="str">
        <f>IF(dataset_A!C832=1,"Spring",IF(dataset_A!C832=2,"Summer",IF(dataset_A!C832=3,"Fail","Winter")))</f>
        <v>Spring</v>
      </c>
      <c r="J832" s="38" t="str">
        <f>IF(dataset_A!I832=1,"Clear",IF(dataset_A!I832,"Mist/Cloudy",IF(dataset_A!I832=3,"Light Rain/Snow","Heavy Rain/Snow")))</f>
        <v>Mist/Cloudy</v>
      </c>
      <c r="K832" s="38">
        <f>dataset_A!N832</f>
        <v>1</v>
      </c>
      <c r="L832" s="38">
        <f>dataset_A!O832</f>
        <v>6</v>
      </c>
      <c r="M832" s="38">
        <f>dataset_A!P832</f>
        <v>7</v>
      </c>
      <c r="N832" s="38" t="str">
        <f t="shared" si="3"/>
        <v>Ok</v>
      </c>
      <c r="O832" s="38" t="str">
        <f>IF(M832&gt;Analysis!$B$3*1.5,"High",IF(M832&lt;Analysis!$B$3*0.5,"Low","Medium"))</f>
        <v>Low</v>
      </c>
      <c r="P832" s="38" t="str">
        <f>VLOOKUP(dataset_A!C832,$Q$2:$R$5,2,0)</f>
        <v>Spring</v>
      </c>
      <c r="S832" s="38" t="str">
        <f t="array" ref="S832">INDEX($R$2:$R$5,MATCH(dataset_A!C832,$Q$2:$Q$5,0))</f>
        <v>Spring</v>
      </c>
      <c r="T832" s="38" t="str">
        <f t="shared" si="4"/>
        <v>Match</v>
      </c>
    </row>
    <row r="833" ht="12.75" customHeight="1">
      <c r="A833" s="38">
        <f>dataset_A!A833</f>
        <v>526</v>
      </c>
      <c r="B833" s="39">
        <f>dataset_A!B833</f>
        <v>40567</v>
      </c>
      <c r="C833" s="38">
        <f>dataset_A!F833</f>
        <v>0</v>
      </c>
      <c r="D833" s="38">
        <f>dataset_A!H833</f>
        <v>1</v>
      </c>
      <c r="E833" s="38" t="b">
        <f>dataset_A!G833</f>
        <v>0</v>
      </c>
      <c r="F833" s="38" t="b">
        <f>dataset_A!G833</f>
        <v>0</v>
      </c>
      <c r="G833" s="38" t="str">
        <f t="shared" si="1"/>
        <v>Weekday</v>
      </c>
      <c r="H833" s="38" t="str">
        <f t="shared" si="2"/>
        <v>Night</v>
      </c>
      <c r="I833" s="38" t="str">
        <f>IF(dataset_A!C833=1,"Spring",IF(dataset_A!C833=2,"Summer",IF(dataset_A!C833=3,"Fail","Winter")))</f>
        <v>Spring</v>
      </c>
      <c r="J833" s="38" t="str">
        <f>IF(dataset_A!I833=1,"Clear",IF(dataset_A!I833,"Mist/Cloudy",IF(dataset_A!I833=3,"Light Rain/Snow","Heavy Rain/Snow")))</f>
        <v>Clear</v>
      </c>
      <c r="K833" s="38">
        <f>dataset_A!N833</f>
        <v>0</v>
      </c>
      <c r="L833" s="38">
        <f>dataset_A!O833</f>
        <v>7</v>
      </c>
      <c r="M833" s="38">
        <f>dataset_A!P833</f>
        <v>7</v>
      </c>
      <c r="N833" s="38" t="str">
        <f t="shared" si="3"/>
        <v>Ok</v>
      </c>
      <c r="O833" s="38" t="str">
        <f>IF(M833&gt;Analysis!$B$3*1.5,"High",IF(M833&lt;Analysis!$B$3*0.5,"Low","Medium"))</f>
        <v>Low</v>
      </c>
      <c r="P833" s="38" t="str">
        <f>VLOOKUP(dataset_A!C833,$Q$2:$R$5,2,0)</f>
        <v>Spring</v>
      </c>
      <c r="S833" s="38" t="str">
        <f t="array" ref="S833">INDEX($R$2:$R$5,MATCH(dataset_A!C833,$Q$2:$Q$5,0))</f>
        <v>Spring</v>
      </c>
      <c r="T833" s="38" t="str">
        <f t="shared" si="4"/>
        <v>Match</v>
      </c>
    </row>
    <row r="834" ht="12.75" customHeight="1">
      <c r="A834" s="38">
        <f>dataset_A!A834</f>
        <v>665</v>
      </c>
      <c r="B834" s="39">
        <f>dataset_A!B834</f>
        <v>40574</v>
      </c>
      <c r="C834" s="38">
        <f>dataset_A!F834</f>
        <v>0</v>
      </c>
      <c r="D834" s="38">
        <f>dataset_A!H834</f>
        <v>1</v>
      </c>
      <c r="E834" s="38" t="b">
        <f>dataset_A!G834</f>
        <v>0</v>
      </c>
      <c r="F834" s="38" t="b">
        <f>dataset_A!G834</f>
        <v>0</v>
      </c>
      <c r="G834" s="38" t="str">
        <f t="shared" si="1"/>
        <v>Weekday</v>
      </c>
      <c r="H834" s="38" t="str">
        <f t="shared" si="2"/>
        <v>Night</v>
      </c>
      <c r="I834" s="38" t="str">
        <f>IF(dataset_A!C834=1,"Spring",IF(dataset_A!C834=2,"Summer",IF(dataset_A!C834=3,"Fail","Winter")))</f>
        <v>Spring</v>
      </c>
      <c r="J834" s="38" t="str">
        <f>IF(dataset_A!I834=1,"Clear",IF(dataset_A!I834,"Mist/Cloudy",IF(dataset_A!I834=3,"Light Rain/Snow","Heavy Rain/Snow")))</f>
        <v>Mist/Cloudy</v>
      </c>
      <c r="K834" s="38">
        <f>dataset_A!N834</f>
        <v>1</v>
      </c>
      <c r="L834" s="38">
        <f>dataset_A!O834</f>
        <v>6</v>
      </c>
      <c r="M834" s="38">
        <f>dataset_A!P834</f>
        <v>7</v>
      </c>
      <c r="N834" s="38" t="str">
        <f t="shared" si="3"/>
        <v>Ok</v>
      </c>
      <c r="O834" s="38" t="str">
        <f>IF(M834&gt;Analysis!$B$3*1.5,"High",IF(M834&lt;Analysis!$B$3*0.5,"Low","Medium"))</f>
        <v>Low</v>
      </c>
      <c r="P834" s="38" t="str">
        <f>VLOOKUP(dataset_A!C834,$Q$2:$R$5,2,0)</f>
        <v>Spring</v>
      </c>
      <c r="S834" s="38" t="str">
        <f t="array" ref="S834">INDEX($R$2:$R$5,MATCH(dataset_A!C834,$Q$2:$Q$5,0))</f>
        <v>Spring</v>
      </c>
      <c r="T834" s="38" t="str">
        <f t="shared" si="4"/>
        <v>Match</v>
      </c>
    </row>
    <row r="835" ht="12.75" customHeight="1">
      <c r="A835" s="38">
        <f>dataset_A!A835</f>
        <v>666</v>
      </c>
      <c r="B835" s="39">
        <f>dataset_A!B835</f>
        <v>40574</v>
      </c>
      <c r="C835" s="38">
        <f>dataset_A!F835</f>
        <v>1</v>
      </c>
      <c r="D835" s="38">
        <f>dataset_A!H835</f>
        <v>1</v>
      </c>
      <c r="E835" s="38" t="b">
        <f>dataset_A!G835</f>
        <v>0</v>
      </c>
      <c r="F835" s="38" t="b">
        <f>dataset_A!G835</f>
        <v>0</v>
      </c>
      <c r="G835" s="38" t="str">
        <f t="shared" si="1"/>
        <v>Weekday</v>
      </c>
      <c r="H835" s="38" t="str">
        <f t="shared" si="2"/>
        <v>Night</v>
      </c>
      <c r="I835" s="38" t="str">
        <f>IF(dataset_A!C835=1,"Spring",IF(dataset_A!C835=2,"Summer",IF(dataset_A!C835=3,"Fail","Winter")))</f>
        <v>Spring</v>
      </c>
      <c r="J835" s="38" t="str">
        <f>IF(dataset_A!I835=1,"Clear",IF(dataset_A!I835,"Mist/Cloudy",IF(dataset_A!I835=3,"Light Rain/Snow","Heavy Rain/Snow")))</f>
        <v>Clear</v>
      </c>
      <c r="K835" s="38">
        <f>dataset_A!N835</f>
        <v>2</v>
      </c>
      <c r="L835" s="38">
        <f>dataset_A!O835</f>
        <v>5</v>
      </c>
      <c r="M835" s="38">
        <f>dataset_A!P835</f>
        <v>7</v>
      </c>
      <c r="N835" s="38" t="str">
        <f t="shared" si="3"/>
        <v>Ok</v>
      </c>
      <c r="O835" s="38" t="str">
        <f>IF(M835&gt;Analysis!$B$3*1.5,"High",IF(M835&lt;Analysis!$B$3*0.5,"Low","Medium"))</f>
        <v>Low</v>
      </c>
      <c r="P835" s="38" t="str">
        <f>VLOOKUP(dataset_A!C835,$Q$2:$R$5,2,0)</f>
        <v>Spring</v>
      </c>
      <c r="S835" s="38" t="str">
        <f t="array" ref="S835">INDEX($R$2:$R$5,MATCH(dataset_A!C835,$Q$2:$Q$5,0))</f>
        <v>Spring</v>
      </c>
      <c r="T835" s="38" t="str">
        <f t="shared" si="4"/>
        <v>Match</v>
      </c>
    </row>
    <row r="836" ht="12.75" customHeight="1">
      <c r="A836" s="38">
        <f>dataset_A!A836</f>
        <v>760</v>
      </c>
      <c r="B836" s="39">
        <f>dataset_A!B836</f>
        <v>40578</v>
      </c>
      <c r="C836" s="38">
        <f>dataset_A!F836</f>
        <v>1</v>
      </c>
      <c r="D836" s="38">
        <f>dataset_A!H836</f>
        <v>5</v>
      </c>
      <c r="E836" s="38" t="b">
        <f>dataset_A!G836</f>
        <v>0</v>
      </c>
      <c r="F836" s="38" t="b">
        <f>dataset_A!G836</f>
        <v>0</v>
      </c>
      <c r="G836" s="38" t="str">
        <f t="shared" si="1"/>
        <v>Weekday</v>
      </c>
      <c r="H836" s="38" t="str">
        <f t="shared" si="2"/>
        <v>Night</v>
      </c>
      <c r="I836" s="38" t="str">
        <f>IF(dataset_A!C836=1,"Spring",IF(dataset_A!C836=2,"Summer",IF(dataset_A!C836=3,"Fail","Winter")))</f>
        <v>Spring</v>
      </c>
      <c r="J836" s="38" t="str">
        <f>IF(dataset_A!I836=1,"Clear",IF(dataset_A!I836,"Mist/Cloudy",IF(dataset_A!I836=3,"Light Rain/Snow","Heavy Rain/Snow")))</f>
        <v>Mist/Cloudy</v>
      </c>
      <c r="K836" s="38">
        <f>dataset_A!N836</f>
        <v>0</v>
      </c>
      <c r="L836" s="38">
        <f>dataset_A!O836</f>
        <v>7</v>
      </c>
      <c r="M836" s="38">
        <f>dataset_A!P836</f>
        <v>7</v>
      </c>
      <c r="N836" s="38" t="str">
        <f t="shared" si="3"/>
        <v>Ok</v>
      </c>
      <c r="O836" s="38" t="str">
        <f>IF(M836&gt;Analysis!$B$3*1.5,"High",IF(M836&lt;Analysis!$B$3*0.5,"Low","Medium"))</f>
        <v>Low</v>
      </c>
      <c r="P836" s="38" t="str">
        <f>VLOOKUP(dataset_A!C836,$Q$2:$R$5,2,0)</f>
        <v>Spring</v>
      </c>
      <c r="S836" s="38" t="str">
        <f t="array" ref="S836">INDEX($R$2:$R$5,MATCH(dataset_A!C836,$Q$2:$Q$5,0))</f>
        <v>Spring</v>
      </c>
      <c r="T836" s="38" t="str">
        <f t="shared" si="4"/>
        <v>Match</v>
      </c>
    </row>
    <row r="837" ht="12.75" customHeight="1">
      <c r="A837" s="38">
        <f>dataset_A!A837</f>
        <v>763</v>
      </c>
      <c r="B837" s="39">
        <f>dataset_A!B837</f>
        <v>40578</v>
      </c>
      <c r="C837" s="38">
        <f>dataset_A!F837</f>
        <v>5</v>
      </c>
      <c r="D837" s="38">
        <f>dataset_A!H837</f>
        <v>5</v>
      </c>
      <c r="E837" s="38" t="b">
        <f>dataset_A!G837</f>
        <v>0</v>
      </c>
      <c r="F837" s="38" t="b">
        <f>dataset_A!G837</f>
        <v>0</v>
      </c>
      <c r="G837" s="38" t="str">
        <f t="shared" si="1"/>
        <v>Weekday</v>
      </c>
      <c r="H837" s="38" t="str">
        <f t="shared" si="2"/>
        <v>Night</v>
      </c>
      <c r="I837" s="38" t="str">
        <f>IF(dataset_A!C837=1,"Spring",IF(dataset_A!C837=2,"Summer",IF(dataset_A!C837=3,"Fail","Winter")))</f>
        <v>Spring</v>
      </c>
      <c r="J837" s="38" t="str">
        <f>IF(dataset_A!I837=1,"Clear",IF(dataset_A!I837,"Mist/Cloudy",IF(dataset_A!I837=3,"Light Rain/Snow","Heavy Rain/Snow")))</f>
        <v>Mist/Cloudy</v>
      </c>
      <c r="K837" s="38">
        <f>dataset_A!N837</f>
        <v>0</v>
      </c>
      <c r="L837" s="38">
        <f>dataset_A!O837</f>
        <v>7</v>
      </c>
      <c r="M837" s="38">
        <f>dataset_A!P837</f>
        <v>7</v>
      </c>
      <c r="N837" s="38" t="str">
        <f t="shared" si="3"/>
        <v>Ok</v>
      </c>
      <c r="O837" s="38" t="str">
        <f>IF(M837&gt;Analysis!$B$3*1.5,"High",IF(M837&lt;Analysis!$B$3*0.5,"Low","Medium"))</f>
        <v>Low</v>
      </c>
      <c r="P837" s="38" t="str">
        <f>VLOOKUP(dataset_A!C837,$Q$2:$R$5,2,0)</f>
        <v>Spring</v>
      </c>
      <c r="S837" s="38" t="str">
        <f t="array" ref="S837">INDEX($R$2:$R$5,MATCH(dataset_A!C837,$Q$2:$Q$5,0))</f>
        <v>Spring</v>
      </c>
      <c r="T837" s="38" t="str">
        <f t="shared" si="4"/>
        <v>Match</v>
      </c>
    </row>
    <row r="838" ht="12.75" customHeight="1">
      <c r="A838" s="38">
        <f>dataset_A!A838</f>
        <v>879</v>
      </c>
      <c r="B838" s="39">
        <f>dataset_A!B838</f>
        <v>40583</v>
      </c>
      <c r="C838" s="38">
        <f>dataset_A!F838</f>
        <v>1</v>
      </c>
      <c r="D838" s="38">
        <f>dataset_A!H838</f>
        <v>3</v>
      </c>
      <c r="E838" s="38" t="b">
        <f>dataset_A!G838</f>
        <v>0</v>
      </c>
      <c r="F838" s="38" t="b">
        <f>dataset_A!G838</f>
        <v>0</v>
      </c>
      <c r="G838" s="38" t="str">
        <f t="shared" si="1"/>
        <v>Weekday</v>
      </c>
      <c r="H838" s="38" t="str">
        <f t="shared" si="2"/>
        <v>Night</v>
      </c>
      <c r="I838" s="38" t="str">
        <f>IF(dataset_A!C838=1,"Spring",IF(dataset_A!C838=2,"Summer",IF(dataset_A!C838=3,"Fail","Winter")))</f>
        <v>Spring</v>
      </c>
      <c r="J838" s="38" t="str">
        <f>IF(dataset_A!I838=1,"Clear",IF(dataset_A!I838,"Mist/Cloudy",IF(dataset_A!I838=3,"Light Rain/Snow","Heavy Rain/Snow")))</f>
        <v>Clear</v>
      </c>
      <c r="K838" s="38">
        <f>dataset_A!N838</f>
        <v>0</v>
      </c>
      <c r="L838" s="38">
        <f>dataset_A!O838</f>
        <v>7</v>
      </c>
      <c r="M838" s="38">
        <f>dataset_A!P838</f>
        <v>7</v>
      </c>
      <c r="N838" s="38" t="str">
        <f t="shared" si="3"/>
        <v>Ok</v>
      </c>
      <c r="O838" s="38" t="str">
        <f>IF(M838&gt;Analysis!$B$3*1.5,"High",IF(M838&lt;Analysis!$B$3*0.5,"Low","Medium"))</f>
        <v>Low</v>
      </c>
      <c r="P838" s="38" t="str">
        <f>VLOOKUP(dataset_A!C838,$Q$2:$R$5,2,0)</f>
        <v>Spring</v>
      </c>
      <c r="S838" s="38" t="str">
        <f t="array" ref="S838">INDEX($R$2:$R$5,MATCH(dataset_A!C838,$Q$2:$Q$5,0))</f>
        <v>Spring</v>
      </c>
      <c r="T838" s="38" t="str">
        <f t="shared" si="4"/>
        <v>Match</v>
      </c>
    </row>
    <row r="839" ht="12.75" customHeight="1">
      <c r="A839" s="38">
        <f>dataset_A!A839</f>
        <v>882</v>
      </c>
      <c r="B839" s="39">
        <f>dataset_A!B839</f>
        <v>40583</v>
      </c>
      <c r="C839" s="38">
        <f>dataset_A!F839</f>
        <v>5</v>
      </c>
      <c r="D839" s="38">
        <f>dataset_A!H839</f>
        <v>3</v>
      </c>
      <c r="E839" s="38" t="b">
        <f>dataset_A!G839</f>
        <v>0</v>
      </c>
      <c r="F839" s="38" t="b">
        <f>dataset_A!G839</f>
        <v>0</v>
      </c>
      <c r="G839" s="38" t="str">
        <f t="shared" si="1"/>
        <v>Weekday</v>
      </c>
      <c r="H839" s="38" t="str">
        <f t="shared" si="2"/>
        <v>Night</v>
      </c>
      <c r="I839" s="38" t="str">
        <f>IF(dataset_A!C839=1,"Spring",IF(dataset_A!C839=2,"Summer",IF(dataset_A!C839=3,"Fail","Winter")))</f>
        <v>Spring</v>
      </c>
      <c r="J839" s="38" t="str">
        <f>IF(dataset_A!I839=1,"Clear",IF(dataset_A!I839,"Mist/Cloudy",IF(dataset_A!I839=3,"Light Rain/Snow","Heavy Rain/Snow")))</f>
        <v>Clear</v>
      </c>
      <c r="K839" s="38">
        <f>dataset_A!N839</f>
        <v>0</v>
      </c>
      <c r="L839" s="38">
        <f>dataset_A!O839</f>
        <v>7</v>
      </c>
      <c r="M839" s="38">
        <f>dataset_A!P839</f>
        <v>7</v>
      </c>
      <c r="N839" s="38" t="str">
        <f t="shared" si="3"/>
        <v>Ok</v>
      </c>
      <c r="O839" s="38" t="str">
        <f>IF(M839&gt;Analysis!$B$3*1.5,"High",IF(M839&lt;Analysis!$B$3*0.5,"Low","Medium"))</f>
        <v>Low</v>
      </c>
      <c r="P839" s="38" t="str">
        <f>VLOOKUP(dataset_A!C839,$Q$2:$R$5,2,0)</f>
        <v>Spring</v>
      </c>
      <c r="S839" s="38" t="str">
        <f t="array" ref="S839">INDEX($R$2:$R$5,MATCH(dataset_A!C839,$Q$2:$Q$5,0))</f>
        <v>Spring</v>
      </c>
      <c r="T839" s="38" t="str">
        <f t="shared" si="4"/>
        <v>Match</v>
      </c>
    </row>
    <row r="840" ht="12.75" customHeight="1">
      <c r="A840" s="38">
        <f>dataset_A!A840</f>
        <v>902</v>
      </c>
      <c r="B840" s="39">
        <f>dataset_A!B840</f>
        <v>40584</v>
      </c>
      <c r="C840" s="38">
        <f>dataset_A!F840</f>
        <v>1</v>
      </c>
      <c r="D840" s="38">
        <f>dataset_A!H840</f>
        <v>4</v>
      </c>
      <c r="E840" s="38" t="b">
        <f>dataset_A!G840</f>
        <v>0</v>
      </c>
      <c r="F840" s="38" t="b">
        <f>dataset_A!G840</f>
        <v>0</v>
      </c>
      <c r="G840" s="38" t="str">
        <f t="shared" si="1"/>
        <v>Weekday</v>
      </c>
      <c r="H840" s="38" t="str">
        <f t="shared" si="2"/>
        <v>Night</v>
      </c>
      <c r="I840" s="38" t="str">
        <f>IF(dataset_A!C840=1,"Spring",IF(dataset_A!C840=2,"Summer",IF(dataset_A!C840=3,"Fail","Winter")))</f>
        <v>Spring</v>
      </c>
      <c r="J840" s="38" t="str">
        <f>IF(dataset_A!I840=1,"Clear",IF(dataset_A!I840,"Mist/Cloudy",IF(dataset_A!I840=3,"Light Rain/Snow","Heavy Rain/Snow")))</f>
        <v>Mist/Cloudy</v>
      </c>
      <c r="K840" s="38">
        <f>dataset_A!N840</f>
        <v>0</v>
      </c>
      <c r="L840" s="38">
        <f>dataset_A!O840</f>
        <v>7</v>
      </c>
      <c r="M840" s="38">
        <f>dataset_A!P840</f>
        <v>7</v>
      </c>
      <c r="N840" s="38" t="str">
        <f t="shared" si="3"/>
        <v>Ok</v>
      </c>
      <c r="O840" s="38" t="str">
        <f>IF(M840&gt;Analysis!$B$3*1.5,"High",IF(M840&lt;Analysis!$B$3*0.5,"Low","Medium"))</f>
        <v>Low</v>
      </c>
      <c r="P840" s="38" t="str">
        <f>VLOOKUP(dataset_A!C840,$Q$2:$R$5,2,0)</f>
        <v>Spring</v>
      </c>
      <c r="S840" s="38" t="str">
        <f t="array" ref="S840">INDEX($R$2:$R$5,MATCH(dataset_A!C840,$Q$2:$Q$5,0))</f>
        <v>Spring</v>
      </c>
      <c r="T840" s="38" t="str">
        <f t="shared" si="4"/>
        <v>Match</v>
      </c>
    </row>
    <row r="841" ht="12.75" customHeight="1">
      <c r="A841" s="38">
        <f>dataset_A!A841</f>
        <v>925</v>
      </c>
      <c r="B841" s="39">
        <f>dataset_A!B841</f>
        <v>40585</v>
      </c>
      <c r="C841" s="38">
        <f>dataset_A!F841</f>
        <v>1</v>
      </c>
      <c r="D841" s="38">
        <f>dataset_A!H841</f>
        <v>5</v>
      </c>
      <c r="E841" s="38" t="b">
        <f>dataset_A!G841</f>
        <v>0</v>
      </c>
      <c r="F841" s="38" t="b">
        <f>dataset_A!G841</f>
        <v>0</v>
      </c>
      <c r="G841" s="38" t="str">
        <f t="shared" si="1"/>
        <v>Weekday</v>
      </c>
      <c r="H841" s="38" t="str">
        <f t="shared" si="2"/>
        <v>Night</v>
      </c>
      <c r="I841" s="38" t="str">
        <f>IF(dataset_A!C841=1,"Spring",IF(dataset_A!C841=2,"Summer",IF(dataset_A!C841=3,"Fail","Winter")))</f>
        <v>Spring</v>
      </c>
      <c r="J841" s="38" t="str">
        <f>IF(dataset_A!I841=1,"Clear",IF(dataset_A!I841,"Mist/Cloudy",IF(dataset_A!I841=3,"Light Rain/Snow","Heavy Rain/Snow")))</f>
        <v>Clear</v>
      </c>
      <c r="K841" s="38">
        <f>dataset_A!N841</f>
        <v>1</v>
      </c>
      <c r="L841" s="38">
        <f>dataset_A!O841</f>
        <v>6</v>
      </c>
      <c r="M841" s="38">
        <f>dataset_A!P841</f>
        <v>7</v>
      </c>
      <c r="N841" s="38" t="str">
        <f t="shared" si="3"/>
        <v>Ok</v>
      </c>
      <c r="O841" s="38" t="str">
        <f>IF(M841&gt;Analysis!$B$3*1.5,"High",IF(M841&lt;Analysis!$B$3*0.5,"Low","Medium"))</f>
        <v>Low</v>
      </c>
      <c r="P841" s="38" t="str">
        <f>VLOOKUP(dataset_A!C841,$Q$2:$R$5,2,0)</f>
        <v>Spring</v>
      </c>
      <c r="S841" s="38" t="str">
        <f t="array" ref="S841">INDEX($R$2:$R$5,MATCH(dataset_A!C841,$Q$2:$Q$5,0))</f>
        <v>Spring</v>
      </c>
      <c r="T841" s="38" t="str">
        <f t="shared" si="4"/>
        <v>Match</v>
      </c>
    </row>
    <row r="842" ht="12.75" customHeight="1">
      <c r="A842" s="38">
        <f>dataset_A!A842</f>
        <v>994</v>
      </c>
      <c r="B842" s="39">
        <f>dataset_A!B842</f>
        <v>40588</v>
      </c>
      <c r="C842" s="38">
        <f>dataset_A!F842</f>
        <v>1</v>
      </c>
      <c r="D842" s="38">
        <f>dataset_A!H842</f>
        <v>1</v>
      </c>
      <c r="E842" s="38" t="b">
        <f>dataset_A!G842</f>
        <v>0</v>
      </c>
      <c r="F842" s="38" t="b">
        <f>dataset_A!G842</f>
        <v>0</v>
      </c>
      <c r="G842" s="38" t="str">
        <f t="shared" si="1"/>
        <v>Weekday</v>
      </c>
      <c r="H842" s="38" t="str">
        <f t="shared" si="2"/>
        <v>Night</v>
      </c>
      <c r="I842" s="38" t="str">
        <f>IF(dataset_A!C842=1,"Spring",IF(dataset_A!C842=2,"Summer",IF(dataset_A!C842=3,"Fail","Winter")))</f>
        <v>Spring</v>
      </c>
      <c r="J842" s="38" t="str">
        <f>IF(dataset_A!I842=1,"Clear",IF(dataset_A!I842,"Mist/Cloudy",IF(dataset_A!I842=3,"Light Rain/Snow","Heavy Rain/Snow")))</f>
        <v>Clear</v>
      </c>
      <c r="K842" s="38">
        <f>dataset_A!N842</f>
        <v>1</v>
      </c>
      <c r="L842" s="38">
        <f>dataset_A!O842</f>
        <v>6</v>
      </c>
      <c r="M842" s="38">
        <f>dataset_A!P842</f>
        <v>7</v>
      </c>
      <c r="N842" s="38" t="str">
        <f t="shared" si="3"/>
        <v>Ok</v>
      </c>
      <c r="O842" s="38" t="str">
        <f>IF(M842&gt;Analysis!$B$3*1.5,"High",IF(M842&lt;Analysis!$B$3*0.5,"Low","Medium"))</f>
        <v>Low</v>
      </c>
      <c r="P842" s="38" t="str">
        <f>VLOOKUP(dataset_A!C842,$Q$2:$R$5,2,0)</f>
        <v>Spring</v>
      </c>
      <c r="S842" s="38" t="str">
        <f t="array" ref="S842">INDEX($R$2:$R$5,MATCH(dataset_A!C842,$Q$2:$Q$5,0))</f>
        <v>Spring</v>
      </c>
      <c r="T842" s="38" t="str">
        <f t="shared" si="4"/>
        <v>Match</v>
      </c>
    </row>
    <row r="843" ht="12.75" customHeight="1">
      <c r="A843" s="38">
        <f>dataset_A!A843</f>
        <v>28</v>
      </c>
      <c r="B843" s="39">
        <f>dataset_A!B843</f>
        <v>40545</v>
      </c>
      <c r="C843" s="38">
        <f>dataset_A!F843</f>
        <v>3</v>
      </c>
      <c r="D843" s="38">
        <f>dataset_A!H843</f>
        <v>0</v>
      </c>
      <c r="E843" s="38" t="b">
        <f>dataset_A!G843</f>
        <v>0</v>
      </c>
      <c r="F843" s="38" t="b">
        <f>dataset_A!G843</f>
        <v>0</v>
      </c>
      <c r="G843" s="38" t="str">
        <f t="shared" si="1"/>
        <v>Weekend</v>
      </c>
      <c r="H843" s="38" t="str">
        <f t="shared" si="2"/>
        <v>Night</v>
      </c>
      <c r="I843" s="38" t="str">
        <f>IF(dataset_A!C843=1,"Spring",IF(dataset_A!C843=2,"Summer",IF(dataset_A!C843=3,"Fail","Winter")))</f>
        <v>Spring</v>
      </c>
      <c r="J843" s="38" t="str">
        <f>IF(dataset_A!I843=1,"Clear",IF(dataset_A!I843,"Mist/Cloudy",IF(dataset_A!I843=3,"Light Rain/Snow","Heavy Rain/Snow")))</f>
        <v>Mist/Cloudy</v>
      </c>
      <c r="K843" s="38">
        <f>dataset_A!N843</f>
        <v>2</v>
      </c>
      <c r="L843" s="38">
        <f>dataset_A!O843</f>
        <v>4</v>
      </c>
      <c r="M843" s="38">
        <f>dataset_A!P843</f>
        <v>6</v>
      </c>
      <c r="N843" s="38" t="str">
        <f t="shared" si="3"/>
        <v>Ok</v>
      </c>
      <c r="O843" s="38" t="str">
        <f>IF(M843&gt;Analysis!$B$3*1.5,"High",IF(M843&lt;Analysis!$B$3*0.5,"Low","Medium"))</f>
        <v>Low</v>
      </c>
      <c r="P843" s="38" t="str">
        <f>VLOOKUP(dataset_A!C843,$Q$2:$R$5,2,0)</f>
        <v>Spring</v>
      </c>
      <c r="S843" s="38" t="str">
        <f t="array" ref="S843">INDEX($R$2:$R$5,MATCH(dataset_A!C843,$Q$2:$Q$5,0))</f>
        <v>Spring</v>
      </c>
      <c r="T843" s="38" t="str">
        <f t="shared" si="4"/>
        <v>Match</v>
      </c>
    </row>
    <row r="844" ht="12.75" customHeight="1">
      <c r="A844" s="38">
        <f>dataset_A!A844</f>
        <v>93</v>
      </c>
      <c r="B844" s="39">
        <f>dataset_A!B844</f>
        <v>40548</v>
      </c>
      <c r="C844" s="38">
        <f>dataset_A!F844</f>
        <v>0</v>
      </c>
      <c r="D844" s="38">
        <f>dataset_A!H844</f>
        <v>3</v>
      </c>
      <c r="E844" s="38" t="b">
        <f>dataset_A!G844</f>
        <v>0</v>
      </c>
      <c r="F844" s="38" t="b">
        <f>dataset_A!G844</f>
        <v>0</v>
      </c>
      <c r="G844" s="38" t="str">
        <f t="shared" si="1"/>
        <v>Weekday</v>
      </c>
      <c r="H844" s="38" t="str">
        <f t="shared" si="2"/>
        <v>Night</v>
      </c>
      <c r="I844" s="38" t="str">
        <f>IF(dataset_A!C844=1,"Spring",IF(dataset_A!C844=2,"Summer",IF(dataset_A!C844=3,"Fail","Winter")))</f>
        <v>Spring</v>
      </c>
      <c r="J844" s="38" t="str">
        <f>IF(dataset_A!I844=1,"Clear",IF(dataset_A!I844,"Mist/Cloudy",IF(dataset_A!I844=3,"Light Rain/Snow","Heavy Rain/Snow")))</f>
        <v>Clear</v>
      </c>
      <c r="K844" s="38">
        <f>dataset_A!N844</f>
        <v>0</v>
      </c>
      <c r="L844" s="38">
        <f>dataset_A!O844</f>
        <v>6</v>
      </c>
      <c r="M844" s="38">
        <f>dataset_A!P844</f>
        <v>6</v>
      </c>
      <c r="N844" s="38" t="str">
        <f t="shared" si="3"/>
        <v>Ok</v>
      </c>
      <c r="O844" s="38" t="str">
        <f>IF(M844&gt;Analysis!$B$3*1.5,"High",IF(M844&lt;Analysis!$B$3*0.5,"Low","Medium"))</f>
        <v>Low</v>
      </c>
      <c r="P844" s="38" t="str">
        <f>VLOOKUP(dataset_A!C844,$Q$2:$R$5,2,0)</f>
        <v>Spring</v>
      </c>
      <c r="S844" s="38" t="str">
        <f t="array" ref="S844">INDEX($R$2:$R$5,MATCH(dataset_A!C844,$Q$2:$Q$5,0))</f>
        <v>Spring</v>
      </c>
      <c r="T844" s="38" t="str">
        <f t="shared" si="4"/>
        <v>Match</v>
      </c>
    </row>
    <row r="845" ht="12.75" customHeight="1">
      <c r="A845" s="38">
        <f>dataset_A!A845</f>
        <v>94</v>
      </c>
      <c r="B845" s="39">
        <f>dataset_A!B845</f>
        <v>40548</v>
      </c>
      <c r="C845" s="38">
        <f>dataset_A!F845</f>
        <v>1</v>
      </c>
      <c r="D845" s="38">
        <f>dataset_A!H845</f>
        <v>3</v>
      </c>
      <c r="E845" s="38" t="b">
        <f>dataset_A!G845</f>
        <v>0</v>
      </c>
      <c r="F845" s="38" t="b">
        <f>dataset_A!G845</f>
        <v>0</v>
      </c>
      <c r="G845" s="38" t="str">
        <f t="shared" si="1"/>
        <v>Weekday</v>
      </c>
      <c r="H845" s="38" t="str">
        <f t="shared" si="2"/>
        <v>Night</v>
      </c>
      <c r="I845" s="38" t="str">
        <f>IF(dataset_A!C845=1,"Spring",IF(dataset_A!C845=2,"Summer",IF(dataset_A!C845=3,"Fail","Winter")))</f>
        <v>Spring</v>
      </c>
      <c r="J845" s="38" t="str">
        <f>IF(dataset_A!I845=1,"Clear",IF(dataset_A!I845,"Mist/Cloudy",IF(dataset_A!I845=3,"Light Rain/Snow","Heavy Rain/Snow")))</f>
        <v>Clear</v>
      </c>
      <c r="K845" s="38">
        <f>dataset_A!N845</f>
        <v>0</v>
      </c>
      <c r="L845" s="38">
        <f>dataset_A!O845</f>
        <v>6</v>
      </c>
      <c r="M845" s="38">
        <f>dataset_A!P845</f>
        <v>6</v>
      </c>
      <c r="N845" s="38" t="str">
        <f t="shared" si="3"/>
        <v>Ok</v>
      </c>
      <c r="O845" s="38" t="str">
        <f>IF(M845&gt;Analysis!$B$3*1.5,"High",IF(M845&lt;Analysis!$B$3*0.5,"Low","Medium"))</f>
        <v>Low</v>
      </c>
      <c r="P845" s="38" t="str">
        <f>VLOOKUP(dataset_A!C845,$Q$2:$R$5,2,0)</f>
        <v>Spring</v>
      </c>
      <c r="S845" s="38" t="str">
        <f t="array" ref="S845">INDEX($R$2:$R$5,MATCH(dataset_A!C845,$Q$2:$Q$5,0))</f>
        <v>Spring</v>
      </c>
      <c r="T845" s="38" t="str">
        <f t="shared" si="4"/>
        <v>Match</v>
      </c>
    </row>
    <row r="846" ht="12.75" customHeight="1">
      <c r="A846" s="38">
        <f>dataset_A!A846</f>
        <v>193</v>
      </c>
      <c r="B846" s="39">
        <f>dataset_A!B846</f>
        <v>40552</v>
      </c>
      <c r="C846" s="38">
        <f>dataset_A!F846</f>
        <v>7</v>
      </c>
      <c r="D846" s="38">
        <f>dataset_A!H846</f>
        <v>0</v>
      </c>
      <c r="E846" s="38" t="b">
        <f>dataset_A!G846</f>
        <v>0</v>
      </c>
      <c r="F846" s="38" t="b">
        <f>dataset_A!G846</f>
        <v>0</v>
      </c>
      <c r="G846" s="38" t="str">
        <f t="shared" si="1"/>
        <v>Weekend</v>
      </c>
      <c r="H846" s="38" t="str">
        <f t="shared" si="2"/>
        <v>Morning</v>
      </c>
      <c r="I846" s="38" t="str">
        <f>IF(dataset_A!C846=1,"Spring",IF(dataset_A!C846=2,"Summer",IF(dataset_A!C846=3,"Fail","Winter")))</f>
        <v>Spring</v>
      </c>
      <c r="J846" s="38" t="str">
        <f>IF(dataset_A!I846=1,"Clear",IF(dataset_A!I846,"Mist/Cloudy",IF(dataset_A!I846=3,"Light Rain/Snow","Heavy Rain/Snow")))</f>
        <v>Clear</v>
      </c>
      <c r="K846" s="38">
        <f>dataset_A!N846</f>
        <v>1</v>
      </c>
      <c r="L846" s="38">
        <f>dataset_A!O846</f>
        <v>5</v>
      </c>
      <c r="M846" s="38">
        <f>dataset_A!P846</f>
        <v>6</v>
      </c>
      <c r="N846" s="38" t="str">
        <f t="shared" si="3"/>
        <v>Ok</v>
      </c>
      <c r="O846" s="38" t="str">
        <f>IF(M846&gt;Analysis!$B$3*1.5,"High",IF(M846&lt;Analysis!$B$3*0.5,"Low","Medium"))</f>
        <v>Low</v>
      </c>
      <c r="P846" s="38" t="str">
        <f>VLOOKUP(dataset_A!C846,$Q$2:$R$5,2,0)</f>
        <v>Spring</v>
      </c>
      <c r="S846" s="38" t="str">
        <f t="array" ref="S846">INDEX($R$2:$R$5,MATCH(dataset_A!C846,$Q$2:$Q$5,0))</f>
        <v>Spring</v>
      </c>
      <c r="T846" s="38" t="str">
        <f t="shared" si="4"/>
        <v>Match</v>
      </c>
    </row>
    <row r="847" ht="12.75" customHeight="1">
      <c r="A847" s="38">
        <f>dataset_A!A847</f>
        <v>209</v>
      </c>
      <c r="B847" s="39">
        <f>dataset_A!B847</f>
        <v>40552</v>
      </c>
      <c r="C847" s="38">
        <f>dataset_A!F847</f>
        <v>23</v>
      </c>
      <c r="D847" s="38">
        <f>dataset_A!H847</f>
        <v>0</v>
      </c>
      <c r="E847" s="38" t="b">
        <f>dataset_A!G847</f>
        <v>0</v>
      </c>
      <c r="F847" s="38" t="b">
        <f>dataset_A!G847</f>
        <v>0</v>
      </c>
      <c r="G847" s="38" t="str">
        <f t="shared" si="1"/>
        <v>Weekend</v>
      </c>
      <c r="H847" s="38" t="str">
        <f t="shared" si="2"/>
        <v>Evening</v>
      </c>
      <c r="I847" s="38" t="str">
        <f>IF(dataset_A!C847=1,"Spring",IF(dataset_A!C847=2,"Summer",IF(dataset_A!C847=3,"Fail","Winter")))</f>
        <v>Spring</v>
      </c>
      <c r="J847" s="38" t="str">
        <f>IF(dataset_A!I847=1,"Clear",IF(dataset_A!I847,"Mist/Cloudy",IF(dataset_A!I847=3,"Light Rain/Snow","Heavy Rain/Snow")))</f>
        <v>Clear</v>
      </c>
      <c r="K847" s="38">
        <f>dataset_A!N847</f>
        <v>0</v>
      </c>
      <c r="L847" s="38">
        <f>dataset_A!O847</f>
        <v>6</v>
      </c>
      <c r="M847" s="38">
        <f>dataset_A!P847</f>
        <v>6</v>
      </c>
      <c r="N847" s="38" t="str">
        <f t="shared" si="3"/>
        <v>Ok</v>
      </c>
      <c r="O847" s="38" t="str">
        <f>IF(M847&gt;Analysis!$B$3*1.5,"High",IF(M847&lt;Analysis!$B$3*0.5,"Low","Medium"))</f>
        <v>Low</v>
      </c>
      <c r="P847" s="38" t="str">
        <f>VLOOKUP(dataset_A!C847,$Q$2:$R$5,2,0)</f>
        <v>Spring</v>
      </c>
      <c r="S847" s="38" t="str">
        <f t="array" ref="S847">INDEX($R$2:$R$5,MATCH(dataset_A!C847,$Q$2:$Q$5,0))</f>
        <v>Spring</v>
      </c>
      <c r="T847" s="38" t="str">
        <f t="shared" si="4"/>
        <v>Match</v>
      </c>
    </row>
    <row r="848" ht="12.75" customHeight="1">
      <c r="A848" s="38">
        <f>dataset_A!A848</f>
        <v>237</v>
      </c>
      <c r="B848" s="39">
        <f>dataset_A!B848</f>
        <v>40554</v>
      </c>
      <c r="C848" s="38">
        <f>dataset_A!F848</f>
        <v>5</v>
      </c>
      <c r="D848" s="38">
        <f>dataset_A!H848</f>
        <v>2</v>
      </c>
      <c r="E848" s="38" t="b">
        <f>dataset_A!G848</f>
        <v>0</v>
      </c>
      <c r="F848" s="38" t="b">
        <f>dataset_A!G848</f>
        <v>0</v>
      </c>
      <c r="G848" s="38" t="str">
        <f t="shared" si="1"/>
        <v>Weekday</v>
      </c>
      <c r="H848" s="38" t="str">
        <f t="shared" si="2"/>
        <v>Night</v>
      </c>
      <c r="I848" s="38" t="str">
        <f>IF(dataset_A!C848=1,"Spring",IF(dataset_A!C848=2,"Summer",IF(dataset_A!C848=3,"Fail","Winter")))</f>
        <v>Spring</v>
      </c>
      <c r="J848" s="38" t="str">
        <f>IF(dataset_A!I848=1,"Clear",IF(dataset_A!I848,"Mist/Cloudy",IF(dataset_A!I848=3,"Light Rain/Snow","Heavy Rain/Snow")))</f>
        <v>Mist/Cloudy</v>
      </c>
      <c r="K848" s="38">
        <f>dataset_A!N848</f>
        <v>0</v>
      </c>
      <c r="L848" s="38">
        <f>dataset_A!O848</f>
        <v>6</v>
      </c>
      <c r="M848" s="38">
        <f>dataset_A!P848</f>
        <v>6</v>
      </c>
      <c r="N848" s="38" t="str">
        <f t="shared" si="3"/>
        <v>Ok</v>
      </c>
      <c r="O848" s="38" t="str">
        <f>IF(M848&gt;Analysis!$B$3*1.5,"High",IF(M848&lt;Analysis!$B$3*0.5,"Low","Medium"))</f>
        <v>Low</v>
      </c>
      <c r="P848" s="38" t="str">
        <f>VLOOKUP(dataset_A!C848,$Q$2:$R$5,2,0)</f>
        <v>Spring</v>
      </c>
      <c r="S848" s="38" t="str">
        <f t="array" ref="S848">INDEX($R$2:$R$5,MATCH(dataset_A!C848,$Q$2:$Q$5,0))</f>
        <v>Spring</v>
      </c>
      <c r="T848" s="38" t="str">
        <f t="shared" si="4"/>
        <v>Match</v>
      </c>
    </row>
    <row r="849" ht="12.75" customHeight="1">
      <c r="A849" s="38">
        <f>dataset_A!A849</f>
        <v>257</v>
      </c>
      <c r="B849" s="39">
        <f>dataset_A!B849</f>
        <v>40555</v>
      </c>
      <c r="C849" s="38">
        <f>dataset_A!F849</f>
        <v>1</v>
      </c>
      <c r="D849" s="38">
        <f>dataset_A!H849</f>
        <v>3</v>
      </c>
      <c r="E849" s="38" t="b">
        <f>dataset_A!G849</f>
        <v>0</v>
      </c>
      <c r="F849" s="38" t="b">
        <f>dataset_A!G849</f>
        <v>0</v>
      </c>
      <c r="G849" s="38" t="str">
        <f t="shared" si="1"/>
        <v>Weekday</v>
      </c>
      <c r="H849" s="38" t="str">
        <f t="shared" si="2"/>
        <v>Night</v>
      </c>
      <c r="I849" s="38" t="str">
        <f>IF(dataset_A!C849=1,"Spring",IF(dataset_A!C849=2,"Summer",IF(dataset_A!C849=3,"Fail","Winter")))</f>
        <v>Spring</v>
      </c>
      <c r="J849" s="38" t="str">
        <f>IF(dataset_A!I849=1,"Clear",IF(dataset_A!I849,"Mist/Cloudy",IF(dataset_A!I849=3,"Light Rain/Snow","Heavy Rain/Snow")))</f>
        <v>Mist/Cloudy</v>
      </c>
      <c r="K849" s="38">
        <f>dataset_A!N849</f>
        <v>0</v>
      </c>
      <c r="L849" s="38">
        <f>dataset_A!O849</f>
        <v>6</v>
      </c>
      <c r="M849" s="38">
        <f>dataset_A!P849</f>
        <v>6</v>
      </c>
      <c r="N849" s="38" t="str">
        <f t="shared" si="3"/>
        <v>Ok</v>
      </c>
      <c r="O849" s="38" t="str">
        <f>IF(M849&gt;Analysis!$B$3*1.5,"High",IF(M849&lt;Analysis!$B$3*0.5,"Low","Medium"))</f>
        <v>Low</v>
      </c>
      <c r="P849" s="38" t="str">
        <f>VLOOKUP(dataset_A!C849,$Q$2:$R$5,2,0)</f>
        <v>Spring</v>
      </c>
      <c r="S849" s="38" t="str">
        <f t="array" ref="S849">INDEX($R$2:$R$5,MATCH(dataset_A!C849,$Q$2:$Q$5,0))</f>
        <v>Spring</v>
      </c>
      <c r="T849" s="38" t="str">
        <f t="shared" si="4"/>
        <v>Match</v>
      </c>
    </row>
    <row r="850" ht="12.75" customHeight="1">
      <c r="A850" s="38">
        <f>dataset_A!A850</f>
        <v>437</v>
      </c>
      <c r="B850" s="39">
        <f>dataset_A!B850</f>
        <v>40563</v>
      </c>
      <c r="C850" s="38">
        <f>dataset_A!F850</f>
        <v>5</v>
      </c>
      <c r="D850" s="38">
        <f>dataset_A!H850</f>
        <v>4</v>
      </c>
      <c r="E850" s="38" t="b">
        <f>dataset_A!G850</f>
        <v>0</v>
      </c>
      <c r="F850" s="38" t="b">
        <f>dataset_A!G850</f>
        <v>0</v>
      </c>
      <c r="G850" s="38" t="str">
        <f t="shared" si="1"/>
        <v>Weekday</v>
      </c>
      <c r="H850" s="38" t="str">
        <f t="shared" si="2"/>
        <v>Night</v>
      </c>
      <c r="I850" s="38" t="str">
        <f>IF(dataset_A!C850=1,"Spring",IF(dataset_A!C850=2,"Summer",IF(dataset_A!C850=3,"Fail","Winter")))</f>
        <v>Spring</v>
      </c>
      <c r="J850" s="38" t="str">
        <f>IF(dataset_A!I850=1,"Clear",IF(dataset_A!I850,"Mist/Cloudy",IF(dataset_A!I850=3,"Light Rain/Snow","Heavy Rain/Snow")))</f>
        <v>Clear</v>
      </c>
      <c r="K850" s="38">
        <f>dataset_A!N850</f>
        <v>0</v>
      </c>
      <c r="L850" s="38">
        <f>dataset_A!O850</f>
        <v>6</v>
      </c>
      <c r="M850" s="38">
        <f>dataset_A!P850</f>
        <v>6</v>
      </c>
      <c r="N850" s="38" t="str">
        <f t="shared" si="3"/>
        <v>Ok</v>
      </c>
      <c r="O850" s="38" t="str">
        <f>IF(M850&gt;Analysis!$B$3*1.5,"High",IF(M850&lt;Analysis!$B$3*0.5,"Low","Medium"))</f>
        <v>Low</v>
      </c>
      <c r="P850" s="38" t="str">
        <f>VLOOKUP(dataset_A!C850,$Q$2:$R$5,2,0)</f>
        <v>Spring</v>
      </c>
      <c r="S850" s="38" t="str">
        <f t="array" ref="S850">INDEX($R$2:$R$5,MATCH(dataset_A!C850,$Q$2:$Q$5,0))</f>
        <v>Spring</v>
      </c>
      <c r="T850" s="38" t="str">
        <f t="shared" si="4"/>
        <v>Match</v>
      </c>
    </row>
    <row r="851" ht="12.75" customHeight="1">
      <c r="A851" s="38">
        <f>dataset_A!A851</f>
        <v>457</v>
      </c>
      <c r="B851" s="39">
        <f>dataset_A!B851</f>
        <v>40564</v>
      </c>
      <c r="C851" s="38">
        <f>dataset_A!F851</f>
        <v>1</v>
      </c>
      <c r="D851" s="38">
        <f>dataset_A!H851</f>
        <v>5</v>
      </c>
      <c r="E851" s="38" t="b">
        <f>dataset_A!G851</f>
        <v>0</v>
      </c>
      <c r="F851" s="38" t="b">
        <f>dataset_A!G851</f>
        <v>0</v>
      </c>
      <c r="G851" s="38" t="str">
        <f t="shared" si="1"/>
        <v>Weekday</v>
      </c>
      <c r="H851" s="38" t="str">
        <f t="shared" si="2"/>
        <v>Night</v>
      </c>
      <c r="I851" s="38" t="str">
        <f>IF(dataset_A!C851=1,"Spring",IF(dataset_A!C851=2,"Summer",IF(dataset_A!C851=3,"Fail","Winter")))</f>
        <v>Spring</v>
      </c>
      <c r="J851" s="38" t="str">
        <f>IF(dataset_A!I851=1,"Clear",IF(dataset_A!I851,"Mist/Cloudy",IF(dataset_A!I851=3,"Light Rain/Snow","Heavy Rain/Snow")))</f>
        <v>Mist/Cloudy</v>
      </c>
      <c r="K851" s="38">
        <f>dataset_A!N851</f>
        <v>0</v>
      </c>
      <c r="L851" s="38">
        <f>dataset_A!O851</f>
        <v>6</v>
      </c>
      <c r="M851" s="38">
        <f>dataset_A!P851</f>
        <v>6</v>
      </c>
      <c r="N851" s="38" t="str">
        <f t="shared" si="3"/>
        <v>Ok</v>
      </c>
      <c r="O851" s="38" t="str">
        <f>IF(M851&gt;Analysis!$B$3*1.5,"High",IF(M851&lt;Analysis!$B$3*0.5,"Low","Medium"))</f>
        <v>Low</v>
      </c>
      <c r="P851" s="38" t="str">
        <f>VLOOKUP(dataset_A!C851,$Q$2:$R$5,2,0)</f>
        <v>Spring</v>
      </c>
      <c r="S851" s="38" t="str">
        <f t="array" ref="S851">INDEX($R$2:$R$5,MATCH(dataset_A!C851,$Q$2:$Q$5,0))</f>
        <v>Spring</v>
      </c>
      <c r="T851" s="38" t="str">
        <f t="shared" si="4"/>
        <v>Match</v>
      </c>
    </row>
    <row r="852" ht="12.75" customHeight="1">
      <c r="A852" s="38">
        <f>dataset_A!A852</f>
        <v>905</v>
      </c>
      <c r="B852" s="39">
        <f>dataset_A!B852</f>
        <v>40584</v>
      </c>
      <c r="C852" s="38">
        <f>dataset_A!F852</f>
        <v>5</v>
      </c>
      <c r="D852" s="38">
        <f>dataset_A!H852</f>
        <v>4</v>
      </c>
      <c r="E852" s="38" t="b">
        <f>dataset_A!G852</f>
        <v>0</v>
      </c>
      <c r="F852" s="38" t="b">
        <f>dataset_A!G852</f>
        <v>0</v>
      </c>
      <c r="G852" s="38" t="str">
        <f t="shared" si="1"/>
        <v>Weekday</v>
      </c>
      <c r="H852" s="38" t="str">
        <f t="shared" si="2"/>
        <v>Night</v>
      </c>
      <c r="I852" s="38" t="str">
        <f>IF(dataset_A!C852=1,"Spring",IF(dataset_A!C852=2,"Summer",IF(dataset_A!C852=3,"Fail","Winter")))</f>
        <v>Spring</v>
      </c>
      <c r="J852" s="38" t="str">
        <f>IF(dataset_A!I852=1,"Clear",IF(dataset_A!I852,"Mist/Cloudy",IF(dataset_A!I852=3,"Light Rain/Snow","Heavy Rain/Snow")))</f>
        <v>Mist/Cloudy</v>
      </c>
      <c r="K852" s="38">
        <f>dataset_A!N852</f>
        <v>0</v>
      </c>
      <c r="L852" s="38">
        <f>dataset_A!O852</f>
        <v>6</v>
      </c>
      <c r="M852" s="38">
        <f>dataset_A!P852</f>
        <v>6</v>
      </c>
      <c r="N852" s="38" t="str">
        <f t="shared" si="3"/>
        <v>Ok</v>
      </c>
      <c r="O852" s="38" t="str">
        <f>IF(M852&gt;Analysis!$B$3*1.5,"High",IF(M852&lt;Analysis!$B$3*0.5,"Low","Medium"))</f>
        <v>Low</v>
      </c>
      <c r="P852" s="38" t="str">
        <f>VLOOKUP(dataset_A!C852,$Q$2:$R$5,2,0)</f>
        <v>Spring</v>
      </c>
      <c r="S852" s="38" t="str">
        <f t="array" ref="S852">INDEX($R$2:$R$5,MATCH(dataset_A!C852,$Q$2:$Q$5,0))</f>
        <v>Spring</v>
      </c>
      <c r="T852" s="38" t="str">
        <f t="shared" si="4"/>
        <v>Match</v>
      </c>
    </row>
    <row r="853" ht="12.75" customHeight="1">
      <c r="A853" s="38">
        <f>dataset_A!A853</f>
        <v>48</v>
      </c>
      <c r="B853" s="39">
        <f>dataset_A!B853</f>
        <v>40546</v>
      </c>
      <c r="C853" s="38">
        <f>dataset_A!F853</f>
        <v>0</v>
      </c>
      <c r="D853" s="38">
        <f>dataset_A!H853</f>
        <v>1</v>
      </c>
      <c r="E853" s="38" t="b">
        <f>dataset_A!G853</f>
        <v>0</v>
      </c>
      <c r="F853" s="38" t="b">
        <f>dataset_A!G853</f>
        <v>0</v>
      </c>
      <c r="G853" s="38" t="str">
        <f t="shared" si="1"/>
        <v>Weekday</v>
      </c>
      <c r="H853" s="38" t="str">
        <f t="shared" si="2"/>
        <v>Night</v>
      </c>
      <c r="I853" s="38" t="str">
        <f>IF(dataset_A!C853=1,"Spring",IF(dataset_A!C853=2,"Summer",IF(dataset_A!C853=3,"Fail","Winter")))</f>
        <v>Spring</v>
      </c>
      <c r="J853" s="38" t="str">
        <f>IF(dataset_A!I853=1,"Clear",IF(dataset_A!I853,"Mist/Cloudy",IF(dataset_A!I853=3,"Light Rain/Snow","Heavy Rain/Snow")))</f>
        <v>Clear</v>
      </c>
      <c r="K853" s="38">
        <f>dataset_A!N853</f>
        <v>0</v>
      </c>
      <c r="L853" s="38">
        <f>dataset_A!O853</f>
        <v>5</v>
      </c>
      <c r="M853" s="38">
        <f>dataset_A!P853</f>
        <v>5</v>
      </c>
      <c r="N853" s="38" t="str">
        <f t="shared" si="3"/>
        <v>Ok</v>
      </c>
      <c r="O853" s="38" t="str">
        <f>IF(M853&gt;Analysis!$B$3*1.5,"High",IF(M853&lt;Analysis!$B$3*0.5,"Low","Medium"))</f>
        <v>Low</v>
      </c>
      <c r="P853" s="38" t="str">
        <f>VLOOKUP(dataset_A!C853,$Q$2:$R$5,2,0)</f>
        <v>Spring</v>
      </c>
      <c r="S853" s="38" t="str">
        <f t="array" ref="S853">INDEX($R$2:$R$5,MATCH(dataset_A!C853,$Q$2:$Q$5,0))</f>
        <v>Spring</v>
      </c>
      <c r="T853" s="38" t="str">
        <f t="shared" si="4"/>
        <v>Match</v>
      </c>
    </row>
    <row r="854" ht="12.75" customHeight="1">
      <c r="A854" s="38">
        <f>dataset_A!A854</f>
        <v>70</v>
      </c>
      <c r="B854" s="39">
        <f>dataset_A!B854</f>
        <v>40547</v>
      </c>
      <c r="C854" s="38">
        <f>dataset_A!F854</f>
        <v>0</v>
      </c>
      <c r="D854" s="38">
        <f>dataset_A!H854</f>
        <v>2</v>
      </c>
      <c r="E854" s="38" t="b">
        <f>dataset_A!G854</f>
        <v>0</v>
      </c>
      <c r="F854" s="38" t="b">
        <f>dataset_A!G854</f>
        <v>0</v>
      </c>
      <c r="G854" s="38" t="str">
        <f t="shared" si="1"/>
        <v>Weekday</v>
      </c>
      <c r="H854" s="38" t="str">
        <f t="shared" si="2"/>
        <v>Night</v>
      </c>
      <c r="I854" s="38" t="str">
        <f>IF(dataset_A!C854=1,"Spring",IF(dataset_A!C854=2,"Summer",IF(dataset_A!C854=3,"Fail","Winter")))</f>
        <v>Spring</v>
      </c>
      <c r="J854" s="38" t="str">
        <f>IF(dataset_A!I854=1,"Clear",IF(dataset_A!I854,"Mist/Cloudy",IF(dataset_A!I854=3,"Light Rain/Snow","Heavy Rain/Snow")))</f>
        <v>Clear</v>
      </c>
      <c r="K854" s="38">
        <f>dataset_A!N854</f>
        <v>0</v>
      </c>
      <c r="L854" s="38">
        <f>dataset_A!O854</f>
        <v>5</v>
      </c>
      <c r="M854" s="38">
        <f>dataset_A!P854</f>
        <v>5</v>
      </c>
      <c r="N854" s="38" t="str">
        <f t="shared" si="3"/>
        <v>Ok</v>
      </c>
      <c r="O854" s="38" t="str">
        <f>IF(M854&gt;Analysis!$B$3*1.5,"High",IF(M854&lt;Analysis!$B$3*0.5,"Low","Medium"))</f>
        <v>Low</v>
      </c>
      <c r="P854" s="38" t="str">
        <f>VLOOKUP(dataset_A!C854,$Q$2:$R$5,2,0)</f>
        <v>Spring</v>
      </c>
      <c r="S854" s="38" t="str">
        <f t="array" ref="S854">INDEX($R$2:$R$5,MATCH(dataset_A!C854,$Q$2:$Q$5,0))</f>
        <v>Spring</v>
      </c>
      <c r="T854" s="38" t="str">
        <f t="shared" si="4"/>
        <v>Match</v>
      </c>
    </row>
    <row r="855" ht="12.75" customHeight="1">
      <c r="A855" s="38">
        <f>dataset_A!A855</f>
        <v>143</v>
      </c>
      <c r="B855" s="39">
        <f>dataset_A!B855</f>
        <v>40550</v>
      </c>
      <c r="C855" s="38">
        <f>dataset_A!F855</f>
        <v>5</v>
      </c>
      <c r="D855" s="38">
        <f>dataset_A!H855</f>
        <v>5</v>
      </c>
      <c r="E855" s="38" t="b">
        <f>dataset_A!G855</f>
        <v>0</v>
      </c>
      <c r="F855" s="38" t="b">
        <f>dataset_A!G855</f>
        <v>0</v>
      </c>
      <c r="G855" s="38" t="str">
        <f t="shared" si="1"/>
        <v>Weekday</v>
      </c>
      <c r="H855" s="38" t="str">
        <f t="shared" si="2"/>
        <v>Night</v>
      </c>
      <c r="I855" s="38" t="str">
        <f>IF(dataset_A!C855=1,"Spring",IF(dataset_A!C855=2,"Summer",IF(dataset_A!C855=3,"Fail","Winter")))</f>
        <v>Spring</v>
      </c>
      <c r="J855" s="38" t="str">
        <f>IF(dataset_A!I855=1,"Clear",IF(dataset_A!I855,"Mist/Cloudy",IF(dataset_A!I855=3,"Light Rain/Snow","Heavy Rain/Snow")))</f>
        <v>Mist/Cloudy</v>
      </c>
      <c r="K855" s="38">
        <f>dataset_A!N855</f>
        <v>0</v>
      </c>
      <c r="L855" s="38">
        <f>dataset_A!O855</f>
        <v>5</v>
      </c>
      <c r="M855" s="38">
        <f>dataset_A!P855</f>
        <v>5</v>
      </c>
      <c r="N855" s="38" t="str">
        <f t="shared" si="3"/>
        <v>Ok</v>
      </c>
      <c r="O855" s="38" t="str">
        <f>IF(M855&gt;Analysis!$B$3*1.5,"High",IF(M855&lt;Analysis!$B$3*0.5,"Low","Medium"))</f>
        <v>Low</v>
      </c>
      <c r="P855" s="38" t="str">
        <f>VLOOKUP(dataset_A!C855,$Q$2:$R$5,2,0)</f>
        <v>Spring</v>
      </c>
      <c r="S855" s="38" t="str">
        <f t="array" ref="S855">INDEX($R$2:$R$5,MATCH(dataset_A!C855,$Q$2:$Q$5,0))</f>
        <v>Spring</v>
      </c>
      <c r="T855" s="38" t="str">
        <f t="shared" si="4"/>
        <v>Match</v>
      </c>
    </row>
    <row r="856" ht="12.75" customHeight="1">
      <c r="A856" s="38">
        <f>dataset_A!A856</f>
        <v>167</v>
      </c>
      <c r="B856" s="39">
        <f>dataset_A!B856</f>
        <v>40551</v>
      </c>
      <c r="C856" s="38">
        <f>dataset_A!F856</f>
        <v>5</v>
      </c>
      <c r="D856" s="38">
        <f>dataset_A!H856</f>
        <v>6</v>
      </c>
      <c r="E856" s="38" t="b">
        <f>dataset_A!G856</f>
        <v>0</v>
      </c>
      <c r="F856" s="38" t="b">
        <f>dataset_A!G856</f>
        <v>0</v>
      </c>
      <c r="G856" s="38" t="str">
        <f t="shared" si="1"/>
        <v>Weekend</v>
      </c>
      <c r="H856" s="38" t="str">
        <f t="shared" si="2"/>
        <v>Night</v>
      </c>
      <c r="I856" s="38" t="str">
        <f>IF(dataset_A!C856=1,"Spring",IF(dataset_A!C856=2,"Summer",IF(dataset_A!C856=3,"Fail","Winter")))</f>
        <v>Spring</v>
      </c>
      <c r="J856" s="38" t="str">
        <f>IF(dataset_A!I856=1,"Clear",IF(dataset_A!I856,"Mist/Cloudy",IF(dataset_A!I856=3,"Light Rain/Snow","Heavy Rain/Snow")))</f>
        <v>Mist/Cloudy</v>
      </c>
      <c r="K856" s="38">
        <f>dataset_A!N856</f>
        <v>0</v>
      </c>
      <c r="L856" s="38">
        <f>dataset_A!O856</f>
        <v>5</v>
      </c>
      <c r="M856" s="38">
        <f>dataset_A!P856</f>
        <v>5</v>
      </c>
      <c r="N856" s="38" t="str">
        <f t="shared" si="3"/>
        <v>Ok</v>
      </c>
      <c r="O856" s="38" t="str">
        <f>IF(M856&gt;Analysis!$B$3*1.5,"High",IF(M856&lt;Analysis!$B$3*0.5,"Low","Medium"))</f>
        <v>Low</v>
      </c>
      <c r="P856" s="38" t="str">
        <f>VLOOKUP(dataset_A!C856,$Q$2:$R$5,2,0)</f>
        <v>Spring</v>
      </c>
      <c r="S856" s="38" t="str">
        <f t="array" ref="S856">INDEX($R$2:$R$5,MATCH(dataset_A!C856,$Q$2:$Q$5,0))</f>
        <v>Spring</v>
      </c>
      <c r="T856" s="38" t="str">
        <f t="shared" si="4"/>
        <v>Match</v>
      </c>
    </row>
    <row r="857" ht="12.75" customHeight="1">
      <c r="A857" s="38">
        <f>dataset_A!A857</f>
        <v>210</v>
      </c>
      <c r="B857" s="39">
        <f>dataset_A!B857</f>
        <v>40553</v>
      </c>
      <c r="C857" s="38">
        <f>dataset_A!F857</f>
        <v>0</v>
      </c>
      <c r="D857" s="38">
        <f>dataset_A!H857</f>
        <v>1</v>
      </c>
      <c r="E857" s="38" t="b">
        <f>dataset_A!G857</f>
        <v>0</v>
      </c>
      <c r="F857" s="38" t="b">
        <f>dataset_A!G857</f>
        <v>0</v>
      </c>
      <c r="G857" s="38" t="str">
        <f t="shared" si="1"/>
        <v>Weekday</v>
      </c>
      <c r="H857" s="38" t="str">
        <f t="shared" si="2"/>
        <v>Night</v>
      </c>
      <c r="I857" s="38" t="str">
        <f>IF(dataset_A!C857=1,"Spring",IF(dataset_A!C857=2,"Summer",IF(dataset_A!C857=3,"Fail","Winter")))</f>
        <v>Spring</v>
      </c>
      <c r="J857" s="38" t="str">
        <f>IF(dataset_A!I857=1,"Clear",IF(dataset_A!I857,"Mist/Cloudy",IF(dataset_A!I857=3,"Light Rain/Snow","Heavy Rain/Snow")))</f>
        <v>Clear</v>
      </c>
      <c r="K857" s="38">
        <f>dataset_A!N857</f>
        <v>2</v>
      </c>
      <c r="L857" s="38">
        <f>dataset_A!O857</f>
        <v>3</v>
      </c>
      <c r="M857" s="38">
        <f>dataset_A!P857</f>
        <v>5</v>
      </c>
      <c r="N857" s="38" t="str">
        <f t="shared" si="3"/>
        <v>Ok</v>
      </c>
      <c r="O857" s="38" t="str">
        <f>IF(M857&gt;Analysis!$B$3*1.5,"High",IF(M857&lt;Analysis!$B$3*0.5,"Low","Medium"))</f>
        <v>Low</v>
      </c>
      <c r="P857" s="38" t="str">
        <f>VLOOKUP(dataset_A!C857,$Q$2:$R$5,2,0)</f>
        <v>Spring</v>
      </c>
      <c r="S857" s="38" t="str">
        <f t="array" ref="S857">INDEX($R$2:$R$5,MATCH(dataset_A!C857,$Q$2:$Q$5,0))</f>
        <v>Spring</v>
      </c>
      <c r="T857" s="38" t="str">
        <f t="shared" si="4"/>
        <v>Match</v>
      </c>
    </row>
    <row r="858" ht="12.75" customHeight="1">
      <c r="A858" s="38">
        <f>dataset_A!A858</f>
        <v>259</v>
      </c>
      <c r="B858" s="39">
        <f>dataset_A!B858</f>
        <v>40555</v>
      </c>
      <c r="C858" s="38">
        <f>dataset_A!F858</f>
        <v>5</v>
      </c>
      <c r="D858" s="38">
        <f>dataset_A!H858</f>
        <v>3</v>
      </c>
      <c r="E858" s="38" t="b">
        <f>dataset_A!G858</f>
        <v>0</v>
      </c>
      <c r="F858" s="38" t="b">
        <f>dataset_A!G858</f>
        <v>0</v>
      </c>
      <c r="G858" s="38" t="str">
        <f t="shared" si="1"/>
        <v>Weekday</v>
      </c>
      <c r="H858" s="38" t="str">
        <f t="shared" si="2"/>
        <v>Night</v>
      </c>
      <c r="I858" s="38" t="str">
        <f>IF(dataset_A!C858=1,"Spring",IF(dataset_A!C858=2,"Summer",IF(dataset_A!C858=3,"Fail","Winter")))</f>
        <v>Spring</v>
      </c>
      <c r="J858" s="38" t="str">
        <f>IF(dataset_A!I858=1,"Clear",IF(dataset_A!I858,"Mist/Cloudy",IF(dataset_A!I858=3,"Light Rain/Snow","Heavy Rain/Snow")))</f>
        <v>Clear</v>
      </c>
      <c r="K858" s="38">
        <f>dataset_A!N858</f>
        <v>0</v>
      </c>
      <c r="L858" s="38">
        <f>dataset_A!O858</f>
        <v>5</v>
      </c>
      <c r="M858" s="38">
        <f>dataset_A!P858</f>
        <v>5</v>
      </c>
      <c r="N858" s="38" t="str">
        <f t="shared" si="3"/>
        <v>Ok</v>
      </c>
      <c r="O858" s="38" t="str">
        <f>IF(M858&gt;Analysis!$B$3*1.5,"High",IF(M858&lt;Analysis!$B$3*0.5,"Low","Medium"))</f>
        <v>Low</v>
      </c>
      <c r="P858" s="38" t="str">
        <f>VLOOKUP(dataset_A!C858,$Q$2:$R$5,2,0)</f>
        <v>Spring</v>
      </c>
      <c r="S858" s="38" t="str">
        <f t="array" ref="S858">INDEX($R$2:$R$5,MATCH(dataset_A!C858,$Q$2:$Q$5,0))</f>
        <v>Spring</v>
      </c>
      <c r="T858" s="38" t="str">
        <f t="shared" si="4"/>
        <v>Match</v>
      </c>
    </row>
    <row r="859" ht="12.75" customHeight="1">
      <c r="A859" s="38">
        <f>dataset_A!A859</f>
        <v>303</v>
      </c>
      <c r="B859" s="39">
        <f>dataset_A!B859</f>
        <v>40557</v>
      </c>
      <c r="C859" s="38">
        <f>dataset_A!F859</f>
        <v>1</v>
      </c>
      <c r="D859" s="38">
        <f>dataset_A!H859</f>
        <v>5</v>
      </c>
      <c r="E859" s="38" t="b">
        <f>dataset_A!G859</f>
        <v>0</v>
      </c>
      <c r="F859" s="38" t="b">
        <f>dataset_A!G859</f>
        <v>0</v>
      </c>
      <c r="G859" s="38" t="str">
        <f t="shared" si="1"/>
        <v>Weekday</v>
      </c>
      <c r="H859" s="38" t="str">
        <f t="shared" si="2"/>
        <v>Night</v>
      </c>
      <c r="I859" s="38" t="str">
        <f>IF(dataset_A!C859=1,"Spring",IF(dataset_A!C859=2,"Summer",IF(dataset_A!C859=3,"Fail","Winter")))</f>
        <v>Spring</v>
      </c>
      <c r="J859" s="38" t="str">
        <f>IF(dataset_A!I859=1,"Clear",IF(dataset_A!I859,"Mist/Cloudy",IF(dataset_A!I859=3,"Light Rain/Snow","Heavy Rain/Snow")))</f>
        <v>Clear</v>
      </c>
      <c r="K859" s="38">
        <f>dataset_A!N859</f>
        <v>0</v>
      </c>
      <c r="L859" s="38">
        <f>dataset_A!O859</f>
        <v>5</v>
      </c>
      <c r="M859" s="38">
        <f>dataset_A!P859</f>
        <v>5</v>
      </c>
      <c r="N859" s="38" t="str">
        <f t="shared" si="3"/>
        <v>Ok</v>
      </c>
      <c r="O859" s="38" t="str">
        <f>IF(M859&gt;Analysis!$B$3*1.5,"High",IF(M859&lt;Analysis!$B$3*0.5,"Low","Medium"))</f>
        <v>Low</v>
      </c>
      <c r="P859" s="38" t="str">
        <f>VLOOKUP(dataset_A!C859,$Q$2:$R$5,2,0)</f>
        <v>Spring</v>
      </c>
      <c r="S859" s="38" t="str">
        <f t="array" ref="S859">INDEX($R$2:$R$5,MATCH(dataset_A!C859,$Q$2:$Q$5,0))</f>
        <v>Spring</v>
      </c>
      <c r="T859" s="38" t="str">
        <f t="shared" si="4"/>
        <v>Match</v>
      </c>
    </row>
    <row r="860" ht="12.75" customHeight="1">
      <c r="A860" s="38">
        <f>dataset_A!A860</f>
        <v>329</v>
      </c>
      <c r="B860" s="39">
        <f>dataset_A!B860</f>
        <v>40558</v>
      </c>
      <c r="C860" s="38">
        <f>dataset_A!F860</f>
        <v>4</v>
      </c>
      <c r="D860" s="38">
        <f>dataset_A!H860</f>
        <v>6</v>
      </c>
      <c r="E860" s="38" t="b">
        <f>dataset_A!G860</f>
        <v>0</v>
      </c>
      <c r="F860" s="38" t="b">
        <f>dataset_A!G860</f>
        <v>0</v>
      </c>
      <c r="G860" s="38" t="str">
        <f t="shared" si="1"/>
        <v>Weekend</v>
      </c>
      <c r="H860" s="38" t="str">
        <f t="shared" si="2"/>
        <v>Night</v>
      </c>
      <c r="I860" s="38" t="str">
        <f>IF(dataset_A!C860=1,"Spring",IF(dataset_A!C860=2,"Summer",IF(dataset_A!C860=3,"Fail","Winter")))</f>
        <v>Spring</v>
      </c>
      <c r="J860" s="38" t="str">
        <f>IF(dataset_A!I860=1,"Clear",IF(dataset_A!I860,"Mist/Cloudy",IF(dataset_A!I860=3,"Light Rain/Snow","Heavy Rain/Snow")))</f>
        <v>Mist/Cloudy</v>
      </c>
      <c r="K860" s="38">
        <f>dataset_A!N860</f>
        <v>0</v>
      </c>
      <c r="L860" s="38">
        <f>dataset_A!O860</f>
        <v>5</v>
      </c>
      <c r="M860" s="38">
        <f>dataset_A!P860</f>
        <v>5</v>
      </c>
      <c r="N860" s="38" t="str">
        <f t="shared" si="3"/>
        <v>Ok</v>
      </c>
      <c r="O860" s="38" t="str">
        <f>IF(M860&gt;Analysis!$B$3*1.5,"High",IF(M860&lt;Analysis!$B$3*0.5,"Low","Medium"))</f>
        <v>Low</v>
      </c>
      <c r="P860" s="38" t="str">
        <f>VLOOKUP(dataset_A!C860,$Q$2:$R$5,2,0)</f>
        <v>Spring</v>
      </c>
      <c r="S860" s="38" t="str">
        <f t="array" ref="S860">INDEX($R$2:$R$5,MATCH(dataset_A!C860,$Q$2:$Q$5,0))</f>
        <v>Spring</v>
      </c>
      <c r="T860" s="38" t="str">
        <f t="shared" si="4"/>
        <v>Match</v>
      </c>
    </row>
    <row r="861" ht="12.75" customHeight="1">
      <c r="A861" s="38">
        <f>dataset_A!A861</f>
        <v>379</v>
      </c>
      <c r="B861" s="39">
        <f>dataset_A!B861</f>
        <v>40560</v>
      </c>
      <c r="C861" s="38">
        <f>dataset_A!F861</f>
        <v>6</v>
      </c>
      <c r="D861" s="38">
        <f>dataset_A!H861</f>
        <v>1</v>
      </c>
      <c r="E861" s="38" t="b">
        <f>dataset_A!G861</f>
        <v>1</v>
      </c>
      <c r="F861" s="38" t="b">
        <f>dataset_A!G861</f>
        <v>1</v>
      </c>
      <c r="G861" s="38" t="str">
        <f t="shared" si="1"/>
        <v>Weekday</v>
      </c>
      <c r="H861" s="38" t="str">
        <f t="shared" si="2"/>
        <v>Morning</v>
      </c>
      <c r="I861" s="38" t="str">
        <f>IF(dataset_A!C861=1,"Spring",IF(dataset_A!C861=2,"Summer",IF(dataset_A!C861=3,"Fail","Winter")))</f>
        <v>Spring</v>
      </c>
      <c r="J861" s="38" t="str">
        <f>IF(dataset_A!I861=1,"Clear",IF(dataset_A!I861,"Mist/Cloudy",IF(dataset_A!I861=3,"Light Rain/Snow","Heavy Rain/Snow")))</f>
        <v>Mist/Cloudy</v>
      </c>
      <c r="K861" s="38">
        <f>dataset_A!N861</f>
        <v>0</v>
      </c>
      <c r="L861" s="38">
        <f>dataset_A!O861</f>
        <v>5</v>
      </c>
      <c r="M861" s="38">
        <f>dataset_A!P861</f>
        <v>5</v>
      </c>
      <c r="N861" s="38" t="str">
        <f t="shared" si="3"/>
        <v>Ok</v>
      </c>
      <c r="O861" s="38" t="str">
        <f>IF(M861&gt;Analysis!$B$3*1.5,"High",IF(M861&lt;Analysis!$B$3*0.5,"Low","Medium"))</f>
        <v>Low</v>
      </c>
      <c r="P861" s="38" t="str">
        <f>VLOOKUP(dataset_A!C861,$Q$2:$R$5,2,0)</f>
        <v>Spring</v>
      </c>
      <c r="S861" s="38" t="str">
        <f t="array" ref="S861">INDEX($R$2:$R$5,MATCH(dataset_A!C861,$Q$2:$Q$5,0))</f>
        <v>Spring</v>
      </c>
      <c r="T861" s="38" t="str">
        <f t="shared" si="4"/>
        <v>Match</v>
      </c>
    </row>
    <row r="862" ht="12.75" customHeight="1">
      <c r="A862" s="38">
        <f>dataset_A!A862</f>
        <v>433</v>
      </c>
      <c r="B862" s="39">
        <f>dataset_A!B862</f>
        <v>40563</v>
      </c>
      <c r="C862" s="38">
        <f>dataset_A!F862</f>
        <v>1</v>
      </c>
      <c r="D862" s="38">
        <f>dataset_A!H862</f>
        <v>4</v>
      </c>
      <c r="E862" s="38" t="b">
        <f>dataset_A!G862</f>
        <v>0</v>
      </c>
      <c r="F862" s="38" t="b">
        <f>dataset_A!G862</f>
        <v>0</v>
      </c>
      <c r="G862" s="38" t="str">
        <f t="shared" si="1"/>
        <v>Weekday</v>
      </c>
      <c r="H862" s="38" t="str">
        <f t="shared" si="2"/>
        <v>Night</v>
      </c>
      <c r="I862" s="38" t="str">
        <f>IF(dataset_A!C862=1,"Spring",IF(dataset_A!C862=2,"Summer",IF(dataset_A!C862=3,"Fail","Winter")))</f>
        <v>Spring</v>
      </c>
      <c r="J862" s="38" t="str">
        <f>IF(dataset_A!I862=1,"Clear",IF(dataset_A!I862,"Mist/Cloudy",IF(dataset_A!I862=3,"Light Rain/Snow","Heavy Rain/Snow")))</f>
        <v>Clear</v>
      </c>
      <c r="K862" s="38">
        <f>dataset_A!N862</f>
        <v>2</v>
      </c>
      <c r="L862" s="38">
        <f>dataset_A!O862</f>
        <v>3</v>
      </c>
      <c r="M862" s="38">
        <f>dataset_A!P862</f>
        <v>5</v>
      </c>
      <c r="N862" s="38" t="str">
        <f t="shared" si="3"/>
        <v>Ok</v>
      </c>
      <c r="O862" s="38" t="str">
        <f>IF(M862&gt;Analysis!$B$3*1.5,"High",IF(M862&lt;Analysis!$B$3*0.5,"Low","Medium"))</f>
        <v>Low</v>
      </c>
      <c r="P862" s="38" t="str">
        <f>VLOOKUP(dataset_A!C862,$Q$2:$R$5,2,0)</f>
        <v>Spring</v>
      </c>
      <c r="S862" s="38" t="str">
        <f t="array" ref="S862">INDEX($R$2:$R$5,MATCH(dataset_A!C862,$Q$2:$Q$5,0))</f>
        <v>Spring</v>
      </c>
      <c r="T862" s="38" t="str">
        <f t="shared" si="4"/>
        <v>Match</v>
      </c>
    </row>
    <row r="863" ht="12.75" customHeight="1">
      <c r="A863" s="38">
        <f>dataset_A!A863</f>
        <v>461</v>
      </c>
      <c r="B863" s="39">
        <f>dataset_A!B863</f>
        <v>40564</v>
      </c>
      <c r="C863" s="38">
        <f>dataset_A!F863</f>
        <v>5</v>
      </c>
      <c r="D863" s="38">
        <f>dataset_A!H863</f>
        <v>5</v>
      </c>
      <c r="E863" s="38" t="b">
        <f>dataset_A!G863</f>
        <v>0</v>
      </c>
      <c r="F863" s="38" t="b">
        <f>dataset_A!G863</f>
        <v>0</v>
      </c>
      <c r="G863" s="38" t="str">
        <f t="shared" si="1"/>
        <v>Weekday</v>
      </c>
      <c r="H863" s="38" t="str">
        <f t="shared" si="2"/>
        <v>Night</v>
      </c>
      <c r="I863" s="38" t="str">
        <f>IF(dataset_A!C863=1,"Spring",IF(dataset_A!C863=2,"Summer",IF(dataset_A!C863=3,"Fail","Winter")))</f>
        <v>Spring</v>
      </c>
      <c r="J863" s="38" t="str">
        <f>IF(dataset_A!I863=1,"Clear",IF(dataset_A!I863,"Mist/Cloudy",IF(dataset_A!I863=3,"Light Rain/Snow","Heavy Rain/Snow")))</f>
        <v>Clear</v>
      </c>
      <c r="K863" s="38">
        <f>dataset_A!N863</f>
        <v>1</v>
      </c>
      <c r="L863" s="38">
        <f>dataset_A!O863</f>
        <v>4</v>
      </c>
      <c r="M863" s="38">
        <f>dataset_A!P863</f>
        <v>5</v>
      </c>
      <c r="N863" s="38" t="str">
        <f t="shared" si="3"/>
        <v>Ok</v>
      </c>
      <c r="O863" s="38" t="str">
        <f>IF(M863&gt;Analysis!$B$3*1.5,"High",IF(M863&lt;Analysis!$B$3*0.5,"Low","Medium"))</f>
        <v>Low</v>
      </c>
      <c r="P863" s="38" t="str">
        <f>VLOOKUP(dataset_A!C863,$Q$2:$R$5,2,0)</f>
        <v>Spring</v>
      </c>
      <c r="S863" s="38" t="str">
        <f t="array" ref="S863">INDEX($R$2:$R$5,MATCH(dataset_A!C863,$Q$2:$Q$5,0))</f>
        <v>Spring</v>
      </c>
      <c r="T863" s="38" t="str">
        <f t="shared" si="4"/>
        <v>Match</v>
      </c>
    </row>
    <row r="864" ht="12.75" customHeight="1">
      <c r="A864" s="38">
        <f>dataset_A!A864</f>
        <v>506</v>
      </c>
      <c r="B864" s="39">
        <f>dataset_A!B864</f>
        <v>40566</v>
      </c>
      <c r="C864" s="38">
        <f>dataset_A!F864</f>
        <v>3</v>
      </c>
      <c r="D864" s="38">
        <f>dataset_A!H864</f>
        <v>0</v>
      </c>
      <c r="E864" s="38" t="b">
        <f>dataset_A!G864</f>
        <v>0</v>
      </c>
      <c r="F864" s="38" t="b">
        <f>dataset_A!G864</f>
        <v>0</v>
      </c>
      <c r="G864" s="38" t="str">
        <f t="shared" si="1"/>
        <v>Weekend</v>
      </c>
      <c r="H864" s="38" t="str">
        <f t="shared" si="2"/>
        <v>Night</v>
      </c>
      <c r="I864" s="38" t="str">
        <f>IF(dataset_A!C864=1,"Spring",IF(dataset_A!C864=2,"Summer",IF(dataset_A!C864=3,"Fail","Winter")))</f>
        <v>Spring</v>
      </c>
      <c r="J864" s="38" t="str">
        <f>IF(dataset_A!I864=1,"Clear",IF(dataset_A!I864,"Mist/Cloudy",IF(dataset_A!I864=3,"Light Rain/Snow","Heavy Rain/Snow")))</f>
        <v>Clear</v>
      </c>
      <c r="K864" s="38">
        <f>dataset_A!N864</f>
        <v>1</v>
      </c>
      <c r="L864" s="38">
        <f>dataset_A!O864</f>
        <v>4</v>
      </c>
      <c r="M864" s="38">
        <f>dataset_A!P864</f>
        <v>5</v>
      </c>
      <c r="N864" s="38" t="str">
        <f t="shared" si="3"/>
        <v>Ok</v>
      </c>
      <c r="O864" s="38" t="str">
        <f>IF(M864&gt;Analysis!$B$3*1.5,"High",IF(M864&lt;Analysis!$B$3*0.5,"Low","Medium"))</f>
        <v>Low</v>
      </c>
      <c r="P864" s="38" t="str">
        <f>VLOOKUP(dataset_A!C864,$Q$2:$R$5,2,0)</f>
        <v>Spring</v>
      </c>
      <c r="S864" s="38" t="str">
        <f t="array" ref="S864">INDEX($R$2:$R$5,MATCH(dataset_A!C864,$Q$2:$Q$5,0))</f>
        <v>Spring</v>
      </c>
      <c r="T864" s="38" t="str">
        <f t="shared" si="4"/>
        <v>Match</v>
      </c>
    </row>
    <row r="865" ht="12.75" customHeight="1">
      <c r="A865" s="38">
        <f>dataset_A!A865</f>
        <v>530</v>
      </c>
      <c r="B865" s="39">
        <f>dataset_A!B865</f>
        <v>40567</v>
      </c>
      <c r="C865" s="38">
        <f>dataset_A!F865</f>
        <v>5</v>
      </c>
      <c r="D865" s="38">
        <f>dataset_A!H865</f>
        <v>1</v>
      </c>
      <c r="E865" s="38" t="b">
        <f>dataset_A!G865</f>
        <v>0</v>
      </c>
      <c r="F865" s="38" t="b">
        <f>dataset_A!G865</f>
        <v>0</v>
      </c>
      <c r="G865" s="38" t="str">
        <f t="shared" si="1"/>
        <v>Weekday</v>
      </c>
      <c r="H865" s="38" t="str">
        <f t="shared" si="2"/>
        <v>Night</v>
      </c>
      <c r="I865" s="38" t="str">
        <f>IF(dataset_A!C865=1,"Spring",IF(dataset_A!C865=2,"Summer",IF(dataset_A!C865=3,"Fail","Winter")))</f>
        <v>Spring</v>
      </c>
      <c r="J865" s="38" t="str">
        <f>IF(dataset_A!I865=1,"Clear",IF(dataset_A!I865,"Mist/Cloudy",IF(dataset_A!I865=3,"Light Rain/Snow","Heavy Rain/Snow")))</f>
        <v>Clear</v>
      </c>
      <c r="K865" s="38">
        <f>dataset_A!N865</f>
        <v>0</v>
      </c>
      <c r="L865" s="38">
        <f>dataset_A!O865</f>
        <v>5</v>
      </c>
      <c r="M865" s="38">
        <f>dataset_A!P865</f>
        <v>5</v>
      </c>
      <c r="N865" s="38" t="str">
        <f t="shared" si="3"/>
        <v>Ok</v>
      </c>
      <c r="O865" s="38" t="str">
        <f>IF(M865&gt;Analysis!$B$3*1.5,"High",IF(M865&lt;Analysis!$B$3*0.5,"Low","Medium"))</f>
        <v>Low</v>
      </c>
      <c r="P865" s="38" t="str">
        <f>VLOOKUP(dataset_A!C865,$Q$2:$R$5,2,0)</f>
        <v>Spring</v>
      </c>
      <c r="S865" s="38" t="str">
        <f t="array" ref="S865">INDEX($R$2:$R$5,MATCH(dataset_A!C865,$Q$2:$Q$5,0))</f>
        <v>Spring</v>
      </c>
      <c r="T865" s="38" t="str">
        <f t="shared" si="4"/>
        <v>Match</v>
      </c>
    </row>
    <row r="866" ht="12.75" customHeight="1">
      <c r="A866" s="38">
        <f>dataset_A!A866</f>
        <v>550</v>
      </c>
      <c r="B866" s="39">
        <f>dataset_A!B866</f>
        <v>40568</v>
      </c>
      <c r="C866" s="38">
        <f>dataset_A!F866</f>
        <v>1</v>
      </c>
      <c r="D866" s="38">
        <f>dataset_A!H866</f>
        <v>2</v>
      </c>
      <c r="E866" s="38" t="b">
        <f>dataset_A!G866</f>
        <v>0</v>
      </c>
      <c r="F866" s="38" t="b">
        <f>dataset_A!G866</f>
        <v>0</v>
      </c>
      <c r="G866" s="38" t="str">
        <f t="shared" si="1"/>
        <v>Weekday</v>
      </c>
      <c r="H866" s="38" t="str">
        <f t="shared" si="2"/>
        <v>Night</v>
      </c>
      <c r="I866" s="38" t="str">
        <f>IF(dataset_A!C866=1,"Spring",IF(dataset_A!C866=2,"Summer",IF(dataset_A!C866=3,"Fail","Winter")))</f>
        <v>Spring</v>
      </c>
      <c r="J866" s="38" t="str">
        <f>IF(dataset_A!I866=1,"Clear",IF(dataset_A!I866,"Mist/Cloudy",IF(dataset_A!I866=3,"Light Rain/Snow","Heavy Rain/Snow")))</f>
        <v>Mist/Cloudy</v>
      </c>
      <c r="K866" s="38">
        <f>dataset_A!N866</f>
        <v>0</v>
      </c>
      <c r="L866" s="38">
        <f>dataset_A!O866</f>
        <v>5</v>
      </c>
      <c r="M866" s="38">
        <f>dataset_A!P866</f>
        <v>5</v>
      </c>
      <c r="N866" s="38" t="str">
        <f t="shared" si="3"/>
        <v>Ok</v>
      </c>
      <c r="O866" s="38" t="str">
        <f>IF(M866&gt;Analysis!$B$3*1.5,"High",IF(M866&lt;Analysis!$B$3*0.5,"Low","Medium"))</f>
        <v>Low</v>
      </c>
      <c r="P866" s="38" t="str">
        <f>VLOOKUP(dataset_A!C866,$Q$2:$R$5,2,0)</f>
        <v>Spring</v>
      </c>
      <c r="S866" s="38" t="str">
        <f t="array" ref="S866">INDEX($R$2:$R$5,MATCH(dataset_A!C866,$Q$2:$Q$5,0))</f>
        <v>Spring</v>
      </c>
      <c r="T866" s="38" t="str">
        <f t="shared" si="4"/>
        <v>Match</v>
      </c>
    </row>
    <row r="867" ht="12.75" customHeight="1">
      <c r="A867" s="38">
        <f>dataset_A!A867</f>
        <v>573</v>
      </c>
      <c r="B867" s="39">
        <f>dataset_A!B867</f>
        <v>40569</v>
      </c>
      <c r="C867" s="38">
        <f>dataset_A!F867</f>
        <v>1</v>
      </c>
      <c r="D867" s="38">
        <f>dataset_A!H867</f>
        <v>3</v>
      </c>
      <c r="E867" s="38" t="b">
        <f>dataset_A!G867</f>
        <v>0</v>
      </c>
      <c r="F867" s="38" t="b">
        <f>dataset_A!G867</f>
        <v>0</v>
      </c>
      <c r="G867" s="38" t="str">
        <f t="shared" si="1"/>
        <v>Weekday</v>
      </c>
      <c r="H867" s="38" t="str">
        <f t="shared" si="2"/>
        <v>Night</v>
      </c>
      <c r="I867" s="38" t="str">
        <f>IF(dataset_A!C867=1,"Spring",IF(dataset_A!C867=2,"Summer",IF(dataset_A!C867=3,"Fail","Winter")))</f>
        <v>Spring</v>
      </c>
      <c r="J867" s="38" t="str">
        <f>IF(dataset_A!I867=1,"Clear",IF(dataset_A!I867,"Mist/Cloudy",IF(dataset_A!I867=3,"Light Rain/Snow","Heavy Rain/Snow")))</f>
        <v>Mist/Cloudy</v>
      </c>
      <c r="K867" s="38">
        <f>dataset_A!N867</f>
        <v>0</v>
      </c>
      <c r="L867" s="38">
        <f>dataset_A!O867</f>
        <v>5</v>
      </c>
      <c r="M867" s="38">
        <f>dataset_A!P867</f>
        <v>5</v>
      </c>
      <c r="N867" s="38" t="str">
        <f t="shared" si="3"/>
        <v>Ok</v>
      </c>
      <c r="O867" s="38" t="str">
        <f>IF(M867&gt;Analysis!$B$3*1.5,"High",IF(M867&lt;Analysis!$B$3*0.5,"Low","Medium"))</f>
        <v>Low</v>
      </c>
      <c r="P867" s="38" t="str">
        <f>VLOOKUP(dataset_A!C867,$Q$2:$R$5,2,0)</f>
        <v>Spring</v>
      </c>
      <c r="S867" s="38" t="str">
        <f t="array" ref="S867">INDEX($R$2:$R$5,MATCH(dataset_A!C867,$Q$2:$Q$5,0))</f>
        <v>Spring</v>
      </c>
      <c r="T867" s="38" t="str">
        <f t="shared" si="4"/>
        <v>Match</v>
      </c>
    </row>
    <row r="868" ht="12.75" customHeight="1">
      <c r="A868" s="38">
        <f>dataset_A!A868</f>
        <v>625</v>
      </c>
      <c r="B868" s="39">
        <f>dataset_A!B868</f>
        <v>40572</v>
      </c>
      <c r="C868" s="38">
        <f>dataset_A!F868</f>
        <v>7</v>
      </c>
      <c r="D868" s="38">
        <f>dataset_A!H868</f>
        <v>6</v>
      </c>
      <c r="E868" s="38" t="b">
        <f>dataset_A!G868</f>
        <v>0</v>
      </c>
      <c r="F868" s="38" t="b">
        <f>dataset_A!G868</f>
        <v>0</v>
      </c>
      <c r="G868" s="38" t="str">
        <f t="shared" si="1"/>
        <v>Weekend</v>
      </c>
      <c r="H868" s="38" t="str">
        <f t="shared" si="2"/>
        <v>Morning</v>
      </c>
      <c r="I868" s="38" t="str">
        <f>IF(dataset_A!C868=1,"Spring",IF(dataset_A!C868=2,"Summer",IF(dataset_A!C868=3,"Fail","Winter")))</f>
        <v>Spring</v>
      </c>
      <c r="J868" s="38" t="str">
        <f>IF(dataset_A!I868=1,"Clear",IF(dataset_A!I868,"Mist/Cloudy",IF(dataset_A!I868=3,"Light Rain/Snow","Heavy Rain/Snow")))</f>
        <v>Clear</v>
      </c>
      <c r="K868" s="38">
        <f>dataset_A!N868</f>
        <v>1</v>
      </c>
      <c r="L868" s="38">
        <f>dataset_A!O868</f>
        <v>4</v>
      </c>
      <c r="M868" s="38">
        <f>dataset_A!P868</f>
        <v>5</v>
      </c>
      <c r="N868" s="38" t="str">
        <f t="shared" si="3"/>
        <v>Ok</v>
      </c>
      <c r="O868" s="38" t="str">
        <f>IF(M868&gt;Analysis!$B$3*1.5,"High",IF(M868&lt;Analysis!$B$3*0.5,"Low","Medium"))</f>
        <v>Low</v>
      </c>
      <c r="P868" s="38" t="str">
        <f>VLOOKUP(dataset_A!C868,$Q$2:$R$5,2,0)</f>
        <v>Spring</v>
      </c>
      <c r="S868" s="38" t="str">
        <f t="array" ref="S868">INDEX($R$2:$R$5,MATCH(dataset_A!C868,$Q$2:$Q$5,0))</f>
        <v>Spring</v>
      </c>
      <c r="T868" s="38" t="str">
        <f t="shared" si="4"/>
        <v>Match</v>
      </c>
    </row>
    <row r="869" ht="12.75" customHeight="1">
      <c r="A869" s="38">
        <f>dataset_A!A869</f>
        <v>737</v>
      </c>
      <c r="B869" s="39">
        <f>dataset_A!B869</f>
        <v>40577</v>
      </c>
      <c r="C869" s="38">
        <f>dataset_A!F869</f>
        <v>1</v>
      </c>
      <c r="D869" s="38">
        <f>dataset_A!H869</f>
        <v>4</v>
      </c>
      <c r="E869" s="38" t="b">
        <f>dataset_A!G869</f>
        <v>0</v>
      </c>
      <c r="F869" s="38" t="b">
        <f>dataset_A!G869</f>
        <v>0</v>
      </c>
      <c r="G869" s="38" t="str">
        <f t="shared" si="1"/>
        <v>Weekday</v>
      </c>
      <c r="H869" s="38" t="str">
        <f t="shared" si="2"/>
        <v>Night</v>
      </c>
      <c r="I869" s="38" t="str">
        <f>IF(dataset_A!C869=1,"Spring",IF(dataset_A!C869=2,"Summer",IF(dataset_A!C869=3,"Fail","Winter")))</f>
        <v>Spring</v>
      </c>
      <c r="J869" s="38" t="str">
        <f>IF(dataset_A!I869=1,"Clear",IF(dataset_A!I869,"Mist/Cloudy",IF(dataset_A!I869=3,"Light Rain/Snow","Heavy Rain/Snow")))</f>
        <v>Clear</v>
      </c>
      <c r="K869" s="38">
        <f>dataset_A!N869</f>
        <v>0</v>
      </c>
      <c r="L869" s="38">
        <f>dataset_A!O869</f>
        <v>5</v>
      </c>
      <c r="M869" s="38">
        <f>dataset_A!P869</f>
        <v>5</v>
      </c>
      <c r="N869" s="38" t="str">
        <f t="shared" si="3"/>
        <v>Ok</v>
      </c>
      <c r="O869" s="38" t="str">
        <f>IF(M869&gt;Analysis!$B$3*1.5,"High",IF(M869&lt;Analysis!$B$3*0.5,"Low","Medium"))</f>
        <v>Low</v>
      </c>
      <c r="P869" s="38" t="str">
        <f>VLOOKUP(dataset_A!C869,$Q$2:$R$5,2,0)</f>
        <v>Spring</v>
      </c>
      <c r="S869" s="38" t="str">
        <f t="array" ref="S869">INDEX($R$2:$R$5,MATCH(dataset_A!C869,$Q$2:$Q$5,0))</f>
        <v>Spring</v>
      </c>
      <c r="T869" s="38" t="str">
        <f t="shared" si="4"/>
        <v>Match</v>
      </c>
    </row>
    <row r="870" ht="12.75" customHeight="1">
      <c r="A870" s="38">
        <f>dataset_A!A870</f>
        <v>831</v>
      </c>
      <c r="B870" s="39">
        <f>dataset_A!B870</f>
        <v>40581</v>
      </c>
      <c r="C870" s="38">
        <f>dataset_A!F870</f>
        <v>1</v>
      </c>
      <c r="D870" s="38">
        <f>dataset_A!H870</f>
        <v>1</v>
      </c>
      <c r="E870" s="38" t="b">
        <f>dataset_A!G870</f>
        <v>0</v>
      </c>
      <c r="F870" s="38" t="b">
        <f>dataset_A!G870</f>
        <v>0</v>
      </c>
      <c r="G870" s="38" t="str">
        <f t="shared" si="1"/>
        <v>Weekday</v>
      </c>
      <c r="H870" s="38" t="str">
        <f t="shared" si="2"/>
        <v>Night</v>
      </c>
      <c r="I870" s="38" t="str">
        <f>IF(dataset_A!C870=1,"Spring",IF(dataset_A!C870=2,"Summer",IF(dataset_A!C870=3,"Fail","Winter")))</f>
        <v>Spring</v>
      </c>
      <c r="J870" s="38" t="str">
        <f>IF(dataset_A!I870=1,"Clear",IF(dataset_A!I870,"Mist/Cloudy",IF(dataset_A!I870=3,"Light Rain/Snow","Heavy Rain/Snow")))</f>
        <v>Clear</v>
      </c>
      <c r="K870" s="38">
        <f>dataset_A!N870</f>
        <v>1</v>
      </c>
      <c r="L870" s="38">
        <f>dataset_A!O870</f>
        <v>4</v>
      </c>
      <c r="M870" s="38">
        <f>dataset_A!P870</f>
        <v>5</v>
      </c>
      <c r="N870" s="38" t="str">
        <f t="shared" si="3"/>
        <v>Ok</v>
      </c>
      <c r="O870" s="38" t="str">
        <f>IF(M870&gt;Analysis!$B$3*1.5,"High",IF(M870&lt;Analysis!$B$3*0.5,"Low","Medium"))</f>
        <v>Low</v>
      </c>
      <c r="P870" s="38" t="str">
        <f>VLOOKUP(dataset_A!C870,$Q$2:$R$5,2,0)</f>
        <v>Spring</v>
      </c>
      <c r="S870" s="38" t="str">
        <f t="array" ref="S870">INDEX($R$2:$R$5,MATCH(dataset_A!C870,$Q$2:$Q$5,0))</f>
        <v>Spring</v>
      </c>
      <c r="T870" s="38" t="str">
        <f t="shared" si="4"/>
        <v>Match</v>
      </c>
    </row>
    <row r="871" ht="12.75" customHeight="1">
      <c r="A871" s="38">
        <f>dataset_A!A871</f>
        <v>975</v>
      </c>
      <c r="B871" s="39">
        <f>dataset_A!B871</f>
        <v>40587</v>
      </c>
      <c r="C871" s="38">
        <f>dataset_A!F871</f>
        <v>6</v>
      </c>
      <c r="D871" s="38">
        <f>dataset_A!H871</f>
        <v>0</v>
      </c>
      <c r="E871" s="38" t="b">
        <f>dataset_A!G871</f>
        <v>0</v>
      </c>
      <c r="F871" s="38" t="b">
        <f>dataset_A!G871</f>
        <v>0</v>
      </c>
      <c r="G871" s="38" t="str">
        <f t="shared" si="1"/>
        <v>Weekend</v>
      </c>
      <c r="H871" s="38" t="str">
        <f t="shared" si="2"/>
        <v>Morning</v>
      </c>
      <c r="I871" s="38" t="str">
        <f>IF(dataset_A!C871=1,"Spring",IF(dataset_A!C871=2,"Summer",IF(dataset_A!C871=3,"Fail","Winter")))</f>
        <v>Spring</v>
      </c>
      <c r="J871" s="38" t="str">
        <f>IF(dataset_A!I871=1,"Clear",IF(dataset_A!I871,"Mist/Cloudy",IF(dataset_A!I871=3,"Light Rain/Snow","Heavy Rain/Snow")))</f>
        <v>Mist/Cloudy</v>
      </c>
      <c r="K871" s="38">
        <f>dataset_A!N871</f>
        <v>2</v>
      </c>
      <c r="L871" s="38">
        <f>dataset_A!O871</f>
        <v>3</v>
      </c>
      <c r="M871" s="38">
        <f>dataset_A!P871</f>
        <v>5</v>
      </c>
      <c r="N871" s="38" t="str">
        <f t="shared" si="3"/>
        <v>Ok</v>
      </c>
      <c r="O871" s="38" t="str">
        <f>IF(M871&gt;Analysis!$B$3*1.5,"High",IF(M871&lt;Analysis!$B$3*0.5,"Low","Medium"))</f>
        <v>Low</v>
      </c>
      <c r="P871" s="38" t="str">
        <f>VLOOKUP(dataset_A!C871,$Q$2:$R$5,2,0)</f>
        <v>Spring</v>
      </c>
      <c r="S871" s="38" t="str">
        <f t="array" ref="S871">INDEX($R$2:$R$5,MATCH(dataset_A!C871,$Q$2:$Q$5,0))</f>
        <v>Spring</v>
      </c>
      <c r="T871" s="38" t="str">
        <f t="shared" si="4"/>
        <v>Match</v>
      </c>
    </row>
    <row r="872" ht="12.75" customHeight="1">
      <c r="A872" s="38">
        <f>dataset_A!A872</f>
        <v>74</v>
      </c>
      <c r="B872" s="39">
        <f>dataset_A!B872</f>
        <v>40547</v>
      </c>
      <c r="C872" s="38">
        <f>dataset_A!F872</f>
        <v>5</v>
      </c>
      <c r="D872" s="38">
        <f>dataset_A!H872</f>
        <v>2</v>
      </c>
      <c r="E872" s="38" t="b">
        <f>dataset_A!G872</f>
        <v>0</v>
      </c>
      <c r="F872" s="38" t="b">
        <f>dataset_A!G872</f>
        <v>0</v>
      </c>
      <c r="G872" s="38" t="str">
        <f t="shared" si="1"/>
        <v>Weekday</v>
      </c>
      <c r="H872" s="38" t="str">
        <f t="shared" si="2"/>
        <v>Night</v>
      </c>
      <c r="I872" s="38" t="str">
        <f>IF(dataset_A!C872=1,"Spring",IF(dataset_A!C872=2,"Summer",IF(dataset_A!C872=3,"Fail","Winter")))</f>
        <v>Spring</v>
      </c>
      <c r="J872" s="38" t="str">
        <f>IF(dataset_A!I872=1,"Clear",IF(dataset_A!I872,"Mist/Cloudy",IF(dataset_A!I872=3,"Light Rain/Snow","Heavy Rain/Snow")))</f>
        <v>Clear</v>
      </c>
      <c r="K872" s="38">
        <f>dataset_A!N872</f>
        <v>0</v>
      </c>
      <c r="L872" s="38">
        <f>dataset_A!O872</f>
        <v>4</v>
      </c>
      <c r="M872" s="38">
        <f>dataset_A!P872</f>
        <v>4</v>
      </c>
      <c r="N872" s="38" t="str">
        <f t="shared" si="3"/>
        <v>Ok</v>
      </c>
      <c r="O872" s="38" t="str">
        <f>IF(M872&gt;Analysis!$B$3*1.5,"High",IF(M872&lt;Analysis!$B$3*0.5,"Low","Medium"))</f>
        <v>Low</v>
      </c>
      <c r="P872" s="38" t="str">
        <f>VLOOKUP(dataset_A!C872,$Q$2:$R$5,2,0)</f>
        <v>Spring</v>
      </c>
      <c r="S872" s="38" t="str">
        <f t="array" ref="S872">INDEX($R$2:$R$5,MATCH(dataset_A!C872,$Q$2:$Q$5,0))</f>
        <v>Spring</v>
      </c>
      <c r="T872" s="38" t="str">
        <f t="shared" si="4"/>
        <v>Match</v>
      </c>
    </row>
    <row r="873" ht="12.75" customHeight="1">
      <c r="A873" s="38">
        <f>dataset_A!A873</f>
        <v>117</v>
      </c>
      <c r="B873" s="39">
        <f>dataset_A!B873</f>
        <v>40549</v>
      </c>
      <c r="C873" s="38">
        <f>dataset_A!F873</f>
        <v>1</v>
      </c>
      <c r="D873" s="38">
        <f>dataset_A!H873</f>
        <v>4</v>
      </c>
      <c r="E873" s="38" t="b">
        <f>dataset_A!G873</f>
        <v>0</v>
      </c>
      <c r="F873" s="38" t="b">
        <f>dataset_A!G873</f>
        <v>0</v>
      </c>
      <c r="G873" s="38" t="str">
        <f t="shared" si="1"/>
        <v>Weekday</v>
      </c>
      <c r="H873" s="38" t="str">
        <f t="shared" si="2"/>
        <v>Night</v>
      </c>
      <c r="I873" s="38" t="str">
        <f>IF(dataset_A!C873=1,"Spring",IF(dataset_A!C873=2,"Summer",IF(dataset_A!C873=3,"Fail","Winter")))</f>
        <v>Spring</v>
      </c>
      <c r="J873" s="38" t="str">
        <f>IF(dataset_A!I873=1,"Clear",IF(dataset_A!I873,"Mist/Cloudy",IF(dataset_A!I873=3,"Light Rain/Snow","Heavy Rain/Snow")))</f>
        <v>Clear</v>
      </c>
      <c r="K873" s="38">
        <f>dataset_A!N873</f>
        <v>0</v>
      </c>
      <c r="L873" s="38">
        <f>dataset_A!O873</f>
        <v>4</v>
      </c>
      <c r="M873" s="38">
        <f>dataset_A!P873</f>
        <v>4</v>
      </c>
      <c r="N873" s="38" t="str">
        <f t="shared" si="3"/>
        <v>Ok</v>
      </c>
      <c r="O873" s="38" t="str">
        <f>IF(M873&gt;Analysis!$B$3*1.5,"High",IF(M873&lt;Analysis!$B$3*0.5,"Low","Medium"))</f>
        <v>Low</v>
      </c>
      <c r="P873" s="38" t="str">
        <f>VLOOKUP(dataset_A!C873,$Q$2:$R$5,2,0)</f>
        <v>Spring</v>
      </c>
      <c r="S873" s="38" t="str">
        <f t="array" ref="S873">INDEX($R$2:$R$5,MATCH(dataset_A!C873,$Q$2:$Q$5,0))</f>
        <v>Spring</v>
      </c>
      <c r="T873" s="38" t="str">
        <f t="shared" si="4"/>
        <v>Match</v>
      </c>
    </row>
    <row r="874" ht="12.75" customHeight="1">
      <c r="A874" s="38">
        <f>dataset_A!A874</f>
        <v>120</v>
      </c>
      <c r="B874" s="39">
        <f>dataset_A!B874</f>
        <v>40549</v>
      </c>
      <c r="C874" s="38">
        <f>dataset_A!F874</f>
        <v>5</v>
      </c>
      <c r="D874" s="38">
        <f>dataset_A!H874</f>
        <v>4</v>
      </c>
      <c r="E874" s="38" t="b">
        <f>dataset_A!G874</f>
        <v>0</v>
      </c>
      <c r="F874" s="38" t="b">
        <f>dataset_A!G874</f>
        <v>0</v>
      </c>
      <c r="G874" s="38" t="str">
        <f t="shared" si="1"/>
        <v>Weekday</v>
      </c>
      <c r="H874" s="38" t="str">
        <f t="shared" si="2"/>
        <v>Night</v>
      </c>
      <c r="I874" s="38" t="str">
        <f>IF(dataset_A!C874=1,"Spring",IF(dataset_A!C874=2,"Summer",IF(dataset_A!C874=3,"Fail","Winter")))</f>
        <v>Spring</v>
      </c>
      <c r="J874" s="38" t="str">
        <f>IF(dataset_A!I874=1,"Clear",IF(dataset_A!I874,"Mist/Cloudy",IF(dataset_A!I874=3,"Light Rain/Snow","Heavy Rain/Snow")))</f>
        <v>Mist/Cloudy</v>
      </c>
      <c r="K874" s="38">
        <f>dataset_A!N874</f>
        <v>0</v>
      </c>
      <c r="L874" s="38">
        <f>dataset_A!O874</f>
        <v>4</v>
      </c>
      <c r="M874" s="38">
        <f>dataset_A!P874</f>
        <v>4</v>
      </c>
      <c r="N874" s="38" t="str">
        <f t="shared" si="3"/>
        <v>Ok</v>
      </c>
      <c r="O874" s="38" t="str">
        <f>IF(M874&gt;Analysis!$B$3*1.5,"High",IF(M874&lt;Analysis!$B$3*0.5,"Low","Medium"))</f>
        <v>Low</v>
      </c>
      <c r="P874" s="38" t="str">
        <f>VLOOKUP(dataset_A!C874,$Q$2:$R$5,2,0)</f>
        <v>Spring</v>
      </c>
      <c r="S874" s="38" t="str">
        <f t="array" ref="S874">INDEX($R$2:$R$5,MATCH(dataset_A!C874,$Q$2:$Q$5,0))</f>
        <v>Spring</v>
      </c>
      <c r="T874" s="38" t="str">
        <f t="shared" si="4"/>
        <v>Match</v>
      </c>
    </row>
    <row r="875" ht="12.75" customHeight="1">
      <c r="A875" s="38">
        <f>dataset_A!A875</f>
        <v>189</v>
      </c>
      <c r="B875" s="39">
        <f>dataset_A!B875</f>
        <v>40552</v>
      </c>
      <c r="C875" s="38">
        <f>dataset_A!F875</f>
        <v>3</v>
      </c>
      <c r="D875" s="38">
        <f>dataset_A!H875</f>
        <v>0</v>
      </c>
      <c r="E875" s="38" t="b">
        <f>dataset_A!G875</f>
        <v>0</v>
      </c>
      <c r="F875" s="38" t="b">
        <f>dataset_A!G875</f>
        <v>0</v>
      </c>
      <c r="G875" s="38" t="str">
        <f t="shared" si="1"/>
        <v>Weekend</v>
      </c>
      <c r="H875" s="38" t="str">
        <f t="shared" si="2"/>
        <v>Night</v>
      </c>
      <c r="I875" s="38" t="str">
        <f>IF(dataset_A!C875=1,"Spring",IF(dataset_A!C875=2,"Summer",IF(dataset_A!C875=3,"Fail","Winter")))</f>
        <v>Spring</v>
      </c>
      <c r="J875" s="38" t="str">
        <f>IF(dataset_A!I875=1,"Clear",IF(dataset_A!I875,"Mist/Cloudy",IF(dataset_A!I875=3,"Light Rain/Snow","Heavy Rain/Snow")))</f>
        <v>Clear</v>
      </c>
      <c r="K875" s="38">
        <f>dataset_A!N875</f>
        <v>0</v>
      </c>
      <c r="L875" s="38">
        <f>dataset_A!O875</f>
        <v>4</v>
      </c>
      <c r="M875" s="38">
        <f>dataset_A!P875</f>
        <v>4</v>
      </c>
      <c r="N875" s="38" t="str">
        <f t="shared" si="3"/>
        <v>Ok</v>
      </c>
      <c r="O875" s="38" t="str">
        <f>IF(M875&gt;Analysis!$B$3*1.5,"High",IF(M875&lt;Analysis!$B$3*0.5,"Low","Medium"))</f>
        <v>Low</v>
      </c>
      <c r="P875" s="38" t="str">
        <f>VLOOKUP(dataset_A!C875,$Q$2:$R$5,2,0)</f>
        <v>Spring</v>
      </c>
      <c r="S875" s="38" t="str">
        <f t="array" ref="S875">INDEX($R$2:$R$5,MATCH(dataset_A!C875,$Q$2:$Q$5,0))</f>
        <v>Spring</v>
      </c>
      <c r="T875" s="38" t="str">
        <f t="shared" si="4"/>
        <v>Match</v>
      </c>
    </row>
    <row r="876" ht="12.75" customHeight="1">
      <c r="A876" s="38">
        <f>dataset_A!A876</f>
        <v>282</v>
      </c>
      <c r="B876" s="39">
        <f>dataset_A!B876</f>
        <v>40556</v>
      </c>
      <c r="C876" s="38">
        <f>dataset_A!F876</f>
        <v>4</v>
      </c>
      <c r="D876" s="38">
        <f>dataset_A!H876</f>
        <v>4</v>
      </c>
      <c r="E876" s="38" t="b">
        <f>dataset_A!G876</f>
        <v>0</v>
      </c>
      <c r="F876" s="38" t="b">
        <f>dataset_A!G876</f>
        <v>0</v>
      </c>
      <c r="G876" s="38" t="str">
        <f t="shared" si="1"/>
        <v>Weekday</v>
      </c>
      <c r="H876" s="38" t="str">
        <f t="shared" si="2"/>
        <v>Night</v>
      </c>
      <c r="I876" s="38" t="str">
        <f>IF(dataset_A!C876=1,"Spring",IF(dataset_A!C876=2,"Summer",IF(dataset_A!C876=3,"Fail","Winter")))</f>
        <v>Spring</v>
      </c>
      <c r="J876" s="38" t="str">
        <f>IF(dataset_A!I876=1,"Clear",IF(dataset_A!I876,"Mist/Cloudy",IF(dataset_A!I876=3,"Light Rain/Snow","Heavy Rain/Snow")))</f>
        <v>Clear</v>
      </c>
      <c r="K876" s="38">
        <f>dataset_A!N876</f>
        <v>0</v>
      </c>
      <c r="L876" s="38">
        <f>dataset_A!O876</f>
        <v>4</v>
      </c>
      <c r="M876" s="38">
        <f>dataset_A!P876</f>
        <v>4</v>
      </c>
      <c r="N876" s="38" t="str">
        <f t="shared" si="3"/>
        <v>Ok</v>
      </c>
      <c r="O876" s="38" t="str">
        <f>IF(M876&gt;Analysis!$B$3*1.5,"High",IF(M876&lt;Analysis!$B$3*0.5,"Low","Medium"))</f>
        <v>Low</v>
      </c>
      <c r="P876" s="38" t="str">
        <f>VLOOKUP(dataset_A!C876,$Q$2:$R$5,2,0)</f>
        <v>Spring</v>
      </c>
      <c r="S876" s="38" t="str">
        <f t="array" ref="S876">INDEX($R$2:$R$5,MATCH(dataset_A!C876,$Q$2:$Q$5,0))</f>
        <v>Spring</v>
      </c>
      <c r="T876" s="38" t="str">
        <f t="shared" si="4"/>
        <v>Match</v>
      </c>
    </row>
    <row r="877" ht="12.75" customHeight="1">
      <c r="A877" s="38">
        <f>dataset_A!A877</f>
        <v>396</v>
      </c>
      <c r="B877" s="39">
        <f>dataset_A!B877</f>
        <v>40560</v>
      </c>
      <c r="C877" s="38">
        <f>dataset_A!F877</f>
        <v>23</v>
      </c>
      <c r="D877" s="38">
        <f>dataset_A!H877</f>
        <v>1</v>
      </c>
      <c r="E877" s="38" t="b">
        <f>dataset_A!G877</f>
        <v>1</v>
      </c>
      <c r="F877" s="38" t="b">
        <f>dataset_A!G877</f>
        <v>1</v>
      </c>
      <c r="G877" s="38" t="str">
        <f t="shared" si="1"/>
        <v>Weekday</v>
      </c>
      <c r="H877" s="38" t="str">
        <f t="shared" si="2"/>
        <v>Evening</v>
      </c>
      <c r="I877" s="38" t="str">
        <f>IF(dataset_A!C877=1,"Spring",IF(dataset_A!C877=2,"Summer",IF(dataset_A!C877=3,"Fail","Winter")))</f>
        <v>Spring</v>
      </c>
      <c r="J877" s="38" t="str">
        <f>IF(dataset_A!I877=1,"Clear",IF(dataset_A!I877,"Mist/Cloudy",IF(dataset_A!I877=3,"Light Rain/Snow","Heavy Rain/Snow")))</f>
        <v>Mist/Cloudy</v>
      </c>
      <c r="K877" s="38">
        <f>dataset_A!N877</f>
        <v>1</v>
      </c>
      <c r="L877" s="38">
        <f>dataset_A!O877</f>
        <v>3</v>
      </c>
      <c r="M877" s="38">
        <f>dataset_A!P877</f>
        <v>4</v>
      </c>
      <c r="N877" s="38" t="str">
        <f t="shared" si="3"/>
        <v>Ok</v>
      </c>
      <c r="O877" s="38" t="str">
        <f>IF(M877&gt;Analysis!$B$3*1.5,"High",IF(M877&lt;Analysis!$B$3*0.5,"Low","Medium"))</f>
        <v>Low</v>
      </c>
      <c r="P877" s="38" t="str">
        <f>VLOOKUP(dataset_A!C877,$Q$2:$R$5,2,0)</f>
        <v>Spring</v>
      </c>
      <c r="S877" s="38" t="str">
        <f t="array" ref="S877">INDEX($R$2:$R$5,MATCH(dataset_A!C877,$Q$2:$Q$5,0))</f>
        <v>Spring</v>
      </c>
      <c r="T877" s="38" t="str">
        <f t="shared" si="4"/>
        <v>Match</v>
      </c>
    </row>
    <row r="878" ht="12.75" customHeight="1">
      <c r="A878" s="38">
        <f>dataset_A!A878</f>
        <v>600</v>
      </c>
      <c r="B878" s="39">
        <f>dataset_A!B878</f>
        <v>40571</v>
      </c>
      <c r="C878" s="38">
        <f>dataset_A!F878</f>
        <v>5</v>
      </c>
      <c r="D878" s="38">
        <f>dataset_A!H878</f>
        <v>5</v>
      </c>
      <c r="E878" s="38" t="b">
        <f>dataset_A!G878</f>
        <v>0</v>
      </c>
      <c r="F878" s="38" t="b">
        <f>dataset_A!G878</f>
        <v>0</v>
      </c>
      <c r="G878" s="38" t="str">
        <f t="shared" si="1"/>
        <v>Weekday</v>
      </c>
      <c r="H878" s="38" t="str">
        <f t="shared" si="2"/>
        <v>Night</v>
      </c>
      <c r="I878" s="38" t="str">
        <f>IF(dataset_A!C878=1,"Spring",IF(dataset_A!C878=2,"Summer",IF(dataset_A!C878=3,"Fail","Winter")))</f>
        <v>Spring</v>
      </c>
      <c r="J878" s="38" t="str">
        <f>IF(dataset_A!I878=1,"Clear",IF(dataset_A!I878,"Mist/Cloudy",IF(dataset_A!I878=3,"Light Rain/Snow","Heavy Rain/Snow")))</f>
        <v>Mist/Cloudy</v>
      </c>
      <c r="K878" s="38">
        <f>dataset_A!N878</f>
        <v>0</v>
      </c>
      <c r="L878" s="38">
        <f>dataset_A!O878</f>
        <v>4</v>
      </c>
      <c r="M878" s="38">
        <f>dataset_A!P878</f>
        <v>4</v>
      </c>
      <c r="N878" s="38" t="str">
        <f t="shared" si="3"/>
        <v>Ok</v>
      </c>
      <c r="O878" s="38" t="str">
        <f>IF(M878&gt;Analysis!$B$3*1.5,"High",IF(M878&lt;Analysis!$B$3*0.5,"Low","Medium"))</f>
        <v>Low</v>
      </c>
      <c r="P878" s="38" t="str">
        <f>VLOOKUP(dataset_A!C878,$Q$2:$R$5,2,0)</f>
        <v>Spring</v>
      </c>
      <c r="S878" s="38" t="str">
        <f t="array" ref="S878">INDEX($R$2:$R$5,MATCH(dataset_A!C878,$Q$2:$Q$5,0))</f>
        <v>Spring</v>
      </c>
      <c r="T878" s="38" t="str">
        <f t="shared" si="4"/>
        <v>Match</v>
      </c>
    </row>
    <row r="879" ht="12.75" customHeight="1">
      <c r="A879" s="38">
        <f>dataset_A!A879</f>
        <v>714</v>
      </c>
      <c r="B879" s="39">
        <f>dataset_A!B879</f>
        <v>40576</v>
      </c>
      <c r="C879" s="38">
        <f>dataset_A!F879</f>
        <v>2</v>
      </c>
      <c r="D879" s="38">
        <f>dataset_A!H879</f>
        <v>3</v>
      </c>
      <c r="E879" s="38" t="b">
        <f>dataset_A!G879</f>
        <v>0</v>
      </c>
      <c r="F879" s="38" t="b">
        <f>dataset_A!G879</f>
        <v>0</v>
      </c>
      <c r="G879" s="38" t="str">
        <f t="shared" si="1"/>
        <v>Weekday</v>
      </c>
      <c r="H879" s="38" t="str">
        <f t="shared" si="2"/>
        <v>Night</v>
      </c>
      <c r="I879" s="38" t="str">
        <f>IF(dataset_A!C879=1,"Spring",IF(dataset_A!C879=2,"Summer",IF(dataset_A!C879=3,"Fail","Winter")))</f>
        <v>Spring</v>
      </c>
      <c r="J879" s="38" t="str">
        <f>IF(dataset_A!I879=1,"Clear",IF(dataset_A!I879,"Mist/Cloudy",IF(dataset_A!I879=3,"Light Rain/Snow","Heavy Rain/Snow")))</f>
        <v>Mist/Cloudy</v>
      </c>
      <c r="K879" s="38">
        <f>dataset_A!N879</f>
        <v>4</v>
      </c>
      <c r="L879" s="38">
        <f>dataset_A!O879</f>
        <v>0</v>
      </c>
      <c r="M879" s="38">
        <f>dataset_A!P879</f>
        <v>4</v>
      </c>
      <c r="N879" s="38" t="str">
        <f t="shared" si="3"/>
        <v>Ok</v>
      </c>
      <c r="O879" s="38" t="str">
        <f>IF(M879&gt;Analysis!$B$3*1.5,"High",IF(M879&lt;Analysis!$B$3*0.5,"Low","Medium"))</f>
        <v>Low</v>
      </c>
      <c r="P879" s="38" t="str">
        <f>VLOOKUP(dataset_A!C879,$Q$2:$R$5,2,0)</f>
        <v>Spring</v>
      </c>
      <c r="S879" s="38" t="str">
        <f t="array" ref="S879">INDEX($R$2:$R$5,MATCH(dataset_A!C879,$Q$2:$Q$5,0))</f>
        <v>Spring</v>
      </c>
      <c r="T879" s="38" t="str">
        <f t="shared" si="4"/>
        <v>Match</v>
      </c>
    </row>
    <row r="880" ht="12.75" customHeight="1">
      <c r="A880" s="38">
        <f>dataset_A!A880</f>
        <v>788</v>
      </c>
      <c r="B880" s="39">
        <f>dataset_A!B880</f>
        <v>40579</v>
      </c>
      <c r="C880" s="38">
        <f>dataset_A!F880</f>
        <v>6</v>
      </c>
      <c r="D880" s="38">
        <f>dataset_A!H880</f>
        <v>6</v>
      </c>
      <c r="E880" s="38" t="b">
        <f>dataset_A!G880</f>
        <v>0</v>
      </c>
      <c r="F880" s="38" t="b">
        <f>dataset_A!G880</f>
        <v>0</v>
      </c>
      <c r="G880" s="38" t="str">
        <f t="shared" si="1"/>
        <v>Weekend</v>
      </c>
      <c r="H880" s="38" t="str">
        <f t="shared" si="2"/>
        <v>Morning</v>
      </c>
      <c r="I880" s="38" t="str">
        <f>IF(dataset_A!C880=1,"Spring",IF(dataset_A!C880=2,"Summer",IF(dataset_A!C880=3,"Fail","Winter")))</f>
        <v>Spring</v>
      </c>
      <c r="J880" s="38" t="str">
        <f>IF(dataset_A!I880=1,"Clear",IF(dataset_A!I880,"Mist/Cloudy",IF(dataset_A!I880=3,"Light Rain/Snow","Heavy Rain/Snow")))</f>
        <v>Mist/Cloudy</v>
      </c>
      <c r="K880" s="38">
        <f>dataset_A!N880</f>
        <v>0</v>
      </c>
      <c r="L880" s="38">
        <f>dataset_A!O880</f>
        <v>4</v>
      </c>
      <c r="M880" s="38">
        <f>dataset_A!P880</f>
        <v>4</v>
      </c>
      <c r="N880" s="38" t="str">
        <f t="shared" si="3"/>
        <v>Ok</v>
      </c>
      <c r="O880" s="38" t="str">
        <f>IF(M880&gt;Analysis!$B$3*1.5,"High",IF(M880&lt;Analysis!$B$3*0.5,"Low","Medium"))</f>
        <v>Low</v>
      </c>
      <c r="P880" s="38" t="str">
        <f>VLOOKUP(dataset_A!C880,$Q$2:$R$5,2,0)</f>
        <v>Spring</v>
      </c>
      <c r="S880" s="38" t="str">
        <f t="array" ref="S880">INDEX($R$2:$R$5,MATCH(dataset_A!C880,$Q$2:$Q$5,0))</f>
        <v>Spring</v>
      </c>
      <c r="T880" s="38" t="str">
        <f t="shared" si="4"/>
        <v>Match</v>
      </c>
    </row>
    <row r="881" ht="12.75" customHeight="1">
      <c r="A881" s="38">
        <f>dataset_A!A881</f>
        <v>789</v>
      </c>
      <c r="B881" s="39">
        <f>dataset_A!B881</f>
        <v>40579</v>
      </c>
      <c r="C881" s="38">
        <f>dataset_A!F881</f>
        <v>7</v>
      </c>
      <c r="D881" s="38">
        <f>dataset_A!H881</f>
        <v>6</v>
      </c>
      <c r="E881" s="38" t="b">
        <f>dataset_A!G881</f>
        <v>0</v>
      </c>
      <c r="F881" s="38" t="b">
        <f>dataset_A!G881</f>
        <v>0</v>
      </c>
      <c r="G881" s="38" t="str">
        <f t="shared" si="1"/>
        <v>Weekend</v>
      </c>
      <c r="H881" s="38" t="str">
        <f t="shared" si="2"/>
        <v>Morning</v>
      </c>
      <c r="I881" s="38" t="str">
        <f>IF(dataset_A!C881=1,"Spring",IF(dataset_A!C881=2,"Summer",IF(dataset_A!C881=3,"Fail","Winter")))</f>
        <v>Spring</v>
      </c>
      <c r="J881" s="38" t="str">
        <f>IF(dataset_A!I881=1,"Clear",IF(dataset_A!I881,"Mist/Cloudy",IF(dataset_A!I881=3,"Light Rain/Snow","Heavy Rain/Snow")))</f>
        <v>Mist/Cloudy</v>
      </c>
      <c r="K881" s="38">
        <f>dataset_A!N881</f>
        <v>0</v>
      </c>
      <c r="L881" s="38">
        <f>dataset_A!O881</f>
        <v>4</v>
      </c>
      <c r="M881" s="38">
        <f>dataset_A!P881</f>
        <v>4</v>
      </c>
      <c r="N881" s="38" t="str">
        <f t="shared" si="3"/>
        <v>Ok</v>
      </c>
      <c r="O881" s="38" t="str">
        <f>IF(M881&gt;Analysis!$B$3*1.5,"High",IF(M881&lt;Analysis!$B$3*0.5,"Low","Medium"))</f>
        <v>Low</v>
      </c>
      <c r="P881" s="38" t="str">
        <f>VLOOKUP(dataset_A!C881,$Q$2:$R$5,2,0)</f>
        <v>Spring</v>
      </c>
      <c r="S881" s="38" t="str">
        <f t="array" ref="S881">INDEX($R$2:$R$5,MATCH(dataset_A!C881,$Q$2:$Q$5,0))</f>
        <v>Spring</v>
      </c>
      <c r="T881" s="38" t="str">
        <f t="shared" si="4"/>
        <v>Match</v>
      </c>
    </row>
    <row r="882" ht="12.75" customHeight="1">
      <c r="A882" s="38">
        <f>dataset_A!A882</f>
        <v>855</v>
      </c>
      <c r="B882" s="39">
        <f>dataset_A!B882</f>
        <v>40582</v>
      </c>
      <c r="C882" s="38">
        <f>dataset_A!F882</f>
        <v>1</v>
      </c>
      <c r="D882" s="38">
        <f>dataset_A!H882</f>
        <v>2</v>
      </c>
      <c r="E882" s="38" t="b">
        <f>dataset_A!G882</f>
        <v>0</v>
      </c>
      <c r="F882" s="38" t="b">
        <f>dataset_A!G882</f>
        <v>0</v>
      </c>
      <c r="G882" s="38" t="str">
        <f t="shared" si="1"/>
        <v>Weekday</v>
      </c>
      <c r="H882" s="38" t="str">
        <f t="shared" si="2"/>
        <v>Night</v>
      </c>
      <c r="I882" s="38" t="str">
        <f>IF(dataset_A!C882=1,"Spring",IF(dataset_A!C882=2,"Summer",IF(dataset_A!C882=3,"Fail","Winter")))</f>
        <v>Spring</v>
      </c>
      <c r="J882" s="38" t="str">
        <f>IF(dataset_A!I882=1,"Clear",IF(dataset_A!I882,"Mist/Cloudy",IF(dataset_A!I882=3,"Light Rain/Snow","Heavy Rain/Snow")))</f>
        <v>Mist/Cloudy</v>
      </c>
      <c r="K882" s="38">
        <f>dataset_A!N882</f>
        <v>0</v>
      </c>
      <c r="L882" s="38">
        <f>dataset_A!O882</f>
        <v>4</v>
      </c>
      <c r="M882" s="38">
        <f>dataset_A!P882</f>
        <v>4</v>
      </c>
      <c r="N882" s="38" t="str">
        <f t="shared" si="3"/>
        <v>Ok</v>
      </c>
      <c r="O882" s="38" t="str">
        <f>IF(M882&gt;Analysis!$B$3*1.5,"High",IF(M882&lt;Analysis!$B$3*0.5,"Low","Medium"))</f>
        <v>Low</v>
      </c>
      <c r="P882" s="38" t="str">
        <f>VLOOKUP(dataset_A!C882,$Q$2:$R$5,2,0)</f>
        <v>Spring</v>
      </c>
      <c r="S882" s="38" t="str">
        <f t="array" ref="S882">INDEX($R$2:$R$5,MATCH(dataset_A!C882,$Q$2:$Q$5,0))</f>
        <v>Spring</v>
      </c>
      <c r="T882" s="38" t="str">
        <f t="shared" si="4"/>
        <v>Match</v>
      </c>
    </row>
    <row r="883" ht="12.75" customHeight="1">
      <c r="A883" s="38">
        <f>dataset_A!A883</f>
        <v>927</v>
      </c>
      <c r="B883" s="39">
        <f>dataset_A!B883</f>
        <v>40585</v>
      </c>
      <c r="C883" s="38">
        <f>dataset_A!F883</f>
        <v>5</v>
      </c>
      <c r="D883" s="38">
        <f>dataset_A!H883</f>
        <v>5</v>
      </c>
      <c r="E883" s="38" t="b">
        <f>dataset_A!G883</f>
        <v>0</v>
      </c>
      <c r="F883" s="38" t="b">
        <f>dataset_A!G883</f>
        <v>0</v>
      </c>
      <c r="G883" s="38" t="str">
        <f t="shared" si="1"/>
        <v>Weekday</v>
      </c>
      <c r="H883" s="38" t="str">
        <f t="shared" si="2"/>
        <v>Night</v>
      </c>
      <c r="I883" s="38" t="str">
        <f>IF(dataset_A!C883=1,"Spring",IF(dataset_A!C883=2,"Summer",IF(dataset_A!C883=3,"Fail","Winter")))</f>
        <v>Spring</v>
      </c>
      <c r="J883" s="38" t="str">
        <f>IF(dataset_A!I883=1,"Clear",IF(dataset_A!I883,"Mist/Cloudy",IF(dataset_A!I883=3,"Light Rain/Snow","Heavy Rain/Snow")))</f>
        <v>Clear</v>
      </c>
      <c r="K883" s="38">
        <f>dataset_A!N883</f>
        <v>0</v>
      </c>
      <c r="L883" s="38">
        <f>dataset_A!O883</f>
        <v>4</v>
      </c>
      <c r="M883" s="38">
        <f>dataset_A!P883</f>
        <v>4</v>
      </c>
      <c r="N883" s="38" t="str">
        <f t="shared" si="3"/>
        <v>Ok</v>
      </c>
      <c r="O883" s="38" t="str">
        <f>IF(M883&gt;Analysis!$B$3*1.5,"High",IF(M883&lt;Analysis!$B$3*0.5,"Low","Medium"))</f>
        <v>Low</v>
      </c>
      <c r="P883" s="38" t="str">
        <f>VLOOKUP(dataset_A!C883,$Q$2:$R$5,2,0)</f>
        <v>Spring</v>
      </c>
      <c r="S883" s="38" t="str">
        <f t="array" ref="S883">INDEX($R$2:$R$5,MATCH(dataset_A!C883,$Q$2:$Q$5,0))</f>
        <v>Spring</v>
      </c>
      <c r="T883" s="38" t="str">
        <f t="shared" si="4"/>
        <v>Match</v>
      </c>
    </row>
    <row r="884" ht="12.75" customHeight="1">
      <c r="A884" s="38">
        <f>dataset_A!A884</f>
        <v>950</v>
      </c>
      <c r="B884" s="39">
        <f>dataset_A!B884</f>
        <v>40586</v>
      </c>
      <c r="C884" s="38">
        <f>dataset_A!F884</f>
        <v>4</v>
      </c>
      <c r="D884" s="38">
        <f>dataset_A!H884</f>
        <v>6</v>
      </c>
      <c r="E884" s="38" t="b">
        <f>dataset_A!G884</f>
        <v>0</v>
      </c>
      <c r="F884" s="38" t="b">
        <f>dataset_A!G884</f>
        <v>0</v>
      </c>
      <c r="G884" s="38" t="str">
        <f t="shared" si="1"/>
        <v>Weekend</v>
      </c>
      <c r="H884" s="38" t="str">
        <f t="shared" si="2"/>
        <v>Night</v>
      </c>
      <c r="I884" s="38" t="str">
        <f>IF(dataset_A!C884=1,"Spring",IF(dataset_A!C884=2,"Summer",IF(dataset_A!C884=3,"Fail","Winter")))</f>
        <v>Spring</v>
      </c>
      <c r="J884" s="38" t="str">
        <f>IF(dataset_A!I884=1,"Clear",IF(dataset_A!I884,"Mist/Cloudy",IF(dataset_A!I884=3,"Light Rain/Snow","Heavy Rain/Snow")))</f>
        <v>Clear</v>
      </c>
      <c r="K884" s="38">
        <f>dataset_A!N884</f>
        <v>0</v>
      </c>
      <c r="L884" s="38">
        <f>dataset_A!O884</f>
        <v>4</v>
      </c>
      <c r="M884" s="38">
        <f>dataset_A!P884</f>
        <v>4</v>
      </c>
      <c r="N884" s="38" t="str">
        <f t="shared" si="3"/>
        <v>Ok</v>
      </c>
      <c r="O884" s="38" t="str">
        <f>IF(M884&gt;Analysis!$B$3*1.5,"High",IF(M884&lt;Analysis!$B$3*0.5,"Low","Medium"))</f>
        <v>Low</v>
      </c>
      <c r="P884" s="38" t="str">
        <f>VLOOKUP(dataset_A!C884,$Q$2:$R$5,2,0)</f>
        <v>Spring</v>
      </c>
      <c r="S884" s="38" t="str">
        <f t="array" ref="S884">INDEX($R$2:$R$5,MATCH(dataset_A!C884,$Q$2:$Q$5,0))</f>
        <v>Spring</v>
      </c>
      <c r="T884" s="38" t="str">
        <f t="shared" si="4"/>
        <v>Match</v>
      </c>
    </row>
    <row r="885" ht="12.75" customHeight="1">
      <c r="A885" s="38">
        <f>dataset_A!A885</f>
        <v>8</v>
      </c>
      <c r="B885" s="39">
        <f>dataset_A!B885</f>
        <v>40544</v>
      </c>
      <c r="C885" s="38">
        <f>dataset_A!F885</f>
        <v>7</v>
      </c>
      <c r="D885" s="38">
        <f>dataset_A!H885</f>
        <v>6</v>
      </c>
      <c r="E885" s="38" t="b">
        <f>dataset_A!G885</f>
        <v>0</v>
      </c>
      <c r="F885" s="38" t="b">
        <f>dataset_A!G885</f>
        <v>0</v>
      </c>
      <c r="G885" s="38" t="str">
        <f t="shared" si="1"/>
        <v>Weekend</v>
      </c>
      <c r="H885" s="38" t="str">
        <f t="shared" si="2"/>
        <v>Morning</v>
      </c>
      <c r="I885" s="38" t="str">
        <f>IF(dataset_A!C885=1,"Spring",IF(dataset_A!C885=2,"Summer",IF(dataset_A!C885=3,"Fail","Winter")))</f>
        <v>Spring</v>
      </c>
      <c r="J885" s="38" t="str">
        <f>IF(dataset_A!I885=1,"Clear",IF(dataset_A!I885,"Mist/Cloudy",IF(dataset_A!I885=3,"Light Rain/Snow","Heavy Rain/Snow")))</f>
        <v>Clear</v>
      </c>
      <c r="K885" s="38">
        <f>dataset_A!N885</f>
        <v>1</v>
      </c>
      <c r="L885" s="38">
        <f>dataset_A!O885</f>
        <v>2</v>
      </c>
      <c r="M885" s="38">
        <f>dataset_A!P885</f>
        <v>3</v>
      </c>
      <c r="N885" s="38" t="str">
        <f t="shared" si="3"/>
        <v>Ok</v>
      </c>
      <c r="O885" s="38" t="str">
        <f>IF(M885&gt;Analysis!$B$3*1.5,"High",IF(M885&lt;Analysis!$B$3*0.5,"Low","Medium"))</f>
        <v>Low</v>
      </c>
      <c r="P885" s="38" t="str">
        <f>VLOOKUP(dataset_A!C885,$Q$2:$R$5,2,0)</f>
        <v>Spring</v>
      </c>
      <c r="S885" s="38" t="str">
        <f t="array" ref="S885">INDEX($R$2:$R$5,MATCH(dataset_A!C885,$Q$2:$Q$5,0))</f>
        <v>Spring</v>
      </c>
      <c r="T885" s="38" t="str">
        <f t="shared" si="4"/>
        <v>Match</v>
      </c>
    </row>
    <row r="886" ht="12.75" customHeight="1">
      <c r="A886" s="38">
        <f>dataset_A!A886</f>
        <v>29</v>
      </c>
      <c r="B886" s="39">
        <f>dataset_A!B886</f>
        <v>40545</v>
      </c>
      <c r="C886" s="38">
        <f>dataset_A!F886</f>
        <v>4</v>
      </c>
      <c r="D886" s="38">
        <f>dataset_A!H886</f>
        <v>0</v>
      </c>
      <c r="E886" s="38" t="b">
        <f>dataset_A!G886</f>
        <v>0</v>
      </c>
      <c r="F886" s="38" t="b">
        <f>dataset_A!G886</f>
        <v>0</v>
      </c>
      <c r="G886" s="38" t="str">
        <f t="shared" si="1"/>
        <v>Weekend</v>
      </c>
      <c r="H886" s="38" t="str">
        <f t="shared" si="2"/>
        <v>Night</v>
      </c>
      <c r="I886" s="38" t="str">
        <f>IF(dataset_A!C886=1,"Spring",IF(dataset_A!C886=2,"Summer",IF(dataset_A!C886=3,"Fail","Winter")))</f>
        <v>Spring</v>
      </c>
      <c r="J886" s="38" t="str">
        <f>IF(dataset_A!I886=1,"Clear",IF(dataset_A!I886,"Mist/Cloudy",IF(dataset_A!I886=3,"Light Rain/Snow","Heavy Rain/Snow")))</f>
        <v>Mist/Cloudy</v>
      </c>
      <c r="K886" s="38">
        <f>dataset_A!N886</f>
        <v>2</v>
      </c>
      <c r="L886" s="38">
        <f>dataset_A!O886</f>
        <v>1</v>
      </c>
      <c r="M886" s="38">
        <f>dataset_A!P886</f>
        <v>3</v>
      </c>
      <c r="N886" s="38" t="str">
        <f t="shared" si="3"/>
        <v>Ok</v>
      </c>
      <c r="O886" s="38" t="str">
        <f>IF(M886&gt;Analysis!$B$3*1.5,"High",IF(M886&lt;Analysis!$B$3*0.5,"Low","Medium"))</f>
        <v>Low</v>
      </c>
      <c r="P886" s="38" t="str">
        <f>VLOOKUP(dataset_A!C886,$Q$2:$R$5,2,0)</f>
        <v>Spring</v>
      </c>
      <c r="S886" s="38" t="str">
        <f t="array" ref="S886">INDEX($R$2:$R$5,MATCH(dataset_A!C886,$Q$2:$Q$5,0))</f>
        <v>Spring</v>
      </c>
      <c r="T886" s="38" t="str">
        <f t="shared" si="4"/>
        <v>Match</v>
      </c>
    </row>
    <row r="887" ht="12.75" customHeight="1">
      <c r="A887" s="38">
        <f>dataset_A!A887</f>
        <v>51</v>
      </c>
      <c r="B887" s="39">
        <f>dataset_A!B887</f>
        <v>40546</v>
      </c>
      <c r="C887" s="38">
        <f>dataset_A!F887</f>
        <v>5</v>
      </c>
      <c r="D887" s="38">
        <f>dataset_A!H887</f>
        <v>1</v>
      </c>
      <c r="E887" s="38" t="b">
        <f>dataset_A!G887</f>
        <v>0</v>
      </c>
      <c r="F887" s="38" t="b">
        <f>dataset_A!G887</f>
        <v>0</v>
      </c>
      <c r="G887" s="38" t="str">
        <f t="shared" si="1"/>
        <v>Weekday</v>
      </c>
      <c r="H887" s="38" t="str">
        <f t="shared" si="2"/>
        <v>Night</v>
      </c>
      <c r="I887" s="38" t="str">
        <f>IF(dataset_A!C887=1,"Spring",IF(dataset_A!C887=2,"Summer",IF(dataset_A!C887=3,"Fail","Winter")))</f>
        <v>Spring</v>
      </c>
      <c r="J887" s="38" t="str">
        <f>IF(dataset_A!I887=1,"Clear",IF(dataset_A!I887,"Mist/Cloudy",IF(dataset_A!I887=3,"Light Rain/Snow","Heavy Rain/Snow")))</f>
        <v>Clear</v>
      </c>
      <c r="K887" s="38">
        <f>dataset_A!N887</f>
        <v>0</v>
      </c>
      <c r="L887" s="38">
        <f>dataset_A!O887</f>
        <v>3</v>
      </c>
      <c r="M887" s="38">
        <f>dataset_A!P887</f>
        <v>3</v>
      </c>
      <c r="N887" s="38" t="str">
        <f t="shared" si="3"/>
        <v>Ok</v>
      </c>
      <c r="O887" s="38" t="str">
        <f>IF(M887&gt;Analysis!$B$3*1.5,"High",IF(M887&lt;Analysis!$B$3*0.5,"Low","Medium"))</f>
        <v>Low</v>
      </c>
      <c r="P887" s="38" t="str">
        <f>VLOOKUP(dataset_A!C887,$Q$2:$R$5,2,0)</f>
        <v>Spring</v>
      </c>
      <c r="S887" s="38" t="str">
        <f t="array" ref="S887">INDEX($R$2:$R$5,MATCH(dataset_A!C887,$Q$2:$Q$5,0))</f>
        <v>Spring</v>
      </c>
      <c r="T887" s="38" t="str">
        <f t="shared" si="4"/>
        <v>Match</v>
      </c>
    </row>
    <row r="888" ht="12.75" customHeight="1">
      <c r="A888" s="38">
        <f>dataset_A!A888</f>
        <v>97</v>
      </c>
      <c r="B888" s="39">
        <f>dataset_A!B888</f>
        <v>40548</v>
      </c>
      <c r="C888" s="38">
        <f>dataset_A!F888</f>
        <v>5</v>
      </c>
      <c r="D888" s="38">
        <f>dataset_A!H888</f>
        <v>3</v>
      </c>
      <c r="E888" s="38" t="b">
        <f>dataset_A!G888</f>
        <v>0</v>
      </c>
      <c r="F888" s="38" t="b">
        <f>dataset_A!G888</f>
        <v>0</v>
      </c>
      <c r="G888" s="38" t="str">
        <f t="shared" si="1"/>
        <v>Weekday</v>
      </c>
      <c r="H888" s="38" t="str">
        <f t="shared" si="2"/>
        <v>Night</v>
      </c>
      <c r="I888" s="38" t="str">
        <f>IF(dataset_A!C888=1,"Spring",IF(dataset_A!C888=2,"Summer",IF(dataset_A!C888=3,"Fail","Winter")))</f>
        <v>Spring</v>
      </c>
      <c r="J888" s="38" t="str">
        <f>IF(dataset_A!I888=1,"Clear",IF(dataset_A!I888,"Mist/Cloudy",IF(dataset_A!I888=3,"Light Rain/Snow","Heavy Rain/Snow")))</f>
        <v>Clear</v>
      </c>
      <c r="K888" s="38">
        <f>dataset_A!N888</f>
        <v>0</v>
      </c>
      <c r="L888" s="38">
        <f>dataset_A!O888</f>
        <v>3</v>
      </c>
      <c r="M888" s="38">
        <f>dataset_A!P888</f>
        <v>3</v>
      </c>
      <c r="N888" s="38" t="str">
        <f t="shared" si="3"/>
        <v>Ok</v>
      </c>
      <c r="O888" s="38" t="str">
        <f>IF(M888&gt;Analysis!$B$3*1.5,"High",IF(M888&lt;Analysis!$B$3*0.5,"Low","Medium"))</f>
        <v>Low</v>
      </c>
      <c r="P888" s="38" t="str">
        <f>VLOOKUP(dataset_A!C888,$Q$2:$R$5,2,0)</f>
        <v>Spring</v>
      </c>
      <c r="S888" s="38" t="str">
        <f t="array" ref="S888">INDEX($R$2:$R$5,MATCH(dataset_A!C888,$Q$2:$Q$5,0))</f>
        <v>Spring</v>
      </c>
      <c r="T888" s="38" t="str">
        <f t="shared" si="4"/>
        <v>Match</v>
      </c>
    </row>
    <row r="889" ht="12.75" customHeight="1">
      <c r="A889" s="38">
        <f>dataset_A!A889</f>
        <v>212</v>
      </c>
      <c r="B889" s="39">
        <f>dataset_A!B889</f>
        <v>40553</v>
      </c>
      <c r="C889" s="38">
        <f>dataset_A!F889</f>
        <v>2</v>
      </c>
      <c r="D889" s="38">
        <f>dataset_A!H889</f>
        <v>1</v>
      </c>
      <c r="E889" s="38" t="b">
        <f>dataset_A!G889</f>
        <v>0</v>
      </c>
      <c r="F889" s="38" t="b">
        <f>dataset_A!G889</f>
        <v>0</v>
      </c>
      <c r="G889" s="38" t="str">
        <f t="shared" si="1"/>
        <v>Weekday</v>
      </c>
      <c r="H889" s="38" t="str">
        <f t="shared" si="2"/>
        <v>Night</v>
      </c>
      <c r="I889" s="38" t="str">
        <f>IF(dataset_A!C889=1,"Spring",IF(dataset_A!C889=2,"Summer",IF(dataset_A!C889=3,"Fail","Winter")))</f>
        <v>Spring</v>
      </c>
      <c r="J889" s="38" t="str">
        <f>IF(dataset_A!I889=1,"Clear",IF(dataset_A!I889,"Mist/Cloudy",IF(dataset_A!I889=3,"Light Rain/Snow","Heavy Rain/Snow")))</f>
        <v>Clear</v>
      </c>
      <c r="K889" s="38">
        <f>dataset_A!N889</f>
        <v>0</v>
      </c>
      <c r="L889" s="38">
        <f>dataset_A!O889</f>
        <v>3</v>
      </c>
      <c r="M889" s="38">
        <f>dataset_A!P889</f>
        <v>3</v>
      </c>
      <c r="N889" s="38" t="str">
        <f t="shared" si="3"/>
        <v>Ok</v>
      </c>
      <c r="O889" s="38" t="str">
        <f>IF(M889&gt;Analysis!$B$3*1.5,"High",IF(M889&lt;Analysis!$B$3*0.5,"Low","Medium"))</f>
        <v>Low</v>
      </c>
      <c r="P889" s="38" t="str">
        <f>VLOOKUP(dataset_A!C889,$Q$2:$R$5,2,0)</f>
        <v>Spring</v>
      </c>
      <c r="S889" s="38" t="str">
        <f t="array" ref="S889">INDEX($R$2:$R$5,MATCH(dataset_A!C889,$Q$2:$Q$5,0))</f>
        <v>Spring</v>
      </c>
      <c r="T889" s="38" t="str">
        <f t="shared" si="4"/>
        <v>Match</v>
      </c>
    </row>
    <row r="890" ht="12.75" customHeight="1">
      <c r="A890" s="38">
        <f>dataset_A!A890</f>
        <v>214</v>
      </c>
      <c r="B890" s="39">
        <f>dataset_A!B890</f>
        <v>40553</v>
      </c>
      <c r="C890" s="38">
        <f>dataset_A!F890</f>
        <v>4</v>
      </c>
      <c r="D890" s="38">
        <f>dataset_A!H890</f>
        <v>1</v>
      </c>
      <c r="E890" s="38" t="b">
        <f>dataset_A!G890</f>
        <v>0</v>
      </c>
      <c r="F890" s="38" t="b">
        <f>dataset_A!G890</f>
        <v>0</v>
      </c>
      <c r="G890" s="38" t="str">
        <f t="shared" si="1"/>
        <v>Weekday</v>
      </c>
      <c r="H890" s="38" t="str">
        <f t="shared" si="2"/>
        <v>Night</v>
      </c>
      <c r="I890" s="38" t="str">
        <f>IF(dataset_A!C890=1,"Spring",IF(dataset_A!C890=2,"Summer",IF(dataset_A!C890=3,"Fail","Winter")))</f>
        <v>Spring</v>
      </c>
      <c r="J890" s="38" t="str">
        <f>IF(dataset_A!I890=1,"Clear",IF(dataset_A!I890,"Mist/Cloudy",IF(dataset_A!I890=3,"Light Rain/Snow","Heavy Rain/Snow")))</f>
        <v>Clear</v>
      </c>
      <c r="K890" s="38">
        <f>dataset_A!N890</f>
        <v>1</v>
      </c>
      <c r="L890" s="38">
        <f>dataset_A!O890</f>
        <v>2</v>
      </c>
      <c r="M890" s="38">
        <f>dataset_A!P890</f>
        <v>3</v>
      </c>
      <c r="N890" s="38" t="str">
        <f t="shared" si="3"/>
        <v>Ok</v>
      </c>
      <c r="O890" s="38" t="str">
        <f>IF(M890&gt;Analysis!$B$3*1.5,"High",IF(M890&lt;Analysis!$B$3*0.5,"Low","Medium"))</f>
        <v>Low</v>
      </c>
      <c r="P890" s="38" t="str">
        <f>VLOOKUP(dataset_A!C890,$Q$2:$R$5,2,0)</f>
        <v>Spring</v>
      </c>
      <c r="S890" s="38" t="str">
        <f t="array" ref="S890">INDEX($R$2:$R$5,MATCH(dataset_A!C890,$Q$2:$Q$5,0))</f>
        <v>Spring</v>
      </c>
      <c r="T890" s="38" t="str">
        <f t="shared" si="4"/>
        <v>Match</v>
      </c>
    </row>
    <row r="891" ht="12.75" customHeight="1">
      <c r="A891" s="38">
        <f>dataset_A!A891</f>
        <v>215</v>
      </c>
      <c r="B891" s="39">
        <f>dataset_A!B891</f>
        <v>40553</v>
      </c>
      <c r="C891" s="38">
        <f>dataset_A!F891</f>
        <v>5</v>
      </c>
      <c r="D891" s="38">
        <f>dataset_A!H891</f>
        <v>1</v>
      </c>
      <c r="E891" s="38" t="b">
        <f>dataset_A!G891</f>
        <v>0</v>
      </c>
      <c r="F891" s="38" t="b">
        <f>dataset_A!G891</f>
        <v>0</v>
      </c>
      <c r="G891" s="38" t="str">
        <f t="shared" si="1"/>
        <v>Weekday</v>
      </c>
      <c r="H891" s="38" t="str">
        <f t="shared" si="2"/>
        <v>Night</v>
      </c>
      <c r="I891" s="38" t="str">
        <f>IF(dataset_A!C891=1,"Spring",IF(dataset_A!C891=2,"Summer",IF(dataset_A!C891=3,"Fail","Winter")))</f>
        <v>Spring</v>
      </c>
      <c r="J891" s="38" t="str">
        <f>IF(dataset_A!I891=1,"Clear",IF(dataset_A!I891,"Mist/Cloudy",IF(dataset_A!I891=3,"Light Rain/Snow","Heavy Rain/Snow")))</f>
        <v>Clear</v>
      </c>
      <c r="K891" s="38">
        <f>dataset_A!N891</f>
        <v>0</v>
      </c>
      <c r="L891" s="38">
        <f>dataset_A!O891</f>
        <v>3</v>
      </c>
      <c r="M891" s="38">
        <f>dataset_A!P891</f>
        <v>3</v>
      </c>
      <c r="N891" s="38" t="str">
        <f t="shared" si="3"/>
        <v>Ok</v>
      </c>
      <c r="O891" s="38" t="str">
        <f>IF(M891&gt;Analysis!$B$3*1.5,"High",IF(M891&lt;Analysis!$B$3*0.5,"Low","Medium"))</f>
        <v>Low</v>
      </c>
      <c r="P891" s="38" t="str">
        <f>VLOOKUP(dataset_A!C891,$Q$2:$R$5,2,0)</f>
        <v>Spring</v>
      </c>
      <c r="S891" s="38" t="str">
        <f t="array" ref="S891">INDEX($R$2:$R$5,MATCH(dataset_A!C891,$Q$2:$Q$5,0))</f>
        <v>Spring</v>
      </c>
      <c r="T891" s="38" t="str">
        <f t="shared" si="4"/>
        <v>Match</v>
      </c>
    </row>
    <row r="892" ht="12.75" customHeight="1">
      <c r="A892" s="38">
        <f>dataset_A!A892</f>
        <v>235</v>
      </c>
      <c r="B892" s="39">
        <f>dataset_A!B892</f>
        <v>40554</v>
      </c>
      <c r="C892" s="38">
        <f>dataset_A!F892</f>
        <v>1</v>
      </c>
      <c r="D892" s="38">
        <f>dataset_A!H892</f>
        <v>2</v>
      </c>
      <c r="E892" s="38" t="b">
        <f>dataset_A!G892</f>
        <v>0</v>
      </c>
      <c r="F892" s="38" t="b">
        <f>dataset_A!G892</f>
        <v>0</v>
      </c>
      <c r="G892" s="38" t="str">
        <f t="shared" si="1"/>
        <v>Weekday</v>
      </c>
      <c r="H892" s="38" t="str">
        <f t="shared" si="2"/>
        <v>Night</v>
      </c>
      <c r="I892" s="38" t="str">
        <f>IF(dataset_A!C892=1,"Spring",IF(dataset_A!C892=2,"Summer",IF(dataset_A!C892=3,"Fail","Winter")))</f>
        <v>Spring</v>
      </c>
      <c r="J892" s="38" t="str">
        <f>IF(dataset_A!I892=1,"Clear",IF(dataset_A!I892,"Mist/Cloudy",IF(dataset_A!I892=3,"Light Rain/Snow","Heavy Rain/Snow")))</f>
        <v>Clear</v>
      </c>
      <c r="K892" s="38">
        <f>dataset_A!N892</f>
        <v>0</v>
      </c>
      <c r="L892" s="38">
        <f>dataset_A!O892</f>
        <v>3</v>
      </c>
      <c r="M892" s="38">
        <f>dataset_A!P892</f>
        <v>3</v>
      </c>
      <c r="N892" s="38" t="str">
        <f t="shared" si="3"/>
        <v>Ok</v>
      </c>
      <c r="O892" s="38" t="str">
        <f>IF(M892&gt;Analysis!$B$3*1.5,"High",IF(M892&lt;Analysis!$B$3*0.5,"Low","Medium"))</f>
        <v>Low</v>
      </c>
      <c r="P892" s="38" t="str">
        <f>VLOOKUP(dataset_A!C892,$Q$2:$R$5,2,0)</f>
        <v>Spring</v>
      </c>
      <c r="S892" s="38" t="str">
        <f t="array" ref="S892">INDEX($R$2:$R$5,MATCH(dataset_A!C892,$Q$2:$Q$5,0))</f>
        <v>Spring</v>
      </c>
      <c r="T892" s="38" t="str">
        <f t="shared" si="4"/>
        <v>Match</v>
      </c>
    </row>
    <row r="893" ht="12.75" customHeight="1">
      <c r="A893" s="38">
        <f>dataset_A!A893</f>
        <v>236</v>
      </c>
      <c r="B893" s="39">
        <f>dataset_A!B893</f>
        <v>40554</v>
      </c>
      <c r="C893" s="38">
        <f>dataset_A!F893</f>
        <v>2</v>
      </c>
      <c r="D893" s="38">
        <f>dataset_A!H893</f>
        <v>2</v>
      </c>
      <c r="E893" s="38" t="b">
        <f>dataset_A!G893</f>
        <v>0</v>
      </c>
      <c r="F893" s="38" t="b">
        <f>dataset_A!G893</f>
        <v>0</v>
      </c>
      <c r="G893" s="38" t="str">
        <f t="shared" si="1"/>
        <v>Weekday</v>
      </c>
      <c r="H893" s="38" t="str">
        <f t="shared" si="2"/>
        <v>Night</v>
      </c>
      <c r="I893" s="38" t="str">
        <f>IF(dataset_A!C893=1,"Spring",IF(dataset_A!C893=2,"Summer",IF(dataset_A!C893=3,"Fail","Winter")))</f>
        <v>Spring</v>
      </c>
      <c r="J893" s="38" t="str">
        <f>IF(dataset_A!I893=1,"Clear",IF(dataset_A!I893,"Mist/Cloudy",IF(dataset_A!I893=3,"Light Rain/Snow","Heavy Rain/Snow")))</f>
        <v>Mist/Cloudy</v>
      </c>
      <c r="K893" s="38">
        <f>dataset_A!N893</f>
        <v>0</v>
      </c>
      <c r="L893" s="38">
        <f>dataset_A!O893</f>
        <v>3</v>
      </c>
      <c r="M893" s="38">
        <f>dataset_A!P893</f>
        <v>3</v>
      </c>
      <c r="N893" s="38" t="str">
        <f t="shared" si="3"/>
        <v>Ok</v>
      </c>
      <c r="O893" s="38" t="str">
        <f>IF(M893&gt;Analysis!$B$3*1.5,"High",IF(M893&lt;Analysis!$B$3*0.5,"Low","Medium"))</f>
        <v>Low</v>
      </c>
      <c r="P893" s="38" t="str">
        <f>VLOOKUP(dataset_A!C893,$Q$2:$R$5,2,0)</f>
        <v>Spring</v>
      </c>
      <c r="S893" s="38" t="str">
        <f t="array" ref="S893">INDEX($R$2:$R$5,MATCH(dataset_A!C893,$Q$2:$Q$5,0))</f>
        <v>Spring</v>
      </c>
      <c r="T893" s="38" t="str">
        <f t="shared" si="4"/>
        <v>Match</v>
      </c>
    </row>
    <row r="894" ht="12.75" customHeight="1">
      <c r="A894" s="38">
        <f>dataset_A!A894</f>
        <v>281</v>
      </c>
      <c r="B894" s="39">
        <f>dataset_A!B894</f>
        <v>40556</v>
      </c>
      <c r="C894" s="38">
        <f>dataset_A!F894</f>
        <v>3</v>
      </c>
      <c r="D894" s="38">
        <f>dataset_A!H894</f>
        <v>4</v>
      </c>
      <c r="E894" s="38" t="b">
        <f>dataset_A!G894</f>
        <v>0</v>
      </c>
      <c r="F894" s="38" t="b">
        <f>dataset_A!G894</f>
        <v>0</v>
      </c>
      <c r="G894" s="38" t="str">
        <f t="shared" si="1"/>
        <v>Weekday</v>
      </c>
      <c r="H894" s="38" t="str">
        <f t="shared" si="2"/>
        <v>Night</v>
      </c>
      <c r="I894" s="38" t="str">
        <f>IF(dataset_A!C894=1,"Spring",IF(dataset_A!C894=2,"Summer",IF(dataset_A!C894=3,"Fail","Winter")))</f>
        <v>Spring</v>
      </c>
      <c r="J894" s="38" t="str">
        <f>IF(dataset_A!I894=1,"Clear",IF(dataset_A!I894,"Mist/Cloudy",IF(dataset_A!I894=3,"Light Rain/Snow","Heavy Rain/Snow")))</f>
        <v>Clear</v>
      </c>
      <c r="K894" s="38">
        <f>dataset_A!N894</f>
        <v>0</v>
      </c>
      <c r="L894" s="38">
        <f>dataset_A!O894</f>
        <v>3</v>
      </c>
      <c r="M894" s="38">
        <f>dataset_A!P894</f>
        <v>3</v>
      </c>
      <c r="N894" s="38" t="str">
        <f t="shared" si="3"/>
        <v>Ok</v>
      </c>
      <c r="O894" s="38" t="str">
        <f>IF(M894&gt;Analysis!$B$3*1.5,"High",IF(M894&lt;Analysis!$B$3*0.5,"Low","Medium"))</f>
        <v>Low</v>
      </c>
      <c r="P894" s="38" t="str">
        <f>VLOOKUP(dataset_A!C894,$Q$2:$R$5,2,0)</f>
        <v>Spring</v>
      </c>
      <c r="S894" s="38" t="str">
        <f t="array" ref="S894">INDEX($R$2:$R$5,MATCH(dataset_A!C894,$Q$2:$Q$5,0))</f>
        <v>Spring</v>
      </c>
      <c r="T894" s="38" t="str">
        <f t="shared" si="4"/>
        <v>Match</v>
      </c>
    </row>
    <row r="895" ht="12.75" customHeight="1">
      <c r="A895" s="38">
        <f>dataset_A!A895</f>
        <v>283</v>
      </c>
      <c r="B895" s="39">
        <f>dataset_A!B895</f>
        <v>40556</v>
      </c>
      <c r="C895" s="38">
        <f>dataset_A!F895</f>
        <v>5</v>
      </c>
      <c r="D895" s="38">
        <f>dataset_A!H895</f>
        <v>4</v>
      </c>
      <c r="E895" s="38" t="b">
        <f>dataset_A!G895</f>
        <v>0</v>
      </c>
      <c r="F895" s="38" t="b">
        <f>dataset_A!G895</f>
        <v>0</v>
      </c>
      <c r="G895" s="38" t="str">
        <f t="shared" si="1"/>
        <v>Weekday</v>
      </c>
      <c r="H895" s="38" t="str">
        <f t="shared" si="2"/>
        <v>Night</v>
      </c>
      <c r="I895" s="38" t="str">
        <f>IF(dataset_A!C895=1,"Spring",IF(dataset_A!C895=2,"Summer",IF(dataset_A!C895=3,"Fail","Winter")))</f>
        <v>Spring</v>
      </c>
      <c r="J895" s="38" t="str">
        <f>IF(dataset_A!I895=1,"Clear",IF(dataset_A!I895,"Mist/Cloudy",IF(dataset_A!I895=3,"Light Rain/Snow","Heavy Rain/Snow")))</f>
        <v>Clear</v>
      </c>
      <c r="K895" s="38">
        <f>dataset_A!N895</f>
        <v>0</v>
      </c>
      <c r="L895" s="38">
        <f>dataset_A!O895</f>
        <v>3</v>
      </c>
      <c r="M895" s="38">
        <f>dataset_A!P895</f>
        <v>3</v>
      </c>
      <c r="N895" s="38" t="str">
        <f t="shared" si="3"/>
        <v>Ok</v>
      </c>
      <c r="O895" s="38" t="str">
        <f>IF(M895&gt;Analysis!$B$3*1.5,"High",IF(M895&lt;Analysis!$B$3*0.5,"Low","Medium"))</f>
        <v>Low</v>
      </c>
      <c r="P895" s="38" t="str">
        <f>VLOOKUP(dataset_A!C895,$Q$2:$R$5,2,0)</f>
        <v>Spring</v>
      </c>
      <c r="S895" s="38" t="str">
        <f t="array" ref="S895">INDEX($R$2:$R$5,MATCH(dataset_A!C895,$Q$2:$Q$5,0))</f>
        <v>Spring</v>
      </c>
      <c r="T895" s="38" t="str">
        <f t="shared" si="4"/>
        <v>Match</v>
      </c>
    </row>
    <row r="896" ht="12.75" customHeight="1">
      <c r="A896" s="38">
        <f>dataset_A!A896</f>
        <v>331</v>
      </c>
      <c r="B896" s="39">
        <f>dataset_A!B896</f>
        <v>40558</v>
      </c>
      <c r="C896" s="38">
        <f>dataset_A!F896</f>
        <v>6</v>
      </c>
      <c r="D896" s="38">
        <f>dataset_A!H896</f>
        <v>6</v>
      </c>
      <c r="E896" s="38" t="b">
        <f>dataset_A!G896</f>
        <v>0</v>
      </c>
      <c r="F896" s="38" t="b">
        <f>dataset_A!G896</f>
        <v>0</v>
      </c>
      <c r="G896" s="38" t="str">
        <f t="shared" si="1"/>
        <v>Weekend</v>
      </c>
      <c r="H896" s="38" t="str">
        <f t="shared" si="2"/>
        <v>Morning</v>
      </c>
      <c r="I896" s="38" t="str">
        <f>IF(dataset_A!C896=1,"Spring",IF(dataset_A!C896=2,"Summer",IF(dataset_A!C896=3,"Fail","Winter")))</f>
        <v>Spring</v>
      </c>
      <c r="J896" s="38" t="str">
        <f>IF(dataset_A!I896=1,"Clear",IF(dataset_A!I896,"Mist/Cloudy",IF(dataset_A!I896=3,"Light Rain/Snow","Heavy Rain/Snow")))</f>
        <v>Clear</v>
      </c>
      <c r="K896" s="38">
        <f>dataset_A!N896</f>
        <v>1</v>
      </c>
      <c r="L896" s="38">
        <f>dataset_A!O896</f>
        <v>2</v>
      </c>
      <c r="M896" s="38">
        <f>dataset_A!P896</f>
        <v>3</v>
      </c>
      <c r="N896" s="38" t="str">
        <f t="shared" si="3"/>
        <v>Ok</v>
      </c>
      <c r="O896" s="38" t="str">
        <f>IF(M896&gt;Analysis!$B$3*1.5,"High",IF(M896&lt;Analysis!$B$3*0.5,"Low","Medium"))</f>
        <v>Low</v>
      </c>
      <c r="P896" s="38" t="str">
        <f>VLOOKUP(dataset_A!C896,$Q$2:$R$5,2,0)</f>
        <v>Spring</v>
      </c>
      <c r="S896" s="38" t="str">
        <f t="array" ref="S896">INDEX($R$2:$R$5,MATCH(dataset_A!C896,$Q$2:$Q$5,0))</f>
        <v>Spring</v>
      </c>
      <c r="T896" s="38" t="str">
        <f t="shared" si="4"/>
        <v>Match</v>
      </c>
    </row>
    <row r="897" ht="12.75" customHeight="1">
      <c r="A897" s="38">
        <f>dataset_A!A897</f>
        <v>356</v>
      </c>
      <c r="B897" s="39">
        <f>dataset_A!B897</f>
        <v>40559</v>
      </c>
      <c r="C897" s="38">
        <f>dataset_A!F897</f>
        <v>7</v>
      </c>
      <c r="D897" s="38">
        <f>dataset_A!H897</f>
        <v>0</v>
      </c>
      <c r="E897" s="38" t="b">
        <f>dataset_A!G897</f>
        <v>0</v>
      </c>
      <c r="F897" s="38" t="b">
        <f>dataset_A!G897</f>
        <v>0</v>
      </c>
      <c r="G897" s="38" t="str">
        <f t="shared" si="1"/>
        <v>Weekend</v>
      </c>
      <c r="H897" s="38" t="str">
        <f t="shared" si="2"/>
        <v>Morning</v>
      </c>
      <c r="I897" s="38" t="str">
        <f>IF(dataset_A!C897=1,"Spring",IF(dataset_A!C897=2,"Summer",IF(dataset_A!C897=3,"Fail","Winter")))</f>
        <v>Spring</v>
      </c>
      <c r="J897" s="38" t="str">
        <f>IF(dataset_A!I897=1,"Clear",IF(dataset_A!I897,"Mist/Cloudy",IF(dataset_A!I897=3,"Light Rain/Snow","Heavy Rain/Snow")))</f>
        <v>Mist/Cloudy</v>
      </c>
      <c r="K897" s="38">
        <f>dataset_A!N897</f>
        <v>0</v>
      </c>
      <c r="L897" s="38">
        <f>dataset_A!O897</f>
        <v>3</v>
      </c>
      <c r="M897" s="38">
        <f>dataset_A!P897</f>
        <v>3</v>
      </c>
      <c r="N897" s="38" t="str">
        <f t="shared" si="3"/>
        <v>Ok</v>
      </c>
      <c r="O897" s="38" t="str">
        <f>IF(M897&gt;Analysis!$B$3*1.5,"High",IF(M897&lt;Analysis!$B$3*0.5,"Low","Medium"))</f>
        <v>Low</v>
      </c>
      <c r="P897" s="38" t="str">
        <f>VLOOKUP(dataset_A!C897,$Q$2:$R$5,2,0)</f>
        <v>Spring</v>
      </c>
      <c r="S897" s="38" t="str">
        <f t="array" ref="S897">INDEX($R$2:$R$5,MATCH(dataset_A!C897,$Q$2:$Q$5,0))</f>
        <v>Spring</v>
      </c>
      <c r="T897" s="38" t="str">
        <f t="shared" si="4"/>
        <v>Match</v>
      </c>
    </row>
    <row r="898" ht="12.75" customHeight="1">
      <c r="A898" s="38">
        <f>dataset_A!A898</f>
        <v>377</v>
      </c>
      <c r="B898" s="39">
        <f>dataset_A!B898</f>
        <v>40560</v>
      </c>
      <c r="C898" s="38">
        <f>dataset_A!F898</f>
        <v>4</v>
      </c>
      <c r="D898" s="38">
        <f>dataset_A!H898</f>
        <v>1</v>
      </c>
      <c r="E898" s="38" t="b">
        <f>dataset_A!G898</f>
        <v>1</v>
      </c>
      <c r="F898" s="38" t="b">
        <f>dataset_A!G898</f>
        <v>1</v>
      </c>
      <c r="G898" s="38" t="str">
        <f t="shared" si="1"/>
        <v>Weekday</v>
      </c>
      <c r="H898" s="38" t="str">
        <f t="shared" si="2"/>
        <v>Night</v>
      </c>
      <c r="I898" s="38" t="str">
        <f>IF(dataset_A!C898=1,"Spring",IF(dataset_A!C898=2,"Summer",IF(dataset_A!C898=3,"Fail","Winter")))</f>
        <v>Spring</v>
      </c>
      <c r="J898" s="38" t="str">
        <f>IF(dataset_A!I898=1,"Clear",IF(dataset_A!I898,"Mist/Cloudy",IF(dataset_A!I898=3,"Light Rain/Snow","Heavy Rain/Snow")))</f>
        <v>Mist/Cloudy</v>
      </c>
      <c r="K898" s="38">
        <f>dataset_A!N898</f>
        <v>1</v>
      </c>
      <c r="L898" s="38">
        <f>dataset_A!O898</f>
        <v>2</v>
      </c>
      <c r="M898" s="38">
        <f>dataset_A!P898</f>
        <v>3</v>
      </c>
      <c r="N898" s="38" t="str">
        <f t="shared" si="3"/>
        <v>Ok</v>
      </c>
      <c r="O898" s="38" t="str">
        <f>IF(M898&gt;Analysis!$B$3*1.5,"High",IF(M898&lt;Analysis!$B$3*0.5,"Low","Medium"))</f>
        <v>Low</v>
      </c>
      <c r="P898" s="38" t="str">
        <f>VLOOKUP(dataset_A!C898,$Q$2:$R$5,2,0)</f>
        <v>Spring</v>
      </c>
      <c r="S898" s="38" t="str">
        <f t="array" ref="S898">INDEX($R$2:$R$5,MATCH(dataset_A!C898,$Q$2:$Q$5,0))</f>
        <v>Spring</v>
      </c>
      <c r="T898" s="38" t="str">
        <f t="shared" si="4"/>
        <v>Match</v>
      </c>
    </row>
    <row r="899" ht="12.75" customHeight="1">
      <c r="A899" s="38">
        <f>dataset_A!A899</f>
        <v>397</v>
      </c>
      <c r="B899" s="39">
        <f>dataset_A!B899</f>
        <v>40561</v>
      </c>
      <c r="C899" s="38">
        <f>dataset_A!F899</f>
        <v>12</v>
      </c>
      <c r="D899" s="38">
        <f>dataset_A!H899</f>
        <v>2</v>
      </c>
      <c r="E899" s="38" t="b">
        <f>dataset_A!G899</f>
        <v>0</v>
      </c>
      <c r="F899" s="38" t="b">
        <f>dataset_A!G899</f>
        <v>0</v>
      </c>
      <c r="G899" s="38" t="str">
        <f t="shared" si="1"/>
        <v>Weekday</v>
      </c>
      <c r="H899" s="38" t="str">
        <f t="shared" si="2"/>
        <v>Afternoon</v>
      </c>
      <c r="I899" s="38" t="str">
        <f>IF(dataset_A!C899=1,"Spring",IF(dataset_A!C899=2,"Summer",IF(dataset_A!C899=3,"Fail","Winter")))</f>
        <v>Spring</v>
      </c>
      <c r="J899" s="38" t="str">
        <f>IF(dataset_A!I899=1,"Clear",IF(dataset_A!I899,"Mist/Cloudy",IF(dataset_A!I899=3,"Light Rain/Snow","Heavy Rain/Snow")))</f>
        <v>Mist/Cloudy</v>
      </c>
      <c r="K899" s="38">
        <f>dataset_A!N899</f>
        <v>0</v>
      </c>
      <c r="L899" s="38">
        <f>dataset_A!O899</f>
        <v>3</v>
      </c>
      <c r="M899" s="38">
        <f>dataset_A!P899</f>
        <v>3</v>
      </c>
      <c r="N899" s="38" t="str">
        <f t="shared" si="3"/>
        <v>Ok</v>
      </c>
      <c r="O899" s="38" t="str">
        <f>IF(M899&gt;Analysis!$B$3*1.5,"High",IF(M899&lt;Analysis!$B$3*0.5,"Low","Medium"))</f>
        <v>Low</v>
      </c>
      <c r="P899" s="38" t="str">
        <f>VLOOKUP(dataset_A!C899,$Q$2:$R$5,2,0)</f>
        <v>Spring</v>
      </c>
      <c r="S899" s="38" t="str">
        <f t="array" ref="S899">INDEX($R$2:$R$5,MATCH(dataset_A!C899,$Q$2:$Q$5,0))</f>
        <v>Spring</v>
      </c>
      <c r="T899" s="38" t="str">
        <f t="shared" si="4"/>
        <v>Match</v>
      </c>
    </row>
    <row r="900" ht="12.75" customHeight="1">
      <c r="A900" s="38">
        <f>dataset_A!A900</f>
        <v>409</v>
      </c>
      <c r="B900" s="39">
        <f>dataset_A!B900</f>
        <v>40562</v>
      </c>
      <c r="C900" s="38">
        <f>dataset_A!F900</f>
        <v>0</v>
      </c>
      <c r="D900" s="38">
        <f>dataset_A!H900</f>
        <v>3</v>
      </c>
      <c r="E900" s="38" t="b">
        <f>dataset_A!G900</f>
        <v>0</v>
      </c>
      <c r="F900" s="38" t="b">
        <f>dataset_A!G900</f>
        <v>0</v>
      </c>
      <c r="G900" s="38" t="str">
        <f t="shared" si="1"/>
        <v>Weekday</v>
      </c>
      <c r="H900" s="38" t="str">
        <f t="shared" si="2"/>
        <v>Night</v>
      </c>
      <c r="I900" s="38" t="str">
        <f>IF(dataset_A!C900=1,"Spring",IF(dataset_A!C900=2,"Summer",IF(dataset_A!C900=3,"Fail","Winter")))</f>
        <v>Spring</v>
      </c>
      <c r="J900" s="38" t="str">
        <f>IF(dataset_A!I900=1,"Clear",IF(dataset_A!I900,"Mist/Cloudy",IF(dataset_A!I900=3,"Light Rain/Snow","Heavy Rain/Snow")))</f>
        <v>Mist/Cloudy</v>
      </c>
      <c r="K900" s="38">
        <f>dataset_A!N900</f>
        <v>0</v>
      </c>
      <c r="L900" s="38">
        <f>dataset_A!O900</f>
        <v>3</v>
      </c>
      <c r="M900" s="38">
        <f>dataset_A!P900</f>
        <v>3</v>
      </c>
      <c r="N900" s="38" t="str">
        <f t="shared" si="3"/>
        <v>Ok</v>
      </c>
      <c r="O900" s="38" t="str">
        <f>IF(M900&gt;Analysis!$B$3*1.5,"High",IF(M900&lt;Analysis!$B$3*0.5,"Low","Medium"))</f>
        <v>Low</v>
      </c>
      <c r="P900" s="38" t="str">
        <f>VLOOKUP(dataset_A!C900,$Q$2:$R$5,2,0)</f>
        <v>Spring</v>
      </c>
      <c r="S900" s="38" t="str">
        <f t="array" ref="S900">INDEX($R$2:$R$5,MATCH(dataset_A!C900,$Q$2:$Q$5,0))</f>
        <v>Spring</v>
      </c>
      <c r="T900" s="38" t="str">
        <f t="shared" si="4"/>
        <v>Match</v>
      </c>
    </row>
    <row r="901" ht="12.75" customHeight="1">
      <c r="A901" s="38">
        <f>dataset_A!A901</f>
        <v>411</v>
      </c>
      <c r="B901" s="39">
        <f>dataset_A!B901</f>
        <v>40562</v>
      </c>
      <c r="C901" s="38">
        <f>dataset_A!F901</f>
        <v>2</v>
      </c>
      <c r="D901" s="38">
        <f>dataset_A!H901</f>
        <v>3</v>
      </c>
      <c r="E901" s="38" t="b">
        <f>dataset_A!G901</f>
        <v>0</v>
      </c>
      <c r="F901" s="38" t="b">
        <f>dataset_A!G901</f>
        <v>0</v>
      </c>
      <c r="G901" s="38" t="str">
        <f t="shared" si="1"/>
        <v>Weekday</v>
      </c>
      <c r="H901" s="38" t="str">
        <f t="shared" si="2"/>
        <v>Night</v>
      </c>
      <c r="I901" s="38" t="str">
        <f>IF(dataset_A!C901=1,"Spring",IF(dataset_A!C901=2,"Summer",IF(dataset_A!C901=3,"Fail","Winter")))</f>
        <v>Spring</v>
      </c>
      <c r="J901" s="38" t="str">
        <f>IF(dataset_A!I901=1,"Clear",IF(dataset_A!I901,"Mist/Cloudy",IF(dataset_A!I901=3,"Light Rain/Snow","Heavy Rain/Snow")))</f>
        <v>Mist/Cloudy</v>
      </c>
      <c r="K901" s="38">
        <f>dataset_A!N901</f>
        <v>0</v>
      </c>
      <c r="L901" s="38">
        <f>dataset_A!O901</f>
        <v>3</v>
      </c>
      <c r="M901" s="38">
        <f>dataset_A!P901</f>
        <v>3</v>
      </c>
      <c r="N901" s="38" t="str">
        <f t="shared" si="3"/>
        <v>Ok</v>
      </c>
      <c r="O901" s="38" t="str">
        <f>IF(M901&gt;Analysis!$B$3*1.5,"High",IF(M901&lt;Analysis!$B$3*0.5,"Low","Medium"))</f>
        <v>Low</v>
      </c>
      <c r="P901" s="38" t="str">
        <f>VLOOKUP(dataset_A!C901,$Q$2:$R$5,2,0)</f>
        <v>Spring</v>
      </c>
      <c r="S901" s="38" t="str">
        <f t="array" ref="S901">INDEX($R$2:$R$5,MATCH(dataset_A!C901,$Q$2:$Q$5,0))</f>
        <v>Spring</v>
      </c>
      <c r="T901" s="38" t="str">
        <f t="shared" si="4"/>
        <v>Match</v>
      </c>
    </row>
    <row r="902" ht="12.75" customHeight="1">
      <c r="A902" s="38">
        <f>dataset_A!A902</f>
        <v>484</v>
      </c>
      <c r="B902" s="39">
        <f>dataset_A!B902</f>
        <v>40565</v>
      </c>
      <c r="C902" s="38">
        <f>dataset_A!F902</f>
        <v>4</v>
      </c>
      <c r="D902" s="38">
        <f>dataset_A!H902</f>
        <v>6</v>
      </c>
      <c r="E902" s="38" t="b">
        <f>dataset_A!G902</f>
        <v>0</v>
      </c>
      <c r="F902" s="38" t="b">
        <f>dataset_A!G902</f>
        <v>0</v>
      </c>
      <c r="G902" s="38" t="str">
        <f t="shared" si="1"/>
        <v>Weekend</v>
      </c>
      <c r="H902" s="38" t="str">
        <f t="shared" si="2"/>
        <v>Night</v>
      </c>
      <c r="I902" s="38" t="str">
        <f>IF(dataset_A!C902=1,"Spring",IF(dataset_A!C902=2,"Summer",IF(dataset_A!C902=3,"Fail","Winter")))</f>
        <v>Spring</v>
      </c>
      <c r="J902" s="38" t="str">
        <f>IF(dataset_A!I902=1,"Clear",IF(dataset_A!I902,"Mist/Cloudy",IF(dataset_A!I902=3,"Light Rain/Snow","Heavy Rain/Snow")))</f>
        <v>Mist/Cloudy</v>
      </c>
      <c r="K902" s="38">
        <f>dataset_A!N902</f>
        <v>0</v>
      </c>
      <c r="L902" s="38">
        <f>dataset_A!O902</f>
        <v>3</v>
      </c>
      <c r="M902" s="38">
        <f>dataset_A!P902</f>
        <v>3</v>
      </c>
      <c r="N902" s="38" t="str">
        <f t="shared" si="3"/>
        <v>Ok</v>
      </c>
      <c r="O902" s="38" t="str">
        <f>IF(M902&gt;Analysis!$B$3*1.5,"High",IF(M902&lt;Analysis!$B$3*0.5,"Low","Medium"))</f>
        <v>Low</v>
      </c>
      <c r="P902" s="38" t="str">
        <f>VLOOKUP(dataset_A!C902,$Q$2:$R$5,2,0)</f>
        <v>Spring</v>
      </c>
      <c r="S902" s="38" t="str">
        <f t="array" ref="S902">INDEX($R$2:$R$5,MATCH(dataset_A!C902,$Q$2:$Q$5,0))</f>
        <v>Spring</v>
      </c>
      <c r="T902" s="38" t="str">
        <f t="shared" si="4"/>
        <v>Match</v>
      </c>
    </row>
    <row r="903" ht="12.75" customHeight="1">
      <c r="A903" s="38">
        <f>dataset_A!A903</f>
        <v>507</v>
      </c>
      <c r="B903" s="39">
        <f>dataset_A!B903</f>
        <v>40566</v>
      </c>
      <c r="C903" s="38">
        <f>dataset_A!F903</f>
        <v>5</v>
      </c>
      <c r="D903" s="38">
        <f>dataset_A!H903</f>
        <v>0</v>
      </c>
      <c r="E903" s="38" t="b">
        <f>dataset_A!G903</f>
        <v>0</v>
      </c>
      <c r="F903" s="38" t="b">
        <f>dataset_A!G903</f>
        <v>0</v>
      </c>
      <c r="G903" s="38" t="str">
        <f t="shared" si="1"/>
        <v>Weekend</v>
      </c>
      <c r="H903" s="38" t="str">
        <f t="shared" si="2"/>
        <v>Night</v>
      </c>
      <c r="I903" s="38" t="str">
        <f>IF(dataset_A!C903=1,"Spring",IF(dataset_A!C903=2,"Summer",IF(dataset_A!C903=3,"Fail","Winter")))</f>
        <v>Spring</v>
      </c>
      <c r="J903" s="38" t="str">
        <f>IF(dataset_A!I903=1,"Clear",IF(dataset_A!I903,"Mist/Cloudy",IF(dataset_A!I903=3,"Light Rain/Snow","Heavy Rain/Snow")))</f>
        <v>Mist/Cloudy</v>
      </c>
      <c r="K903" s="38">
        <f>dataset_A!N903</f>
        <v>0</v>
      </c>
      <c r="L903" s="38">
        <f>dataset_A!O903</f>
        <v>3</v>
      </c>
      <c r="M903" s="38">
        <f>dataset_A!P903</f>
        <v>3</v>
      </c>
      <c r="N903" s="38" t="str">
        <f t="shared" si="3"/>
        <v>Ok</v>
      </c>
      <c r="O903" s="38" t="str">
        <f>IF(M903&gt;Analysis!$B$3*1.5,"High",IF(M903&lt;Analysis!$B$3*0.5,"Low","Medium"))</f>
        <v>Low</v>
      </c>
      <c r="P903" s="38" t="str">
        <f>VLOOKUP(dataset_A!C903,$Q$2:$R$5,2,0)</f>
        <v>Spring</v>
      </c>
      <c r="S903" s="38" t="str">
        <f t="array" ref="S903">INDEX($R$2:$R$5,MATCH(dataset_A!C903,$Q$2:$Q$5,0))</f>
        <v>Spring</v>
      </c>
      <c r="T903" s="38" t="str">
        <f t="shared" si="4"/>
        <v>Match</v>
      </c>
    </row>
    <row r="904" ht="12.75" customHeight="1">
      <c r="A904" s="38">
        <f>dataset_A!A904</f>
        <v>597</v>
      </c>
      <c r="B904" s="39">
        <f>dataset_A!B904</f>
        <v>40571</v>
      </c>
      <c r="C904" s="38">
        <f>dataset_A!F904</f>
        <v>1</v>
      </c>
      <c r="D904" s="38">
        <f>dataset_A!H904</f>
        <v>5</v>
      </c>
      <c r="E904" s="38" t="b">
        <f>dataset_A!G904</f>
        <v>0</v>
      </c>
      <c r="F904" s="38" t="b">
        <f>dataset_A!G904</f>
        <v>0</v>
      </c>
      <c r="G904" s="38" t="str">
        <f t="shared" si="1"/>
        <v>Weekday</v>
      </c>
      <c r="H904" s="38" t="str">
        <f t="shared" si="2"/>
        <v>Night</v>
      </c>
      <c r="I904" s="38" t="str">
        <f>IF(dataset_A!C904=1,"Spring",IF(dataset_A!C904=2,"Summer",IF(dataset_A!C904=3,"Fail","Winter")))</f>
        <v>Spring</v>
      </c>
      <c r="J904" s="38" t="str">
        <f>IF(dataset_A!I904=1,"Clear",IF(dataset_A!I904,"Mist/Cloudy",IF(dataset_A!I904=3,"Light Rain/Snow","Heavy Rain/Snow")))</f>
        <v>Mist/Cloudy</v>
      </c>
      <c r="K904" s="38">
        <f>dataset_A!N904</f>
        <v>1</v>
      </c>
      <c r="L904" s="38">
        <f>dataset_A!O904</f>
        <v>2</v>
      </c>
      <c r="M904" s="38">
        <f>dataset_A!P904</f>
        <v>3</v>
      </c>
      <c r="N904" s="38" t="str">
        <f t="shared" si="3"/>
        <v>Ok</v>
      </c>
      <c r="O904" s="38" t="str">
        <f>IF(M904&gt;Analysis!$B$3*1.5,"High",IF(M904&lt;Analysis!$B$3*0.5,"Low","Medium"))</f>
        <v>Low</v>
      </c>
      <c r="P904" s="38" t="str">
        <f>VLOOKUP(dataset_A!C904,$Q$2:$R$5,2,0)</f>
        <v>Spring</v>
      </c>
      <c r="S904" s="38" t="str">
        <f t="array" ref="S904">INDEX($R$2:$R$5,MATCH(dataset_A!C904,$Q$2:$Q$5,0))</f>
        <v>Spring</v>
      </c>
      <c r="T904" s="38" t="str">
        <f t="shared" si="4"/>
        <v>Match</v>
      </c>
    </row>
    <row r="905" ht="12.75" customHeight="1">
      <c r="A905" s="38">
        <f>dataset_A!A905</f>
        <v>623</v>
      </c>
      <c r="B905" s="39">
        <f>dataset_A!B905</f>
        <v>40572</v>
      </c>
      <c r="C905" s="38">
        <f>dataset_A!F905</f>
        <v>4</v>
      </c>
      <c r="D905" s="38">
        <f>dataset_A!H905</f>
        <v>6</v>
      </c>
      <c r="E905" s="38" t="b">
        <f>dataset_A!G905</f>
        <v>0</v>
      </c>
      <c r="F905" s="38" t="b">
        <f>dataset_A!G905</f>
        <v>0</v>
      </c>
      <c r="G905" s="38" t="str">
        <f t="shared" si="1"/>
        <v>Weekend</v>
      </c>
      <c r="H905" s="38" t="str">
        <f t="shared" si="2"/>
        <v>Night</v>
      </c>
      <c r="I905" s="38" t="str">
        <f>IF(dataset_A!C905=1,"Spring",IF(dataset_A!C905=2,"Summer",IF(dataset_A!C905=3,"Fail","Winter")))</f>
        <v>Spring</v>
      </c>
      <c r="J905" s="38" t="str">
        <f>IF(dataset_A!I905=1,"Clear",IF(dataset_A!I905,"Mist/Cloudy",IF(dataset_A!I905=3,"Light Rain/Snow","Heavy Rain/Snow")))</f>
        <v>Clear</v>
      </c>
      <c r="K905" s="38">
        <f>dataset_A!N905</f>
        <v>1</v>
      </c>
      <c r="L905" s="38">
        <f>dataset_A!O905</f>
        <v>2</v>
      </c>
      <c r="M905" s="38">
        <f>dataset_A!P905</f>
        <v>3</v>
      </c>
      <c r="N905" s="38" t="str">
        <f t="shared" si="3"/>
        <v>Ok</v>
      </c>
      <c r="O905" s="38" t="str">
        <f>IF(M905&gt;Analysis!$B$3*1.5,"High",IF(M905&lt;Analysis!$B$3*0.5,"Low","Medium"))</f>
        <v>Low</v>
      </c>
      <c r="P905" s="38" t="str">
        <f>VLOOKUP(dataset_A!C905,$Q$2:$R$5,2,0)</f>
        <v>Spring</v>
      </c>
      <c r="S905" s="38" t="str">
        <f t="array" ref="S905">INDEX($R$2:$R$5,MATCH(dataset_A!C905,$Q$2:$Q$5,0))</f>
        <v>Spring</v>
      </c>
      <c r="T905" s="38" t="str">
        <f t="shared" si="4"/>
        <v>Match</v>
      </c>
    </row>
    <row r="906" ht="12.75" customHeight="1">
      <c r="A906" s="38">
        <f>dataset_A!A906</f>
        <v>647</v>
      </c>
      <c r="B906" s="39">
        <f>dataset_A!B906</f>
        <v>40573</v>
      </c>
      <c r="C906" s="38">
        <f>dataset_A!F906</f>
        <v>5</v>
      </c>
      <c r="D906" s="38">
        <f>dataset_A!H906</f>
        <v>0</v>
      </c>
      <c r="E906" s="38" t="b">
        <f>dataset_A!G906</f>
        <v>0</v>
      </c>
      <c r="F906" s="38" t="b">
        <f>dataset_A!G906</f>
        <v>0</v>
      </c>
      <c r="G906" s="38" t="str">
        <f t="shared" si="1"/>
        <v>Weekend</v>
      </c>
      <c r="H906" s="38" t="str">
        <f t="shared" si="2"/>
        <v>Night</v>
      </c>
      <c r="I906" s="38" t="str">
        <f>IF(dataset_A!C906=1,"Spring",IF(dataset_A!C906=2,"Summer",IF(dataset_A!C906=3,"Fail","Winter")))</f>
        <v>Spring</v>
      </c>
      <c r="J906" s="38" t="str">
        <f>IF(dataset_A!I906=1,"Clear",IF(dataset_A!I906,"Mist/Cloudy",IF(dataset_A!I906=3,"Light Rain/Snow","Heavy Rain/Snow")))</f>
        <v>Clear</v>
      </c>
      <c r="K906" s="38">
        <f>dataset_A!N906</f>
        <v>0</v>
      </c>
      <c r="L906" s="38">
        <f>dataset_A!O906</f>
        <v>3</v>
      </c>
      <c r="M906" s="38">
        <f>dataset_A!P906</f>
        <v>3</v>
      </c>
      <c r="N906" s="38" t="str">
        <f t="shared" si="3"/>
        <v>Ok</v>
      </c>
      <c r="O906" s="38" t="str">
        <f>IF(M906&gt;Analysis!$B$3*1.5,"High",IF(M906&lt;Analysis!$B$3*0.5,"Low","Medium"))</f>
        <v>Low</v>
      </c>
      <c r="P906" s="38" t="str">
        <f>VLOOKUP(dataset_A!C906,$Q$2:$R$5,2,0)</f>
        <v>Spring</v>
      </c>
      <c r="S906" s="38" t="str">
        <f t="array" ref="S906">INDEX($R$2:$R$5,MATCH(dataset_A!C906,$Q$2:$Q$5,0))</f>
        <v>Spring</v>
      </c>
      <c r="T906" s="38" t="str">
        <f t="shared" si="4"/>
        <v>Match</v>
      </c>
    </row>
    <row r="907" ht="12.75" customHeight="1">
      <c r="A907" s="38">
        <f>dataset_A!A907</f>
        <v>648</v>
      </c>
      <c r="B907" s="39">
        <f>dataset_A!B907</f>
        <v>40573</v>
      </c>
      <c r="C907" s="38">
        <f>dataset_A!F907</f>
        <v>7</v>
      </c>
      <c r="D907" s="38">
        <f>dataset_A!H907</f>
        <v>0</v>
      </c>
      <c r="E907" s="38" t="b">
        <f>dataset_A!G907</f>
        <v>0</v>
      </c>
      <c r="F907" s="38" t="b">
        <f>dataset_A!G907</f>
        <v>0</v>
      </c>
      <c r="G907" s="38" t="str">
        <f t="shared" si="1"/>
        <v>Weekend</v>
      </c>
      <c r="H907" s="38" t="str">
        <f t="shared" si="2"/>
        <v>Morning</v>
      </c>
      <c r="I907" s="38" t="str">
        <f>IF(dataset_A!C907=1,"Spring",IF(dataset_A!C907=2,"Summer",IF(dataset_A!C907=3,"Fail","Winter")))</f>
        <v>Spring</v>
      </c>
      <c r="J907" s="38" t="str">
        <f>IF(dataset_A!I907=1,"Clear",IF(dataset_A!I907,"Mist/Cloudy",IF(dataset_A!I907=3,"Light Rain/Snow","Heavy Rain/Snow")))</f>
        <v>Clear</v>
      </c>
      <c r="K907" s="38">
        <f>dataset_A!N907</f>
        <v>0</v>
      </c>
      <c r="L907" s="38">
        <f>dataset_A!O907</f>
        <v>3</v>
      </c>
      <c r="M907" s="38">
        <f>dataset_A!P907</f>
        <v>3</v>
      </c>
      <c r="N907" s="38" t="str">
        <f t="shared" si="3"/>
        <v>Ok</v>
      </c>
      <c r="O907" s="38" t="str">
        <f>IF(M907&gt;Analysis!$B$3*1.5,"High",IF(M907&lt;Analysis!$B$3*0.5,"Low","Medium"))</f>
        <v>Low</v>
      </c>
      <c r="P907" s="38" t="str">
        <f>VLOOKUP(dataset_A!C907,$Q$2:$R$5,2,0)</f>
        <v>Spring</v>
      </c>
      <c r="S907" s="38" t="str">
        <f t="array" ref="S907">INDEX($R$2:$R$5,MATCH(dataset_A!C907,$Q$2:$Q$5,0))</f>
        <v>Spring</v>
      </c>
      <c r="T907" s="38" t="str">
        <f t="shared" si="4"/>
        <v>Match</v>
      </c>
    </row>
    <row r="908" ht="12.75" customHeight="1">
      <c r="A908" s="38">
        <f>dataset_A!A908</f>
        <v>690</v>
      </c>
      <c r="B908" s="39">
        <f>dataset_A!B908</f>
        <v>40575</v>
      </c>
      <c r="C908" s="38">
        <f>dataset_A!F908</f>
        <v>1</v>
      </c>
      <c r="D908" s="38">
        <f>dataset_A!H908</f>
        <v>2</v>
      </c>
      <c r="E908" s="38" t="b">
        <f>dataset_A!G908</f>
        <v>0</v>
      </c>
      <c r="F908" s="38" t="b">
        <f>dataset_A!G908</f>
        <v>0</v>
      </c>
      <c r="G908" s="38" t="str">
        <f t="shared" si="1"/>
        <v>Weekday</v>
      </c>
      <c r="H908" s="38" t="str">
        <f t="shared" si="2"/>
        <v>Night</v>
      </c>
      <c r="I908" s="38" t="str">
        <f>IF(dataset_A!C908=1,"Spring",IF(dataset_A!C908=2,"Summer",IF(dataset_A!C908=3,"Fail","Winter")))</f>
        <v>Spring</v>
      </c>
      <c r="J908" s="38" t="str">
        <f>IF(dataset_A!I908=1,"Clear",IF(dataset_A!I908,"Mist/Cloudy",IF(dataset_A!I908=3,"Light Rain/Snow","Heavy Rain/Snow")))</f>
        <v>Mist/Cloudy</v>
      </c>
      <c r="K908" s="38">
        <f>dataset_A!N908</f>
        <v>0</v>
      </c>
      <c r="L908" s="38">
        <f>dataset_A!O908</f>
        <v>3</v>
      </c>
      <c r="M908" s="38">
        <f>dataset_A!P908</f>
        <v>3</v>
      </c>
      <c r="N908" s="38" t="str">
        <f t="shared" si="3"/>
        <v>Ok</v>
      </c>
      <c r="O908" s="38" t="str">
        <f>IF(M908&gt;Analysis!$B$3*1.5,"High",IF(M908&lt;Analysis!$B$3*0.5,"Low","Medium"))</f>
        <v>Low</v>
      </c>
      <c r="P908" s="38" t="str">
        <f>VLOOKUP(dataset_A!C908,$Q$2:$R$5,2,0)</f>
        <v>Spring</v>
      </c>
      <c r="S908" s="38" t="str">
        <f t="array" ref="S908">INDEX($R$2:$R$5,MATCH(dataset_A!C908,$Q$2:$Q$5,0))</f>
        <v>Spring</v>
      </c>
      <c r="T908" s="38" t="str">
        <f t="shared" si="4"/>
        <v>Match</v>
      </c>
    </row>
    <row r="909" ht="12.75" customHeight="1">
      <c r="A909" s="38">
        <f>dataset_A!A909</f>
        <v>693</v>
      </c>
      <c r="B909" s="39">
        <f>dataset_A!B909</f>
        <v>40575</v>
      </c>
      <c r="C909" s="38">
        <f>dataset_A!F909</f>
        <v>5</v>
      </c>
      <c r="D909" s="38">
        <f>dataset_A!H909</f>
        <v>2</v>
      </c>
      <c r="E909" s="38" t="b">
        <f>dataset_A!G909</f>
        <v>0</v>
      </c>
      <c r="F909" s="38" t="b">
        <f>dataset_A!G909</f>
        <v>0</v>
      </c>
      <c r="G909" s="38" t="str">
        <f t="shared" si="1"/>
        <v>Weekday</v>
      </c>
      <c r="H909" s="38" t="str">
        <f t="shared" si="2"/>
        <v>Night</v>
      </c>
      <c r="I909" s="38" t="str">
        <f>IF(dataset_A!C909=1,"Spring",IF(dataset_A!C909=2,"Summer",IF(dataset_A!C909=3,"Fail","Winter")))</f>
        <v>Spring</v>
      </c>
      <c r="J909" s="38" t="str">
        <f>IF(dataset_A!I909=1,"Clear",IF(dataset_A!I909,"Mist/Cloudy",IF(dataset_A!I909=3,"Light Rain/Snow","Heavy Rain/Snow")))</f>
        <v>Mist/Cloudy</v>
      </c>
      <c r="K909" s="38">
        <f>dataset_A!N909</f>
        <v>0</v>
      </c>
      <c r="L909" s="38">
        <f>dataset_A!O909</f>
        <v>3</v>
      </c>
      <c r="M909" s="38">
        <f>dataset_A!P909</f>
        <v>3</v>
      </c>
      <c r="N909" s="38" t="str">
        <f t="shared" si="3"/>
        <v>Ok</v>
      </c>
      <c r="O909" s="38" t="str">
        <f>IF(M909&gt;Analysis!$B$3*1.5,"High",IF(M909&lt;Analysis!$B$3*0.5,"Low","Medium"))</f>
        <v>Low</v>
      </c>
      <c r="P909" s="38" t="str">
        <f>VLOOKUP(dataset_A!C909,$Q$2:$R$5,2,0)</f>
        <v>Spring</v>
      </c>
      <c r="S909" s="38" t="str">
        <f t="array" ref="S909">INDEX($R$2:$R$5,MATCH(dataset_A!C909,$Q$2:$Q$5,0))</f>
        <v>Spring</v>
      </c>
      <c r="T909" s="38" t="str">
        <f t="shared" si="4"/>
        <v>Match</v>
      </c>
    </row>
    <row r="910" ht="12.75" customHeight="1">
      <c r="A910" s="38">
        <f>dataset_A!A910</f>
        <v>713</v>
      </c>
      <c r="B910" s="39">
        <f>dataset_A!B910</f>
        <v>40576</v>
      </c>
      <c r="C910" s="38">
        <f>dataset_A!F910</f>
        <v>1</v>
      </c>
      <c r="D910" s="38">
        <f>dataset_A!H910</f>
        <v>3</v>
      </c>
      <c r="E910" s="38" t="b">
        <f>dataset_A!G910</f>
        <v>0</v>
      </c>
      <c r="F910" s="38" t="b">
        <f>dataset_A!G910</f>
        <v>0</v>
      </c>
      <c r="G910" s="38" t="str">
        <f t="shared" si="1"/>
        <v>Weekday</v>
      </c>
      <c r="H910" s="38" t="str">
        <f t="shared" si="2"/>
        <v>Night</v>
      </c>
      <c r="I910" s="38" t="str">
        <f>IF(dataset_A!C910=1,"Spring",IF(dataset_A!C910=2,"Summer",IF(dataset_A!C910=3,"Fail","Winter")))</f>
        <v>Spring</v>
      </c>
      <c r="J910" s="38" t="str">
        <f>IF(dataset_A!I910=1,"Clear",IF(dataset_A!I910,"Mist/Cloudy",IF(dataset_A!I910=3,"Light Rain/Snow","Heavy Rain/Snow")))</f>
        <v>Mist/Cloudy</v>
      </c>
      <c r="K910" s="38">
        <f>dataset_A!N910</f>
        <v>0</v>
      </c>
      <c r="L910" s="38">
        <f>dataset_A!O910</f>
        <v>3</v>
      </c>
      <c r="M910" s="38">
        <f>dataset_A!P910</f>
        <v>3</v>
      </c>
      <c r="N910" s="38" t="str">
        <f t="shared" si="3"/>
        <v>Ok</v>
      </c>
      <c r="O910" s="38" t="str">
        <f>IF(M910&gt;Analysis!$B$3*1.5,"High",IF(M910&lt;Analysis!$B$3*0.5,"Low","Medium"))</f>
        <v>Low</v>
      </c>
      <c r="P910" s="38" t="str">
        <f>VLOOKUP(dataset_A!C910,$Q$2:$R$5,2,0)</f>
        <v>Spring</v>
      </c>
      <c r="S910" s="38" t="str">
        <f t="array" ref="S910">INDEX($R$2:$R$5,MATCH(dataset_A!C910,$Q$2:$Q$5,0))</f>
        <v>Spring</v>
      </c>
      <c r="T910" s="38" t="str">
        <f t="shared" si="4"/>
        <v>Match</v>
      </c>
    </row>
    <row r="911" ht="12.75" customHeight="1">
      <c r="A911" s="38">
        <f>dataset_A!A911</f>
        <v>717</v>
      </c>
      <c r="B911" s="39">
        <f>dataset_A!B911</f>
        <v>40576</v>
      </c>
      <c r="C911" s="38">
        <f>dataset_A!F911</f>
        <v>5</v>
      </c>
      <c r="D911" s="38">
        <f>dataset_A!H911</f>
        <v>3</v>
      </c>
      <c r="E911" s="38" t="b">
        <f>dataset_A!G911</f>
        <v>0</v>
      </c>
      <c r="F911" s="38" t="b">
        <f>dataset_A!G911</f>
        <v>0</v>
      </c>
      <c r="G911" s="38" t="str">
        <f t="shared" si="1"/>
        <v>Weekday</v>
      </c>
      <c r="H911" s="38" t="str">
        <f t="shared" si="2"/>
        <v>Night</v>
      </c>
      <c r="I911" s="38" t="str">
        <f>IF(dataset_A!C911=1,"Spring",IF(dataset_A!C911=2,"Summer",IF(dataset_A!C911=3,"Fail","Winter")))</f>
        <v>Spring</v>
      </c>
      <c r="J911" s="38" t="str">
        <f>IF(dataset_A!I911=1,"Clear",IF(dataset_A!I911,"Mist/Cloudy",IF(dataset_A!I911=3,"Light Rain/Snow","Heavy Rain/Snow")))</f>
        <v>Mist/Cloudy</v>
      </c>
      <c r="K911" s="38">
        <f>dataset_A!N911</f>
        <v>0</v>
      </c>
      <c r="L911" s="38">
        <f>dataset_A!O911</f>
        <v>3</v>
      </c>
      <c r="M911" s="38">
        <f>dataset_A!P911</f>
        <v>3</v>
      </c>
      <c r="N911" s="38" t="str">
        <f t="shared" si="3"/>
        <v>Ok</v>
      </c>
      <c r="O911" s="38" t="str">
        <f>IF(M911&gt;Analysis!$B$3*1.5,"High",IF(M911&lt;Analysis!$B$3*0.5,"Low","Medium"))</f>
        <v>Low</v>
      </c>
      <c r="P911" s="38" t="str">
        <f>VLOOKUP(dataset_A!C911,$Q$2:$R$5,2,0)</f>
        <v>Spring</v>
      </c>
      <c r="S911" s="38" t="str">
        <f t="array" ref="S911">INDEX($R$2:$R$5,MATCH(dataset_A!C911,$Q$2:$Q$5,0))</f>
        <v>Spring</v>
      </c>
      <c r="T911" s="38" t="str">
        <f t="shared" si="4"/>
        <v>Match</v>
      </c>
    </row>
    <row r="912" ht="12.75" customHeight="1">
      <c r="A912" s="38">
        <f>dataset_A!A912</f>
        <v>832</v>
      </c>
      <c r="B912" s="39">
        <f>dataset_A!B912</f>
        <v>40581</v>
      </c>
      <c r="C912" s="38">
        <f>dataset_A!F912</f>
        <v>2</v>
      </c>
      <c r="D912" s="38">
        <f>dataset_A!H912</f>
        <v>1</v>
      </c>
      <c r="E912" s="38" t="b">
        <f>dataset_A!G912</f>
        <v>0</v>
      </c>
      <c r="F912" s="38" t="b">
        <f>dataset_A!G912</f>
        <v>0</v>
      </c>
      <c r="G912" s="38" t="str">
        <f t="shared" si="1"/>
        <v>Weekday</v>
      </c>
      <c r="H912" s="38" t="str">
        <f t="shared" si="2"/>
        <v>Night</v>
      </c>
      <c r="I912" s="38" t="str">
        <f>IF(dataset_A!C912=1,"Spring",IF(dataset_A!C912=2,"Summer",IF(dataset_A!C912=3,"Fail","Winter")))</f>
        <v>Spring</v>
      </c>
      <c r="J912" s="38" t="str">
        <f>IF(dataset_A!I912=1,"Clear",IF(dataset_A!I912,"Mist/Cloudy",IF(dataset_A!I912=3,"Light Rain/Snow","Heavy Rain/Snow")))</f>
        <v>Clear</v>
      </c>
      <c r="K912" s="38">
        <f>dataset_A!N912</f>
        <v>0</v>
      </c>
      <c r="L912" s="38">
        <f>dataset_A!O912</f>
        <v>3</v>
      </c>
      <c r="M912" s="38">
        <f>dataset_A!P912</f>
        <v>3</v>
      </c>
      <c r="N912" s="38" t="str">
        <f t="shared" si="3"/>
        <v>Ok</v>
      </c>
      <c r="O912" s="38" t="str">
        <f>IF(M912&gt;Analysis!$B$3*1.5,"High",IF(M912&lt;Analysis!$B$3*0.5,"Low","Medium"))</f>
        <v>Low</v>
      </c>
      <c r="P912" s="38" t="str">
        <f>VLOOKUP(dataset_A!C912,$Q$2:$R$5,2,0)</f>
        <v>Spring</v>
      </c>
      <c r="S912" s="38" t="str">
        <f t="array" ref="S912">INDEX($R$2:$R$5,MATCH(dataset_A!C912,$Q$2:$Q$5,0))</f>
        <v>Spring</v>
      </c>
      <c r="T912" s="38" t="str">
        <f t="shared" si="4"/>
        <v>Match</v>
      </c>
    </row>
    <row r="913" ht="12.75" customHeight="1">
      <c r="A913" s="38">
        <f>dataset_A!A913</f>
        <v>858</v>
      </c>
      <c r="B913" s="39">
        <f>dataset_A!B913</f>
        <v>40582</v>
      </c>
      <c r="C913" s="38">
        <f>dataset_A!F913</f>
        <v>4</v>
      </c>
      <c r="D913" s="38">
        <f>dataset_A!H913</f>
        <v>2</v>
      </c>
      <c r="E913" s="38" t="b">
        <f>dataset_A!G913</f>
        <v>0</v>
      </c>
      <c r="F913" s="38" t="b">
        <f>dataset_A!G913</f>
        <v>0</v>
      </c>
      <c r="G913" s="38" t="str">
        <f t="shared" si="1"/>
        <v>Weekday</v>
      </c>
      <c r="H913" s="38" t="str">
        <f t="shared" si="2"/>
        <v>Night</v>
      </c>
      <c r="I913" s="38" t="str">
        <f>IF(dataset_A!C913=1,"Spring",IF(dataset_A!C913=2,"Summer",IF(dataset_A!C913=3,"Fail","Winter")))</f>
        <v>Spring</v>
      </c>
      <c r="J913" s="38" t="str">
        <f>IF(dataset_A!I913=1,"Clear",IF(dataset_A!I913,"Mist/Cloudy",IF(dataset_A!I913=3,"Light Rain/Snow","Heavy Rain/Snow")))</f>
        <v>Clear</v>
      </c>
      <c r="K913" s="38">
        <f>dataset_A!N913</f>
        <v>0</v>
      </c>
      <c r="L913" s="38">
        <f>dataset_A!O913</f>
        <v>3</v>
      </c>
      <c r="M913" s="38">
        <f>dataset_A!P913</f>
        <v>3</v>
      </c>
      <c r="N913" s="38" t="str">
        <f t="shared" si="3"/>
        <v>Ok</v>
      </c>
      <c r="O913" s="38" t="str">
        <f>IF(M913&gt;Analysis!$B$3*1.5,"High",IF(M913&lt;Analysis!$B$3*0.5,"Low","Medium"))</f>
        <v>Low</v>
      </c>
      <c r="P913" s="38" t="str">
        <f>VLOOKUP(dataset_A!C913,$Q$2:$R$5,2,0)</f>
        <v>Spring</v>
      </c>
      <c r="S913" s="38" t="str">
        <f t="array" ref="S913">INDEX($R$2:$R$5,MATCH(dataset_A!C913,$Q$2:$Q$5,0))</f>
        <v>Spring</v>
      </c>
      <c r="T913" s="38" t="str">
        <f t="shared" si="4"/>
        <v>Match</v>
      </c>
    </row>
    <row r="914" ht="12.75" customHeight="1">
      <c r="A914" s="38">
        <f>dataset_A!A914</f>
        <v>880</v>
      </c>
      <c r="B914" s="39">
        <f>dataset_A!B914</f>
        <v>40583</v>
      </c>
      <c r="C914" s="38">
        <f>dataset_A!F914</f>
        <v>2</v>
      </c>
      <c r="D914" s="38">
        <f>dataset_A!H914</f>
        <v>3</v>
      </c>
      <c r="E914" s="38" t="b">
        <f>dataset_A!G914</f>
        <v>0</v>
      </c>
      <c r="F914" s="38" t="b">
        <f>dataset_A!G914</f>
        <v>0</v>
      </c>
      <c r="G914" s="38" t="str">
        <f t="shared" si="1"/>
        <v>Weekday</v>
      </c>
      <c r="H914" s="38" t="str">
        <f t="shared" si="2"/>
        <v>Night</v>
      </c>
      <c r="I914" s="38" t="str">
        <f>IF(dataset_A!C914=1,"Spring",IF(dataset_A!C914=2,"Summer",IF(dataset_A!C914=3,"Fail","Winter")))</f>
        <v>Spring</v>
      </c>
      <c r="J914" s="38" t="str">
        <f>IF(dataset_A!I914=1,"Clear",IF(dataset_A!I914,"Mist/Cloudy",IF(dataset_A!I914=3,"Light Rain/Snow","Heavy Rain/Snow")))</f>
        <v>Clear</v>
      </c>
      <c r="K914" s="38">
        <f>dataset_A!N914</f>
        <v>1</v>
      </c>
      <c r="L914" s="38">
        <f>dataset_A!O914</f>
        <v>2</v>
      </c>
      <c r="M914" s="38">
        <f>dataset_A!P914</f>
        <v>3</v>
      </c>
      <c r="N914" s="38" t="str">
        <f t="shared" si="3"/>
        <v>Ok</v>
      </c>
      <c r="O914" s="38" t="str">
        <f>IF(M914&gt;Analysis!$B$3*1.5,"High",IF(M914&lt;Analysis!$B$3*0.5,"Low","Medium"))</f>
        <v>Low</v>
      </c>
      <c r="P914" s="38" t="str">
        <f>VLOOKUP(dataset_A!C914,$Q$2:$R$5,2,0)</f>
        <v>Spring</v>
      </c>
      <c r="S914" s="38" t="str">
        <f t="array" ref="S914">INDEX($R$2:$R$5,MATCH(dataset_A!C914,$Q$2:$Q$5,0))</f>
        <v>Spring</v>
      </c>
      <c r="T914" s="38" t="str">
        <f t="shared" si="4"/>
        <v>Match</v>
      </c>
    </row>
    <row r="915" ht="12.75" customHeight="1">
      <c r="A915" s="38">
        <f>dataset_A!A915</f>
        <v>903</v>
      </c>
      <c r="B915" s="39">
        <f>dataset_A!B915</f>
        <v>40584</v>
      </c>
      <c r="C915" s="38">
        <f>dataset_A!F915</f>
        <v>2</v>
      </c>
      <c r="D915" s="38">
        <f>dataset_A!H915</f>
        <v>4</v>
      </c>
      <c r="E915" s="38" t="b">
        <f>dataset_A!G915</f>
        <v>0</v>
      </c>
      <c r="F915" s="38" t="b">
        <f>dataset_A!G915</f>
        <v>0</v>
      </c>
      <c r="G915" s="38" t="str">
        <f t="shared" si="1"/>
        <v>Weekday</v>
      </c>
      <c r="H915" s="38" t="str">
        <f t="shared" si="2"/>
        <v>Night</v>
      </c>
      <c r="I915" s="38" t="str">
        <f>IF(dataset_A!C915=1,"Spring",IF(dataset_A!C915=2,"Summer",IF(dataset_A!C915=3,"Fail","Winter")))</f>
        <v>Spring</v>
      </c>
      <c r="J915" s="38" t="str">
        <f>IF(dataset_A!I915=1,"Clear",IF(dataset_A!I915,"Mist/Cloudy",IF(dataset_A!I915=3,"Light Rain/Snow","Heavy Rain/Snow")))</f>
        <v>Mist/Cloudy</v>
      </c>
      <c r="K915" s="38">
        <f>dataset_A!N915</f>
        <v>0</v>
      </c>
      <c r="L915" s="38">
        <f>dataset_A!O915</f>
        <v>3</v>
      </c>
      <c r="M915" s="38">
        <f>dataset_A!P915</f>
        <v>3</v>
      </c>
      <c r="N915" s="38" t="str">
        <f t="shared" si="3"/>
        <v>Ok</v>
      </c>
      <c r="O915" s="38" t="str">
        <f>IF(M915&gt;Analysis!$B$3*1.5,"High",IF(M915&lt;Analysis!$B$3*0.5,"Low","Medium"))</f>
        <v>Low</v>
      </c>
      <c r="P915" s="38" t="str">
        <f>VLOOKUP(dataset_A!C915,$Q$2:$R$5,2,0)</f>
        <v>Spring</v>
      </c>
      <c r="S915" s="38" t="str">
        <f t="array" ref="S915">INDEX($R$2:$R$5,MATCH(dataset_A!C915,$Q$2:$Q$5,0))</f>
        <v>Spring</v>
      </c>
      <c r="T915" s="38" t="str">
        <f t="shared" si="4"/>
        <v>Match</v>
      </c>
    </row>
    <row r="916" ht="12.75" customHeight="1">
      <c r="A916" s="38">
        <f>dataset_A!A916</f>
        <v>926</v>
      </c>
      <c r="B916" s="39">
        <f>dataset_A!B916</f>
        <v>40585</v>
      </c>
      <c r="C916" s="38">
        <f>dataset_A!F916</f>
        <v>2</v>
      </c>
      <c r="D916" s="38">
        <f>dataset_A!H916</f>
        <v>5</v>
      </c>
      <c r="E916" s="38" t="b">
        <f>dataset_A!G916</f>
        <v>0</v>
      </c>
      <c r="F916" s="38" t="b">
        <f>dataset_A!G916</f>
        <v>0</v>
      </c>
      <c r="G916" s="38" t="str">
        <f t="shared" si="1"/>
        <v>Weekday</v>
      </c>
      <c r="H916" s="38" t="str">
        <f t="shared" si="2"/>
        <v>Night</v>
      </c>
      <c r="I916" s="38" t="str">
        <f>IF(dataset_A!C916=1,"Spring",IF(dataset_A!C916=2,"Summer",IF(dataset_A!C916=3,"Fail","Winter")))</f>
        <v>Spring</v>
      </c>
      <c r="J916" s="38" t="str">
        <f>IF(dataset_A!I916=1,"Clear",IF(dataset_A!I916,"Mist/Cloudy",IF(dataset_A!I916=3,"Light Rain/Snow","Heavy Rain/Snow")))</f>
        <v>Clear</v>
      </c>
      <c r="K916" s="38">
        <f>dataset_A!N916</f>
        <v>0</v>
      </c>
      <c r="L916" s="38">
        <f>dataset_A!O916</f>
        <v>3</v>
      </c>
      <c r="M916" s="38">
        <f>dataset_A!P916</f>
        <v>3</v>
      </c>
      <c r="N916" s="38" t="str">
        <f t="shared" si="3"/>
        <v>Ok</v>
      </c>
      <c r="O916" s="38" t="str">
        <f>IF(M916&gt;Analysis!$B$3*1.5,"High",IF(M916&lt;Analysis!$B$3*0.5,"Low","Medium"))</f>
        <v>Low</v>
      </c>
      <c r="P916" s="38" t="str">
        <f>VLOOKUP(dataset_A!C916,$Q$2:$R$5,2,0)</f>
        <v>Spring</v>
      </c>
      <c r="S916" s="38" t="str">
        <f t="array" ref="S916">INDEX($R$2:$R$5,MATCH(dataset_A!C916,$Q$2:$Q$5,0))</f>
        <v>Spring</v>
      </c>
      <c r="T916" s="38" t="str">
        <f t="shared" si="4"/>
        <v>Match</v>
      </c>
    </row>
    <row r="917" ht="12.75" customHeight="1">
      <c r="A917" s="38">
        <f>dataset_A!A917</f>
        <v>976</v>
      </c>
      <c r="B917" s="39">
        <f>dataset_A!B917</f>
        <v>40587</v>
      </c>
      <c r="C917" s="38">
        <f>dataset_A!F917</f>
        <v>7</v>
      </c>
      <c r="D917" s="38">
        <f>dataset_A!H917</f>
        <v>0</v>
      </c>
      <c r="E917" s="38" t="b">
        <f>dataset_A!G917</f>
        <v>0</v>
      </c>
      <c r="F917" s="38" t="b">
        <f>dataset_A!G917</f>
        <v>0</v>
      </c>
      <c r="G917" s="38" t="str">
        <f t="shared" si="1"/>
        <v>Weekend</v>
      </c>
      <c r="H917" s="38" t="str">
        <f t="shared" si="2"/>
        <v>Morning</v>
      </c>
      <c r="I917" s="38" t="str">
        <f>IF(dataset_A!C917=1,"Spring",IF(dataset_A!C917=2,"Summer",IF(dataset_A!C917=3,"Fail","Winter")))</f>
        <v>Spring</v>
      </c>
      <c r="J917" s="38" t="str">
        <f>IF(dataset_A!I917=1,"Clear",IF(dataset_A!I917,"Mist/Cloudy",IF(dataset_A!I917=3,"Light Rain/Snow","Heavy Rain/Snow")))</f>
        <v>Mist/Cloudy</v>
      </c>
      <c r="K917" s="38">
        <f>dataset_A!N917</f>
        <v>0</v>
      </c>
      <c r="L917" s="38">
        <f>dataset_A!O917</f>
        <v>3</v>
      </c>
      <c r="M917" s="38">
        <f>dataset_A!P917</f>
        <v>3</v>
      </c>
      <c r="N917" s="38" t="str">
        <f t="shared" si="3"/>
        <v>Ok</v>
      </c>
      <c r="O917" s="38" t="str">
        <f>IF(M917&gt;Analysis!$B$3*1.5,"High",IF(M917&lt;Analysis!$B$3*0.5,"Low","Medium"))</f>
        <v>Low</v>
      </c>
      <c r="P917" s="38" t="str">
        <f>VLOOKUP(dataset_A!C917,$Q$2:$R$5,2,0)</f>
        <v>Spring</v>
      </c>
      <c r="S917" s="38" t="str">
        <f t="array" ref="S917">INDEX($R$2:$R$5,MATCH(dataset_A!C917,$Q$2:$Q$5,0))</f>
        <v>Spring</v>
      </c>
      <c r="T917" s="38" t="str">
        <f t="shared" si="4"/>
        <v>Match</v>
      </c>
    </row>
    <row r="918" ht="12.75" customHeight="1">
      <c r="A918" s="38">
        <f>dataset_A!A918</f>
        <v>998</v>
      </c>
      <c r="B918" s="39">
        <f>dataset_A!B918</f>
        <v>40588</v>
      </c>
      <c r="C918" s="38">
        <f>dataset_A!F918</f>
        <v>5</v>
      </c>
      <c r="D918" s="38">
        <f>dataset_A!H918</f>
        <v>1</v>
      </c>
      <c r="E918" s="38" t="b">
        <f>dataset_A!G918</f>
        <v>0</v>
      </c>
      <c r="F918" s="38" t="b">
        <f>dataset_A!G918</f>
        <v>0</v>
      </c>
      <c r="G918" s="38" t="str">
        <f t="shared" si="1"/>
        <v>Weekday</v>
      </c>
      <c r="H918" s="38" t="str">
        <f t="shared" si="2"/>
        <v>Night</v>
      </c>
      <c r="I918" s="38" t="str">
        <f>IF(dataset_A!C918=1,"Spring",IF(dataset_A!C918=2,"Summer",IF(dataset_A!C918=3,"Fail","Winter")))</f>
        <v>Spring</v>
      </c>
      <c r="J918" s="38" t="str">
        <f>IF(dataset_A!I918=1,"Clear",IF(dataset_A!I918,"Mist/Cloudy",IF(dataset_A!I918=3,"Light Rain/Snow","Heavy Rain/Snow")))</f>
        <v>Clear</v>
      </c>
      <c r="K918" s="38">
        <f>dataset_A!N918</f>
        <v>0</v>
      </c>
      <c r="L918" s="38">
        <f>dataset_A!O918</f>
        <v>3</v>
      </c>
      <c r="M918" s="38">
        <f>dataset_A!P918</f>
        <v>3</v>
      </c>
      <c r="N918" s="38" t="str">
        <f t="shared" si="3"/>
        <v>Ok</v>
      </c>
      <c r="O918" s="38" t="str">
        <f>IF(M918&gt;Analysis!$B$3*1.5,"High",IF(M918&lt;Analysis!$B$3*0.5,"Low","Medium"))</f>
        <v>Low</v>
      </c>
      <c r="P918" s="38" t="str">
        <f>VLOOKUP(dataset_A!C918,$Q$2:$R$5,2,0)</f>
        <v>Spring</v>
      </c>
      <c r="S918" s="38" t="str">
        <f t="array" ref="S918">INDEX($R$2:$R$5,MATCH(dataset_A!C918,$Q$2:$Q$5,0))</f>
        <v>Spring</v>
      </c>
      <c r="T918" s="38" t="str">
        <f t="shared" si="4"/>
        <v>Match</v>
      </c>
    </row>
    <row r="919" ht="12.75" customHeight="1">
      <c r="A919" s="38">
        <f>dataset_A!A919</f>
        <v>7</v>
      </c>
      <c r="B919" s="39">
        <f>dataset_A!B919</f>
        <v>40544</v>
      </c>
      <c r="C919" s="38">
        <f>dataset_A!F919</f>
        <v>6</v>
      </c>
      <c r="D919" s="38">
        <f>dataset_A!H919</f>
        <v>6</v>
      </c>
      <c r="E919" s="38" t="b">
        <f>dataset_A!G919</f>
        <v>0</v>
      </c>
      <c r="F919" s="38" t="b">
        <f>dataset_A!G919</f>
        <v>0</v>
      </c>
      <c r="G919" s="38" t="str">
        <f t="shared" si="1"/>
        <v>Weekend</v>
      </c>
      <c r="H919" s="38" t="str">
        <f t="shared" si="2"/>
        <v>Morning</v>
      </c>
      <c r="I919" s="38" t="str">
        <f>IF(dataset_A!C919=1,"Spring",IF(dataset_A!C919=2,"Summer",IF(dataset_A!C919=3,"Fail","Winter")))</f>
        <v>Spring</v>
      </c>
      <c r="J919" s="38" t="str">
        <f>IF(dataset_A!I919=1,"Clear",IF(dataset_A!I919,"Mist/Cloudy",IF(dataset_A!I919=3,"Light Rain/Snow","Heavy Rain/Snow")))</f>
        <v>Clear</v>
      </c>
      <c r="K919" s="38">
        <f>dataset_A!N919</f>
        <v>2</v>
      </c>
      <c r="L919" s="38">
        <f>dataset_A!O919</f>
        <v>0</v>
      </c>
      <c r="M919" s="38">
        <f>dataset_A!P919</f>
        <v>2</v>
      </c>
      <c r="N919" s="38" t="str">
        <f t="shared" si="3"/>
        <v>Ok</v>
      </c>
      <c r="O919" s="38" t="str">
        <f>IF(M919&gt;Analysis!$B$3*1.5,"High",IF(M919&lt;Analysis!$B$3*0.5,"Low","Medium"))</f>
        <v>Low</v>
      </c>
      <c r="P919" s="38" t="str">
        <f>VLOOKUP(dataset_A!C919,$Q$2:$R$5,2,0)</f>
        <v>Spring</v>
      </c>
      <c r="S919" s="38" t="str">
        <f t="array" ref="S919">INDEX($R$2:$R$5,MATCH(dataset_A!C919,$Q$2:$Q$5,0))</f>
        <v>Spring</v>
      </c>
      <c r="T919" s="38" t="str">
        <f t="shared" si="4"/>
        <v>Match</v>
      </c>
    </row>
    <row r="920" ht="12.75" customHeight="1">
      <c r="A920" s="38">
        <f>dataset_A!A920</f>
        <v>30</v>
      </c>
      <c r="B920" s="39">
        <f>dataset_A!B920</f>
        <v>40545</v>
      </c>
      <c r="C920" s="38">
        <f>dataset_A!F920</f>
        <v>6</v>
      </c>
      <c r="D920" s="38">
        <f>dataset_A!H920</f>
        <v>0</v>
      </c>
      <c r="E920" s="38" t="b">
        <f>dataset_A!G920</f>
        <v>0</v>
      </c>
      <c r="F920" s="38" t="b">
        <f>dataset_A!G920</f>
        <v>0</v>
      </c>
      <c r="G920" s="38" t="str">
        <f t="shared" si="1"/>
        <v>Weekend</v>
      </c>
      <c r="H920" s="38" t="str">
        <f t="shared" si="2"/>
        <v>Morning</v>
      </c>
      <c r="I920" s="38" t="str">
        <f>IF(dataset_A!C920=1,"Spring",IF(dataset_A!C920=2,"Summer",IF(dataset_A!C920=3,"Fail","Winter")))</f>
        <v>Spring</v>
      </c>
      <c r="J920" s="38" t="str">
        <f>IF(dataset_A!I920=1,"Clear",IF(dataset_A!I920,"Mist/Cloudy",IF(dataset_A!I920=3,"Light Rain/Snow","Heavy Rain/Snow")))</f>
        <v>Mist/Cloudy</v>
      </c>
      <c r="K920" s="38">
        <f>dataset_A!N920</f>
        <v>0</v>
      </c>
      <c r="L920" s="38">
        <f>dataset_A!O920</f>
        <v>2</v>
      </c>
      <c r="M920" s="38">
        <f>dataset_A!P920</f>
        <v>2</v>
      </c>
      <c r="N920" s="38" t="str">
        <f t="shared" si="3"/>
        <v>Ok</v>
      </c>
      <c r="O920" s="38" t="str">
        <f>IF(M920&gt;Analysis!$B$3*1.5,"High",IF(M920&lt;Analysis!$B$3*0.5,"Low","Medium"))</f>
        <v>Low</v>
      </c>
      <c r="P920" s="38" t="str">
        <f>VLOOKUP(dataset_A!C920,$Q$2:$R$5,2,0)</f>
        <v>Spring</v>
      </c>
      <c r="S920" s="38" t="str">
        <f t="array" ref="S920">INDEX($R$2:$R$5,MATCH(dataset_A!C920,$Q$2:$Q$5,0))</f>
        <v>Spring</v>
      </c>
      <c r="T920" s="38" t="str">
        <f t="shared" si="4"/>
        <v>Match</v>
      </c>
    </row>
    <row r="921" ht="12.75" customHeight="1">
      <c r="A921" s="38">
        <f>dataset_A!A921</f>
        <v>49</v>
      </c>
      <c r="B921" s="39">
        <f>dataset_A!B921</f>
        <v>40546</v>
      </c>
      <c r="C921" s="38">
        <f>dataset_A!F921</f>
        <v>1</v>
      </c>
      <c r="D921" s="38">
        <f>dataset_A!H921</f>
        <v>1</v>
      </c>
      <c r="E921" s="38" t="b">
        <f>dataset_A!G921</f>
        <v>0</v>
      </c>
      <c r="F921" s="38" t="b">
        <f>dataset_A!G921</f>
        <v>0</v>
      </c>
      <c r="G921" s="38" t="str">
        <f t="shared" si="1"/>
        <v>Weekday</v>
      </c>
      <c r="H921" s="38" t="str">
        <f t="shared" si="2"/>
        <v>Night</v>
      </c>
      <c r="I921" s="38" t="str">
        <f>IF(dataset_A!C921=1,"Spring",IF(dataset_A!C921=2,"Summer",IF(dataset_A!C921=3,"Fail","Winter")))</f>
        <v>Spring</v>
      </c>
      <c r="J921" s="38" t="str">
        <f>IF(dataset_A!I921=1,"Clear",IF(dataset_A!I921,"Mist/Cloudy",IF(dataset_A!I921=3,"Light Rain/Snow","Heavy Rain/Snow")))</f>
        <v>Clear</v>
      </c>
      <c r="K921" s="38">
        <f>dataset_A!N921</f>
        <v>0</v>
      </c>
      <c r="L921" s="38">
        <f>dataset_A!O921</f>
        <v>2</v>
      </c>
      <c r="M921" s="38">
        <f>dataset_A!P921</f>
        <v>2</v>
      </c>
      <c r="N921" s="38" t="str">
        <f t="shared" si="3"/>
        <v>Ok</v>
      </c>
      <c r="O921" s="38" t="str">
        <f>IF(M921&gt;Analysis!$B$3*1.5,"High",IF(M921&lt;Analysis!$B$3*0.5,"Low","Medium"))</f>
        <v>Low</v>
      </c>
      <c r="P921" s="38" t="str">
        <f>VLOOKUP(dataset_A!C921,$Q$2:$R$5,2,0)</f>
        <v>Spring</v>
      </c>
      <c r="S921" s="38" t="str">
        <f t="array" ref="S921">INDEX($R$2:$R$5,MATCH(dataset_A!C921,$Q$2:$Q$5,0))</f>
        <v>Spring</v>
      </c>
      <c r="T921" s="38" t="str">
        <f t="shared" si="4"/>
        <v>Match</v>
      </c>
    </row>
    <row r="922" ht="12.75" customHeight="1">
      <c r="A922" s="38">
        <f>dataset_A!A922</f>
        <v>71</v>
      </c>
      <c r="B922" s="39">
        <f>dataset_A!B922</f>
        <v>40547</v>
      </c>
      <c r="C922" s="38">
        <f>dataset_A!F922</f>
        <v>1</v>
      </c>
      <c r="D922" s="38">
        <f>dataset_A!H922</f>
        <v>2</v>
      </c>
      <c r="E922" s="38" t="b">
        <f>dataset_A!G922</f>
        <v>0</v>
      </c>
      <c r="F922" s="38" t="b">
        <f>dataset_A!G922</f>
        <v>0</v>
      </c>
      <c r="G922" s="38" t="str">
        <f t="shared" si="1"/>
        <v>Weekday</v>
      </c>
      <c r="H922" s="38" t="str">
        <f t="shared" si="2"/>
        <v>Night</v>
      </c>
      <c r="I922" s="38" t="str">
        <f>IF(dataset_A!C922=1,"Spring",IF(dataset_A!C922=2,"Summer",IF(dataset_A!C922=3,"Fail","Winter")))</f>
        <v>Spring</v>
      </c>
      <c r="J922" s="38" t="str">
        <f>IF(dataset_A!I922=1,"Clear",IF(dataset_A!I922,"Mist/Cloudy",IF(dataset_A!I922=3,"Light Rain/Snow","Heavy Rain/Snow")))</f>
        <v>Clear</v>
      </c>
      <c r="K922" s="38">
        <f>dataset_A!N922</f>
        <v>0</v>
      </c>
      <c r="L922" s="38">
        <f>dataset_A!O922</f>
        <v>2</v>
      </c>
      <c r="M922" s="38">
        <f>dataset_A!P922</f>
        <v>2</v>
      </c>
      <c r="N922" s="38" t="str">
        <f t="shared" si="3"/>
        <v>Ok</v>
      </c>
      <c r="O922" s="38" t="str">
        <f>IF(M922&gt;Analysis!$B$3*1.5,"High",IF(M922&lt;Analysis!$B$3*0.5,"Low","Medium"))</f>
        <v>Low</v>
      </c>
      <c r="P922" s="38" t="str">
        <f>VLOOKUP(dataset_A!C922,$Q$2:$R$5,2,0)</f>
        <v>Spring</v>
      </c>
      <c r="S922" s="38" t="str">
        <f t="array" ref="S922">INDEX($R$2:$R$5,MATCH(dataset_A!C922,$Q$2:$Q$5,0))</f>
        <v>Spring</v>
      </c>
      <c r="T922" s="38" t="str">
        <f t="shared" si="4"/>
        <v>Match</v>
      </c>
    </row>
    <row r="923" ht="12.75" customHeight="1">
      <c r="A923" s="38">
        <f>dataset_A!A923</f>
        <v>73</v>
      </c>
      <c r="B923" s="39">
        <f>dataset_A!B923</f>
        <v>40547</v>
      </c>
      <c r="C923" s="38">
        <f>dataset_A!F923</f>
        <v>4</v>
      </c>
      <c r="D923" s="38">
        <f>dataset_A!H923</f>
        <v>2</v>
      </c>
      <c r="E923" s="38" t="b">
        <f>dataset_A!G923</f>
        <v>0</v>
      </c>
      <c r="F923" s="38" t="b">
        <f>dataset_A!G923</f>
        <v>0</v>
      </c>
      <c r="G923" s="38" t="str">
        <f t="shared" si="1"/>
        <v>Weekday</v>
      </c>
      <c r="H923" s="38" t="str">
        <f t="shared" si="2"/>
        <v>Night</v>
      </c>
      <c r="I923" s="38" t="str">
        <f>IF(dataset_A!C923=1,"Spring",IF(dataset_A!C923=2,"Summer",IF(dataset_A!C923=3,"Fail","Winter")))</f>
        <v>Spring</v>
      </c>
      <c r="J923" s="38" t="str">
        <f>IF(dataset_A!I923=1,"Clear",IF(dataset_A!I923,"Mist/Cloudy",IF(dataset_A!I923=3,"Light Rain/Snow","Heavy Rain/Snow")))</f>
        <v>Clear</v>
      </c>
      <c r="K923" s="38">
        <f>dataset_A!N923</f>
        <v>0</v>
      </c>
      <c r="L923" s="38">
        <f>dataset_A!O923</f>
        <v>2</v>
      </c>
      <c r="M923" s="38">
        <f>dataset_A!P923</f>
        <v>2</v>
      </c>
      <c r="N923" s="38" t="str">
        <f t="shared" si="3"/>
        <v>Ok</v>
      </c>
      <c r="O923" s="38" t="str">
        <f>IF(M923&gt;Analysis!$B$3*1.5,"High",IF(M923&lt;Analysis!$B$3*0.5,"Low","Medium"))</f>
        <v>Low</v>
      </c>
      <c r="P923" s="38" t="str">
        <f>VLOOKUP(dataset_A!C923,$Q$2:$R$5,2,0)</f>
        <v>Spring</v>
      </c>
      <c r="S923" s="38" t="str">
        <f t="array" ref="S923">INDEX($R$2:$R$5,MATCH(dataset_A!C923,$Q$2:$Q$5,0))</f>
        <v>Spring</v>
      </c>
      <c r="T923" s="38" t="str">
        <f t="shared" si="4"/>
        <v>Match</v>
      </c>
    </row>
    <row r="924" ht="12.75" customHeight="1">
      <c r="A924" s="38">
        <f>dataset_A!A924</f>
        <v>95</v>
      </c>
      <c r="B924" s="39">
        <f>dataset_A!B924</f>
        <v>40548</v>
      </c>
      <c r="C924" s="38">
        <f>dataset_A!F924</f>
        <v>2</v>
      </c>
      <c r="D924" s="38">
        <f>dataset_A!H924</f>
        <v>3</v>
      </c>
      <c r="E924" s="38" t="b">
        <f>dataset_A!G924</f>
        <v>0</v>
      </c>
      <c r="F924" s="38" t="b">
        <f>dataset_A!G924</f>
        <v>0</v>
      </c>
      <c r="G924" s="38" t="str">
        <f t="shared" si="1"/>
        <v>Weekday</v>
      </c>
      <c r="H924" s="38" t="str">
        <f t="shared" si="2"/>
        <v>Night</v>
      </c>
      <c r="I924" s="38" t="str">
        <f>IF(dataset_A!C924=1,"Spring",IF(dataset_A!C924=2,"Summer",IF(dataset_A!C924=3,"Fail","Winter")))</f>
        <v>Spring</v>
      </c>
      <c r="J924" s="38" t="str">
        <f>IF(dataset_A!I924=1,"Clear",IF(dataset_A!I924,"Mist/Cloudy",IF(dataset_A!I924=3,"Light Rain/Snow","Heavy Rain/Snow")))</f>
        <v>Clear</v>
      </c>
      <c r="K924" s="38">
        <f>dataset_A!N924</f>
        <v>0</v>
      </c>
      <c r="L924" s="38">
        <f>dataset_A!O924</f>
        <v>2</v>
      </c>
      <c r="M924" s="38">
        <f>dataset_A!P924</f>
        <v>2</v>
      </c>
      <c r="N924" s="38" t="str">
        <f t="shared" si="3"/>
        <v>Ok</v>
      </c>
      <c r="O924" s="38" t="str">
        <f>IF(M924&gt;Analysis!$B$3*1.5,"High",IF(M924&lt;Analysis!$B$3*0.5,"Low","Medium"))</f>
        <v>Low</v>
      </c>
      <c r="P924" s="38" t="str">
        <f>VLOOKUP(dataset_A!C924,$Q$2:$R$5,2,0)</f>
        <v>Spring</v>
      </c>
      <c r="S924" s="38" t="str">
        <f t="array" ref="S924">INDEX($R$2:$R$5,MATCH(dataset_A!C924,$Q$2:$Q$5,0))</f>
        <v>Spring</v>
      </c>
      <c r="T924" s="38" t="str">
        <f t="shared" si="4"/>
        <v>Match</v>
      </c>
    </row>
    <row r="925" ht="12.75" customHeight="1">
      <c r="A925" s="38">
        <f>dataset_A!A925</f>
        <v>96</v>
      </c>
      <c r="B925" s="39">
        <f>dataset_A!B925</f>
        <v>40548</v>
      </c>
      <c r="C925" s="38">
        <f>dataset_A!F925</f>
        <v>4</v>
      </c>
      <c r="D925" s="38">
        <f>dataset_A!H925</f>
        <v>3</v>
      </c>
      <c r="E925" s="38" t="b">
        <f>dataset_A!G925</f>
        <v>0</v>
      </c>
      <c r="F925" s="38" t="b">
        <f>dataset_A!G925</f>
        <v>0</v>
      </c>
      <c r="G925" s="38" t="str">
        <f t="shared" si="1"/>
        <v>Weekday</v>
      </c>
      <c r="H925" s="38" t="str">
        <f t="shared" si="2"/>
        <v>Night</v>
      </c>
      <c r="I925" s="38" t="str">
        <f>IF(dataset_A!C925=1,"Spring",IF(dataset_A!C925=2,"Summer",IF(dataset_A!C925=3,"Fail","Winter")))</f>
        <v>Spring</v>
      </c>
      <c r="J925" s="38" t="str">
        <f>IF(dataset_A!I925=1,"Clear",IF(dataset_A!I925,"Mist/Cloudy",IF(dataset_A!I925=3,"Light Rain/Snow","Heavy Rain/Snow")))</f>
        <v>Clear</v>
      </c>
      <c r="K925" s="38">
        <f>dataset_A!N925</f>
        <v>0</v>
      </c>
      <c r="L925" s="38">
        <f>dataset_A!O925</f>
        <v>2</v>
      </c>
      <c r="M925" s="38">
        <f>dataset_A!P925</f>
        <v>2</v>
      </c>
      <c r="N925" s="38" t="str">
        <f t="shared" si="3"/>
        <v>Ok</v>
      </c>
      <c r="O925" s="38" t="str">
        <f>IF(M925&gt;Analysis!$B$3*1.5,"High",IF(M925&lt;Analysis!$B$3*0.5,"Low","Medium"))</f>
        <v>Low</v>
      </c>
      <c r="P925" s="38" t="str">
        <f>VLOOKUP(dataset_A!C925,$Q$2:$R$5,2,0)</f>
        <v>Spring</v>
      </c>
      <c r="S925" s="38" t="str">
        <f t="array" ref="S925">INDEX($R$2:$R$5,MATCH(dataset_A!C925,$Q$2:$Q$5,0))</f>
        <v>Spring</v>
      </c>
      <c r="T925" s="38" t="str">
        <f t="shared" si="4"/>
        <v>Match</v>
      </c>
    </row>
    <row r="926" ht="12.75" customHeight="1">
      <c r="A926" s="38">
        <f>dataset_A!A926</f>
        <v>118</v>
      </c>
      <c r="B926" s="39">
        <f>dataset_A!B926</f>
        <v>40549</v>
      </c>
      <c r="C926" s="38">
        <f>dataset_A!F926</f>
        <v>2</v>
      </c>
      <c r="D926" s="38">
        <f>dataset_A!H926</f>
        <v>4</v>
      </c>
      <c r="E926" s="38" t="b">
        <f>dataset_A!G926</f>
        <v>0</v>
      </c>
      <c r="F926" s="38" t="b">
        <f>dataset_A!G926</f>
        <v>0</v>
      </c>
      <c r="G926" s="38" t="str">
        <f t="shared" si="1"/>
        <v>Weekday</v>
      </c>
      <c r="H926" s="38" t="str">
        <f t="shared" si="2"/>
        <v>Night</v>
      </c>
      <c r="I926" s="38" t="str">
        <f>IF(dataset_A!C926=1,"Spring",IF(dataset_A!C926=2,"Summer",IF(dataset_A!C926=3,"Fail","Winter")))</f>
        <v>Spring</v>
      </c>
      <c r="J926" s="38" t="str">
        <f>IF(dataset_A!I926=1,"Clear",IF(dataset_A!I926,"Mist/Cloudy",IF(dataset_A!I926=3,"Light Rain/Snow","Heavy Rain/Snow")))</f>
        <v>Clear</v>
      </c>
      <c r="K926" s="38">
        <f>dataset_A!N926</f>
        <v>0</v>
      </c>
      <c r="L926" s="38">
        <f>dataset_A!O926</f>
        <v>2</v>
      </c>
      <c r="M926" s="38">
        <f>dataset_A!P926</f>
        <v>2</v>
      </c>
      <c r="N926" s="38" t="str">
        <f t="shared" si="3"/>
        <v>Ok</v>
      </c>
      <c r="O926" s="38" t="str">
        <f>IF(M926&gt;Analysis!$B$3*1.5,"High",IF(M926&lt;Analysis!$B$3*0.5,"Low","Medium"))</f>
        <v>Low</v>
      </c>
      <c r="P926" s="38" t="str">
        <f>VLOOKUP(dataset_A!C926,$Q$2:$R$5,2,0)</f>
        <v>Spring</v>
      </c>
      <c r="S926" s="38" t="str">
        <f t="array" ref="S926">INDEX($R$2:$R$5,MATCH(dataset_A!C926,$Q$2:$Q$5,0))</f>
        <v>Spring</v>
      </c>
      <c r="T926" s="38" t="str">
        <f t="shared" si="4"/>
        <v>Match</v>
      </c>
    </row>
    <row r="927" ht="12.75" customHeight="1">
      <c r="A927" s="38">
        <f>dataset_A!A927</f>
        <v>168</v>
      </c>
      <c r="B927" s="39">
        <f>dataset_A!B927</f>
        <v>40551</v>
      </c>
      <c r="C927" s="38">
        <f>dataset_A!F927</f>
        <v>6</v>
      </c>
      <c r="D927" s="38">
        <f>dataset_A!H927</f>
        <v>6</v>
      </c>
      <c r="E927" s="38" t="b">
        <f>dataset_A!G927</f>
        <v>0</v>
      </c>
      <c r="F927" s="38" t="b">
        <f>dataset_A!G927</f>
        <v>0</v>
      </c>
      <c r="G927" s="38" t="str">
        <f t="shared" si="1"/>
        <v>Weekend</v>
      </c>
      <c r="H927" s="38" t="str">
        <f t="shared" si="2"/>
        <v>Morning</v>
      </c>
      <c r="I927" s="38" t="str">
        <f>IF(dataset_A!C927=1,"Spring",IF(dataset_A!C927=2,"Summer",IF(dataset_A!C927=3,"Fail","Winter")))</f>
        <v>Spring</v>
      </c>
      <c r="J927" s="38" t="str">
        <f>IF(dataset_A!I927=1,"Clear",IF(dataset_A!I927,"Mist/Cloudy",IF(dataset_A!I927=3,"Light Rain/Snow","Heavy Rain/Snow")))</f>
        <v>Mist/Cloudy</v>
      </c>
      <c r="K927" s="38">
        <f>dataset_A!N927</f>
        <v>0</v>
      </c>
      <c r="L927" s="38">
        <f>dataset_A!O927</f>
        <v>2</v>
      </c>
      <c r="M927" s="38">
        <f>dataset_A!P927</f>
        <v>2</v>
      </c>
      <c r="N927" s="38" t="str">
        <f t="shared" si="3"/>
        <v>Ok</v>
      </c>
      <c r="O927" s="38" t="str">
        <f>IF(M927&gt;Analysis!$B$3*1.5,"High",IF(M927&lt;Analysis!$B$3*0.5,"Low","Medium"))</f>
        <v>Low</v>
      </c>
      <c r="P927" s="38" t="str">
        <f>VLOOKUP(dataset_A!C927,$Q$2:$R$5,2,0)</f>
        <v>Spring</v>
      </c>
      <c r="S927" s="38" t="str">
        <f t="array" ref="S927">INDEX($R$2:$R$5,MATCH(dataset_A!C927,$Q$2:$Q$5,0))</f>
        <v>Spring</v>
      </c>
      <c r="T927" s="38" t="str">
        <f t="shared" si="4"/>
        <v>Match</v>
      </c>
    </row>
    <row r="928" ht="12.75" customHeight="1">
      <c r="A928" s="38">
        <f>dataset_A!A928</f>
        <v>279</v>
      </c>
      <c r="B928" s="39">
        <f>dataset_A!B928</f>
        <v>40556</v>
      </c>
      <c r="C928" s="38">
        <f>dataset_A!F928</f>
        <v>1</v>
      </c>
      <c r="D928" s="38">
        <f>dataset_A!H928</f>
        <v>4</v>
      </c>
      <c r="E928" s="38" t="b">
        <f>dataset_A!G928</f>
        <v>0</v>
      </c>
      <c r="F928" s="38" t="b">
        <f>dataset_A!G928</f>
        <v>0</v>
      </c>
      <c r="G928" s="38" t="str">
        <f t="shared" si="1"/>
        <v>Weekday</v>
      </c>
      <c r="H928" s="38" t="str">
        <f t="shared" si="2"/>
        <v>Night</v>
      </c>
      <c r="I928" s="38" t="str">
        <f>IF(dataset_A!C928=1,"Spring",IF(dataset_A!C928=2,"Summer",IF(dataset_A!C928=3,"Fail","Winter")))</f>
        <v>Spring</v>
      </c>
      <c r="J928" s="38" t="str">
        <f>IF(dataset_A!I928=1,"Clear",IF(dataset_A!I928,"Mist/Cloudy",IF(dataset_A!I928=3,"Light Rain/Snow","Heavy Rain/Snow")))</f>
        <v>Clear</v>
      </c>
      <c r="K928" s="38">
        <f>dataset_A!N928</f>
        <v>0</v>
      </c>
      <c r="L928" s="38">
        <f>dataset_A!O928</f>
        <v>2</v>
      </c>
      <c r="M928" s="38">
        <f>dataset_A!P928</f>
        <v>2</v>
      </c>
      <c r="N928" s="38" t="str">
        <f t="shared" si="3"/>
        <v>Ok</v>
      </c>
      <c r="O928" s="38" t="str">
        <f>IF(M928&gt;Analysis!$B$3*1.5,"High",IF(M928&lt;Analysis!$B$3*0.5,"Low","Medium"))</f>
        <v>Low</v>
      </c>
      <c r="P928" s="38" t="str">
        <f>VLOOKUP(dataset_A!C928,$Q$2:$R$5,2,0)</f>
        <v>Spring</v>
      </c>
      <c r="S928" s="38" t="str">
        <f t="array" ref="S928">INDEX($R$2:$R$5,MATCH(dataset_A!C928,$Q$2:$Q$5,0))</f>
        <v>Spring</v>
      </c>
      <c r="T928" s="38" t="str">
        <f t="shared" si="4"/>
        <v>Match</v>
      </c>
    </row>
    <row r="929" ht="12.75" customHeight="1">
      <c r="A929" s="38">
        <f>dataset_A!A929</f>
        <v>280</v>
      </c>
      <c r="B929" s="39">
        <f>dataset_A!B929</f>
        <v>40556</v>
      </c>
      <c r="C929" s="38">
        <f>dataset_A!F929</f>
        <v>2</v>
      </c>
      <c r="D929" s="38">
        <f>dataset_A!H929</f>
        <v>4</v>
      </c>
      <c r="E929" s="38" t="b">
        <f>dataset_A!G929</f>
        <v>0</v>
      </c>
      <c r="F929" s="38" t="b">
        <f>dataset_A!G929</f>
        <v>0</v>
      </c>
      <c r="G929" s="38" t="str">
        <f t="shared" si="1"/>
        <v>Weekday</v>
      </c>
      <c r="H929" s="38" t="str">
        <f t="shared" si="2"/>
        <v>Night</v>
      </c>
      <c r="I929" s="38" t="str">
        <f>IF(dataset_A!C929=1,"Spring",IF(dataset_A!C929=2,"Summer",IF(dataset_A!C929=3,"Fail","Winter")))</f>
        <v>Spring</v>
      </c>
      <c r="J929" s="38" t="str">
        <f>IF(dataset_A!I929=1,"Clear",IF(dataset_A!I929,"Mist/Cloudy",IF(dataset_A!I929=3,"Light Rain/Snow","Heavy Rain/Snow")))</f>
        <v>Clear</v>
      </c>
      <c r="K929" s="38">
        <f>dataset_A!N929</f>
        <v>0</v>
      </c>
      <c r="L929" s="38">
        <f>dataset_A!O929</f>
        <v>2</v>
      </c>
      <c r="M929" s="38">
        <f>dataset_A!P929</f>
        <v>2</v>
      </c>
      <c r="N929" s="38" t="str">
        <f t="shared" si="3"/>
        <v>Ok</v>
      </c>
      <c r="O929" s="38" t="str">
        <f>IF(M929&gt;Analysis!$B$3*1.5,"High",IF(M929&lt;Analysis!$B$3*0.5,"Low","Medium"))</f>
        <v>Low</v>
      </c>
      <c r="P929" s="38" t="str">
        <f>VLOOKUP(dataset_A!C929,$Q$2:$R$5,2,0)</f>
        <v>Spring</v>
      </c>
      <c r="S929" s="38" t="str">
        <f t="array" ref="S929">INDEX($R$2:$R$5,MATCH(dataset_A!C929,$Q$2:$Q$5,0))</f>
        <v>Spring</v>
      </c>
      <c r="T929" s="38" t="str">
        <f t="shared" si="4"/>
        <v>Match</v>
      </c>
    </row>
    <row r="930" ht="12.75" customHeight="1">
      <c r="A930" s="38">
        <f>dataset_A!A930</f>
        <v>354</v>
      </c>
      <c r="B930" s="39">
        <f>dataset_A!B930</f>
        <v>40559</v>
      </c>
      <c r="C930" s="38">
        <f>dataset_A!F930</f>
        <v>5</v>
      </c>
      <c r="D930" s="38">
        <f>dataset_A!H930</f>
        <v>0</v>
      </c>
      <c r="E930" s="38" t="b">
        <f>dataset_A!G930</f>
        <v>0</v>
      </c>
      <c r="F930" s="38" t="b">
        <f>dataset_A!G930</f>
        <v>0</v>
      </c>
      <c r="G930" s="38" t="str">
        <f t="shared" si="1"/>
        <v>Weekend</v>
      </c>
      <c r="H930" s="38" t="str">
        <f t="shared" si="2"/>
        <v>Night</v>
      </c>
      <c r="I930" s="38" t="str">
        <f>IF(dataset_A!C930=1,"Spring",IF(dataset_A!C930=2,"Summer",IF(dataset_A!C930=3,"Fail","Winter")))</f>
        <v>Spring</v>
      </c>
      <c r="J930" s="38" t="str">
        <f>IF(dataset_A!I930=1,"Clear",IF(dataset_A!I930,"Mist/Cloudy",IF(dataset_A!I930=3,"Light Rain/Snow","Heavy Rain/Snow")))</f>
        <v>Mist/Cloudy</v>
      </c>
      <c r="K930" s="38">
        <f>dataset_A!N930</f>
        <v>1</v>
      </c>
      <c r="L930" s="38">
        <f>dataset_A!O930</f>
        <v>1</v>
      </c>
      <c r="M930" s="38">
        <f>dataset_A!P930</f>
        <v>2</v>
      </c>
      <c r="N930" s="38" t="str">
        <f t="shared" si="3"/>
        <v>Ok</v>
      </c>
      <c r="O930" s="38" t="str">
        <f>IF(M930&gt;Analysis!$B$3*1.5,"High",IF(M930&lt;Analysis!$B$3*0.5,"Low","Medium"))</f>
        <v>Low</v>
      </c>
      <c r="P930" s="38" t="str">
        <f>VLOOKUP(dataset_A!C930,$Q$2:$R$5,2,0)</f>
        <v>Spring</v>
      </c>
      <c r="S930" s="38" t="str">
        <f t="array" ref="S930">INDEX($R$2:$R$5,MATCH(dataset_A!C930,$Q$2:$Q$5,0))</f>
        <v>Spring</v>
      </c>
      <c r="T930" s="38" t="str">
        <f t="shared" si="4"/>
        <v>Match</v>
      </c>
    </row>
    <row r="931" ht="12.75" customHeight="1">
      <c r="A931" s="38">
        <f>dataset_A!A931</f>
        <v>376</v>
      </c>
      <c r="B931" s="39">
        <f>dataset_A!B931</f>
        <v>40560</v>
      </c>
      <c r="C931" s="38">
        <f>dataset_A!F931</f>
        <v>3</v>
      </c>
      <c r="D931" s="38">
        <f>dataset_A!H931</f>
        <v>1</v>
      </c>
      <c r="E931" s="38" t="b">
        <f>dataset_A!G931</f>
        <v>1</v>
      </c>
      <c r="F931" s="38" t="b">
        <f>dataset_A!G931</f>
        <v>1</v>
      </c>
      <c r="G931" s="38" t="str">
        <f t="shared" si="1"/>
        <v>Weekday</v>
      </c>
      <c r="H931" s="38" t="str">
        <f t="shared" si="2"/>
        <v>Night</v>
      </c>
      <c r="I931" s="38" t="str">
        <f>IF(dataset_A!C931=1,"Spring",IF(dataset_A!C931=2,"Summer",IF(dataset_A!C931=3,"Fail","Winter")))</f>
        <v>Spring</v>
      </c>
      <c r="J931" s="38" t="str">
        <f>IF(dataset_A!I931=1,"Clear",IF(dataset_A!I931,"Mist/Cloudy",IF(dataset_A!I931=3,"Light Rain/Snow","Heavy Rain/Snow")))</f>
        <v>Mist/Cloudy</v>
      </c>
      <c r="K931" s="38">
        <f>dataset_A!N931</f>
        <v>0</v>
      </c>
      <c r="L931" s="38">
        <f>dataset_A!O931</f>
        <v>2</v>
      </c>
      <c r="M931" s="38">
        <f>dataset_A!P931</f>
        <v>2</v>
      </c>
      <c r="N931" s="38" t="str">
        <f t="shared" si="3"/>
        <v>Ok</v>
      </c>
      <c r="O931" s="38" t="str">
        <f>IF(M931&gt;Analysis!$B$3*1.5,"High",IF(M931&lt;Analysis!$B$3*0.5,"Low","Medium"))</f>
        <v>Low</v>
      </c>
      <c r="P931" s="38" t="str">
        <f>VLOOKUP(dataset_A!C931,$Q$2:$R$5,2,0)</f>
        <v>Spring</v>
      </c>
      <c r="S931" s="38" t="str">
        <f t="array" ref="S931">INDEX($R$2:$R$5,MATCH(dataset_A!C931,$Q$2:$Q$5,0))</f>
        <v>Spring</v>
      </c>
      <c r="T931" s="38" t="str">
        <f t="shared" si="4"/>
        <v>Match</v>
      </c>
    </row>
    <row r="932" ht="12.75" customHeight="1">
      <c r="A932" s="38">
        <f>dataset_A!A932</f>
        <v>412</v>
      </c>
      <c r="B932" s="39">
        <f>dataset_A!B932</f>
        <v>40562</v>
      </c>
      <c r="C932" s="38">
        <f>dataset_A!F932</f>
        <v>4</v>
      </c>
      <c r="D932" s="38">
        <f>dataset_A!H932</f>
        <v>3</v>
      </c>
      <c r="E932" s="38" t="b">
        <f>dataset_A!G932</f>
        <v>0</v>
      </c>
      <c r="F932" s="38" t="b">
        <f>dataset_A!G932</f>
        <v>0</v>
      </c>
      <c r="G932" s="38" t="str">
        <f t="shared" si="1"/>
        <v>Weekday</v>
      </c>
      <c r="H932" s="38" t="str">
        <f t="shared" si="2"/>
        <v>Night</v>
      </c>
      <c r="I932" s="38" t="str">
        <f>IF(dataset_A!C932=1,"Spring",IF(dataset_A!C932=2,"Summer",IF(dataset_A!C932=3,"Fail","Winter")))</f>
        <v>Spring</v>
      </c>
      <c r="J932" s="38" t="str">
        <f>IF(dataset_A!I932=1,"Clear",IF(dataset_A!I932,"Mist/Cloudy",IF(dataset_A!I932=3,"Light Rain/Snow","Heavy Rain/Snow")))</f>
        <v>Mist/Cloudy</v>
      </c>
      <c r="K932" s="38">
        <f>dataset_A!N932</f>
        <v>1</v>
      </c>
      <c r="L932" s="38">
        <f>dataset_A!O932</f>
        <v>1</v>
      </c>
      <c r="M932" s="38">
        <f>dataset_A!P932</f>
        <v>2</v>
      </c>
      <c r="N932" s="38" t="str">
        <f t="shared" si="3"/>
        <v>Ok</v>
      </c>
      <c r="O932" s="38" t="str">
        <f>IF(M932&gt;Analysis!$B$3*1.5,"High",IF(M932&lt;Analysis!$B$3*0.5,"Low","Medium"))</f>
        <v>Low</v>
      </c>
      <c r="P932" s="38" t="str">
        <f>VLOOKUP(dataset_A!C932,$Q$2:$R$5,2,0)</f>
        <v>Spring</v>
      </c>
      <c r="S932" s="38" t="str">
        <f t="array" ref="S932">INDEX($R$2:$R$5,MATCH(dataset_A!C932,$Q$2:$Q$5,0))</f>
        <v>Spring</v>
      </c>
      <c r="T932" s="38" t="str">
        <f t="shared" si="4"/>
        <v>Match</v>
      </c>
    </row>
    <row r="933" ht="12.75" customHeight="1">
      <c r="A933" s="38">
        <f>dataset_A!A933</f>
        <v>434</v>
      </c>
      <c r="B933" s="39">
        <f>dataset_A!B933</f>
        <v>40563</v>
      </c>
      <c r="C933" s="38">
        <f>dataset_A!F933</f>
        <v>2</v>
      </c>
      <c r="D933" s="38">
        <f>dataset_A!H933</f>
        <v>4</v>
      </c>
      <c r="E933" s="38" t="b">
        <f>dataset_A!G933</f>
        <v>0</v>
      </c>
      <c r="F933" s="38" t="b">
        <f>dataset_A!G933</f>
        <v>0</v>
      </c>
      <c r="G933" s="38" t="str">
        <f t="shared" si="1"/>
        <v>Weekday</v>
      </c>
      <c r="H933" s="38" t="str">
        <f t="shared" si="2"/>
        <v>Night</v>
      </c>
      <c r="I933" s="38" t="str">
        <f>IF(dataset_A!C933=1,"Spring",IF(dataset_A!C933=2,"Summer",IF(dataset_A!C933=3,"Fail","Winter")))</f>
        <v>Spring</v>
      </c>
      <c r="J933" s="38" t="str">
        <f>IF(dataset_A!I933=1,"Clear",IF(dataset_A!I933,"Mist/Cloudy",IF(dataset_A!I933=3,"Light Rain/Snow","Heavy Rain/Snow")))</f>
        <v>Clear</v>
      </c>
      <c r="K933" s="38">
        <f>dataset_A!N933</f>
        <v>0</v>
      </c>
      <c r="L933" s="38">
        <f>dataset_A!O933</f>
        <v>2</v>
      </c>
      <c r="M933" s="38">
        <f>dataset_A!P933</f>
        <v>2</v>
      </c>
      <c r="N933" s="38" t="str">
        <f t="shared" si="3"/>
        <v>Ok</v>
      </c>
      <c r="O933" s="38" t="str">
        <f>IF(M933&gt;Analysis!$B$3*1.5,"High",IF(M933&lt;Analysis!$B$3*0.5,"Low","Medium"))</f>
        <v>Low</v>
      </c>
      <c r="P933" s="38" t="str">
        <f>VLOOKUP(dataset_A!C933,$Q$2:$R$5,2,0)</f>
        <v>Spring</v>
      </c>
      <c r="S933" s="38" t="str">
        <f t="array" ref="S933">INDEX($R$2:$R$5,MATCH(dataset_A!C933,$Q$2:$Q$5,0))</f>
        <v>Spring</v>
      </c>
      <c r="T933" s="38" t="str">
        <f t="shared" si="4"/>
        <v>Match</v>
      </c>
    </row>
    <row r="934" ht="12.75" customHeight="1">
      <c r="A934" s="38">
        <f>dataset_A!A934</f>
        <v>458</v>
      </c>
      <c r="B934" s="39">
        <f>dataset_A!B934</f>
        <v>40564</v>
      </c>
      <c r="C934" s="38">
        <f>dataset_A!F934</f>
        <v>2</v>
      </c>
      <c r="D934" s="38">
        <f>dataset_A!H934</f>
        <v>5</v>
      </c>
      <c r="E934" s="38" t="b">
        <f>dataset_A!G934</f>
        <v>0</v>
      </c>
      <c r="F934" s="38" t="b">
        <f>dataset_A!G934</f>
        <v>0</v>
      </c>
      <c r="G934" s="38" t="str">
        <f t="shared" si="1"/>
        <v>Weekday</v>
      </c>
      <c r="H934" s="38" t="str">
        <f t="shared" si="2"/>
        <v>Night</v>
      </c>
      <c r="I934" s="38" t="str">
        <f>IF(dataset_A!C934=1,"Spring",IF(dataset_A!C934=2,"Summer",IF(dataset_A!C934=3,"Fail","Winter")))</f>
        <v>Spring</v>
      </c>
      <c r="J934" s="38" t="str">
        <f>IF(dataset_A!I934=1,"Clear",IF(dataset_A!I934,"Mist/Cloudy",IF(dataset_A!I934=3,"Light Rain/Snow","Heavy Rain/Snow")))</f>
        <v>Mist/Cloudy</v>
      </c>
      <c r="K934" s="38">
        <f>dataset_A!N934</f>
        <v>0</v>
      </c>
      <c r="L934" s="38">
        <f>dataset_A!O934</f>
        <v>2</v>
      </c>
      <c r="M934" s="38">
        <f>dataset_A!P934</f>
        <v>2</v>
      </c>
      <c r="N934" s="38" t="str">
        <f t="shared" si="3"/>
        <v>Ok</v>
      </c>
      <c r="O934" s="38" t="str">
        <f>IF(M934&gt;Analysis!$B$3*1.5,"High",IF(M934&lt;Analysis!$B$3*0.5,"Low","Medium"))</f>
        <v>Low</v>
      </c>
      <c r="P934" s="38" t="str">
        <f>VLOOKUP(dataset_A!C934,$Q$2:$R$5,2,0)</f>
        <v>Spring</v>
      </c>
      <c r="S934" s="38" t="str">
        <f t="array" ref="S934">INDEX($R$2:$R$5,MATCH(dataset_A!C934,$Q$2:$Q$5,0))</f>
        <v>Spring</v>
      </c>
      <c r="T934" s="38" t="str">
        <f t="shared" si="4"/>
        <v>Match</v>
      </c>
    </row>
    <row r="935" ht="12.75" customHeight="1">
      <c r="A935" s="38">
        <f>dataset_A!A935</f>
        <v>485</v>
      </c>
      <c r="B935" s="39">
        <f>dataset_A!B935</f>
        <v>40565</v>
      </c>
      <c r="C935" s="38">
        <f>dataset_A!F935</f>
        <v>6</v>
      </c>
      <c r="D935" s="38">
        <f>dataset_A!H935</f>
        <v>6</v>
      </c>
      <c r="E935" s="38" t="b">
        <f>dataset_A!G935</f>
        <v>0</v>
      </c>
      <c r="F935" s="38" t="b">
        <f>dataset_A!G935</f>
        <v>0</v>
      </c>
      <c r="G935" s="38" t="str">
        <f t="shared" si="1"/>
        <v>Weekend</v>
      </c>
      <c r="H935" s="38" t="str">
        <f t="shared" si="2"/>
        <v>Morning</v>
      </c>
      <c r="I935" s="38" t="str">
        <f>IF(dataset_A!C935=1,"Spring",IF(dataset_A!C935=2,"Summer",IF(dataset_A!C935=3,"Fail","Winter")))</f>
        <v>Spring</v>
      </c>
      <c r="J935" s="38" t="str">
        <f>IF(dataset_A!I935=1,"Clear",IF(dataset_A!I935,"Mist/Cloudy",IF(dataset_A!I935=3,"Light Rain/Snow","Heavy Rain/Snow")))</f>
        <v>Mist/Cloudy</v>
      </c>
      <c r="K935" s="38">
        <f>dataset_A!N935</f>
        <v>0</v>
      </c>
      <c r="L935" s="38">
        <f>dataset_A!O935</f>
        <v>2</v>
      </c>
      <c r="M935" s="38">
        <f>dataset_A!P935</f>
        <v>2</v>
      </c>
      <c r="N935" s="38" t="str">
        <f t="shared" si="3"/>
        <v>Ok</v>
      </c>
      <c r="O935" s="38" t="str">
        <f>IF(M935&gt;Analysis!$B$3*1.5,"High",IF(M935&lt;Analysis!$B$3*0.5,"Low","Medium"))</f>
        <v>Low</v>
      </c>
      <c r="P935" s="38" t="str">
        <f>VLOOKUP(dataset_A!C935,$Q$2:$R$5,2,0)</f>
        <v>Spring</v>
      </c>
      <c r="S935" s="38" t="str">
        <f t="array" ref="S935">INDEX($R$2:$R$5,MATCH(dataset_A!C935,$Q$2:$Q$5,0))</f>
        <v>Spring</v>
      </c>
      <c r="T935" s="38" t="str">
        <f t="shared" si="4"/>
        <v>Match</v>
      </c>
    </row>
    <row r="936" ht="12.75" customHeight="1">
      <c r="A936" s="38">
        <f>dataset_A!A936</f>
        <v>509</v>
      </c>
      <c r="B936" s="39">
        <f>dataset_A!B936</f>
        <v>40566</v>
      </c>
      <c r="C936" s="38">
        <f>dataset_A!F936</f>
        <v>7</v>
      </c>
      <c r="D936" s="38">
        <f>dataset_A!H936</f>
        <v>0</v>
      </c>
      <c r="E936" s="38" t="b">
        <f>dataset_A!G936</f>
        <v>0</v>
      </c>
      <c r="F936" s="38" t="b">
        <f>dataset_A!G936</f>
        <v>0</v>
      </c>
      <c r="G936" s="38" t="str">
        <f t="shared" si="1"/>
        <v>Weekend</v>
      </c>
      <c r="H936" s="38" t="str">
        <f t="shared" si="2"/>
        <v>Morning</v>
      </c>
      <c r="I936" s="38" t="str">
        <f>IF(dataset_A!C936=1,"Spring",IF(dataset_A!C936=2,"Summer",IF(dataset_A!C936=3,"Fail","Winter")))</f>
        <v>Spring</v>
      </c>
      <c r="J936" s="38" t="str">
        <f>IF(dataset_A!I936=1,"Clear",IF(dataset_A!I936,"Mist/Cloudy",IF(dataset_A!I936=3,"Light Rain/Snow","Heavy Rain/Snow")))</f>
        <v>Clear</v>
      </c>
      <c r="K936" s="38">
        <f>dataset_A!N936</f>
        <v>1</v>
      </c>
      <c r="L936" s="38">
        <f>dataset_A!O936</f>
        <v>1</v>
      </c>
      <c r="M936" s="38">
        <f>dataset_A!P936</f>
        <v>2</v>
      </c>
      <c r="N936" s="38" t="str">
        <f t="shared" si="3"/>
        <v>Ok</v>
      </c>
      <c r="O936" s="38" t="str">
        <f>IF(M936&gt;Analysis!$B$3*1.5,"High",IF(M936&lt;Analysis!$B$3*0.5,"Low","Medium"))</f>
        <v>Low</v>
      </c>
      <c r="P936" s="38" t="str">
        <f>VLOOKUP(dataset_A!C936,$Q$2:$R$5,2,0)</f>
        <v>Spring</v>
      </c>
      <c r="S936" s="38" t="str">
        <f t="array" ref="S936">INDEX($R$2:$R$5,MATCH(dataset_A!C936,$Q$2:$Q$5,0))</f>
        <v>Spring</v>
      </c>
      <c r="T936" s="38" t="str">
        <f t="shared" si="4"/>
        <v>Match</v>
      </c>
    </row>
    <row r="937" ht="12.75" customHeight="1">
      <c r="A937" s="38">
        <f>dataset_A!A937</f>
        <v>551</v>
      </c>
      <c r="B937" s="39">
        <f>dataset_A!B937</f>
        <v>40568</v>
      </c>
      <c r="C937" s="38">
        <f>dataset_A!F937</f>
        <v>2</v>
      </c>
      <c r="D937" s="38">
        <f>dataset_A!H937</f>
        <v>2</v>
      </c>
      <c r="E937" s="38" t="b">
        <f>dataset_A!G937</f>
        <v>0</v>
      </c>
      <c r="F937" s="38" t="b">
        <f>dataset_A!G937</f>
        <v>0</v>
      </c>
      <c r="G937" s="38" t="str">
        <f t="shared" si="1"/>
        <v>Weekday</v>
      </c>
      <c r="H937" s="38" t="str">
        <f t="shared" si="2"/>
        <v>Night</v>
      </c>
      <c r="I937" s="38" t="str">
        <f>IF(dataset_A!C937=1,"Spring",IF(dataset_A!C937=2,"Summer",IF(dataset_A!C937=3,"Fail","Winter")))</f>
        <v>Spring</v>
      </c>
      <c r="J937" s="38" t="str">
        <f>IF(dataset_A!I937=1,"Clear",IF(dataset_A!I937,"Mist/Cloudy",IF(dataset_A!I937=3,"Light Rain/Snow","Heavy Rain/Snow")))</f>
        <v>Clear</v>
      </c>
      <c r="K937" s="38">
        <f>dataset_A!N937</f>
        <v>0</v>
      </c>
      <c r="L937" s="38">
        <f>dataset_A!O937</f>
        <v>2</v>
      </c>
      <c r="M937" s="38">
        <f>dataset_A!P937</f>
        <v>2</v>
      </c>
      <c r="N937" s="38" t="str">
        <f t="shared" si="3"/>
        <v>Ok</v>
      </c>
      <c r="O937" s="38" t="str">
        <f>IF(M937&gt;Analysis!$B$3*1.5,"High",IF(M937&lt;Analysis!$B$3*0.5,"Low","Medium"))</f>
        <v>Low</v>
      </c>
      <c r="P937" s="38" t="str">
        <f>VLOOKUP(dataset_A!C937,$Q$2:$R$5,2,0)</f>
        <v>Spring</v>
      </c>
      <c r="S937" s="38" t="str">
        <f t="array" ref="S937">INDEX($R$2:$R$5,MATCH(dataset_A!C937,$Q$2:$Q$5,0))</f>
        <v>Spring</v>
      </c>
      <c r="T937" s="38" t="str">
        <f t="shared" si="4"/>
        <v>Match</v>
      </c>
    </row>
    <row r="938" ht="12.75" customHeight="1">
      <c r="A938" s="38">
        <f>dataset_A!A938</f>
        <v>598</v>
      </c>
      <c r="B938" s="39">
        <f>dataset_A!B938</f>
        <v>40571</v>
      </c>
      <c r="C938" s="38">
        <f>dataset_A!F938</f>
        <v>2</v>
      </c>
      <c r="D938" s="38">
        <f>dataset_A!H938</f>
        <v>5</v>
      </c>
      <c r="E938" s="38" t="b">
        <f>dataset_A!G938</f>
        <v>0</v>
      </c>
      <c r="F938" s="38" t="b">
        <f>dataset_A!G938</f>
        <v>0</v>
      </c>
      <c r="G938" s="38" t="str">
        <f t="shared" si="1"/>
        <v>Weekday</v>
      </c>
      <c r="H938" s="38" t="str">
        <f t="shared" si="2"/>
        <v>Night</v>
      </c>
      <c r="I938" s="38" t="str">
        <f>IF(dataset_A!C938=1,"Spring",IF(dataset_A!C938=2,"Summer",IF(dataset_A!C938=3,"Fail","Winter")))</f>
        <v>Spring</v>
      </c>
      <c r="J938" s="38" t="str">
        <f>IF(dataset_A!I938=1,"Clear",IF(dataset_A!I938,"Mist/Cloudy",IF(dataset_A!I938=3,"Light Rain/Snow","Heavy Rain/Snow")))</f>
        <v>Mist/Cloudy</v>
      </c>
      <c r="K938" s="38">
        <f>dataset_A!N938</f>
        <v>0</v>
      </c>
      <c r="L938" s="38">
        <f>dataset_A!O938</f>
        <v>2</v>
      </c>
      <c r="M938" s="38">
        <f>dataset_A!P938</f>
        <v>2</v>
      </c>
      <c r="N938" s="38" t="str">
        <f t="shared" si="3"/>
        <v>Ok</v>
      </c>
      <c r="O938" s="38" t="str">
        <f>IF(M938&gt;Analysis!$B$3*1.5,"High",IF(M938&lt;Analysis!$B$3*0.5,"Low","Medium"))</f>
        <v>Low</v>
      </c>
      <c r="P938" s="38" t="str">
        <f>VLOOKUP(dataset_A!C938,$Q$2:$R$5,2,0)</f>
        <v>Spring</v>
      </c>
      <c r="S938" s="38" t="str">
        <f t="array" ref="S938">INDEX($R$2:$R$5,MATCH(dataset_A!C938,$Q$2:$Q$5,0))</f>
        <v>Spring</v>
      </c>
      <c r="T938" s="38" t="str">
        <f t="shared" si="4"/>
        <v>Match</v>
      </c>
    </row>
    <row r="939" ht="12.75" customHeight="1">
      <c r="A939" s="38">
        <f>dataset_A!A939</f>
        <v>624</v>
      </c>
      <c r="B939" s="39">
        <f>dataset_A!B939</f>
        <v>40572</v>
      </c>
      <c r="C939" s="38">
        <f>dataset_A!F939</f>
        <v>6</v>
      </c>
      <c r="D939" s="38">
        <f>dataset_A!H939</f>
        <v>6</v>
      </c>
      <c r="E939" s="38" t="b">
        <f>dataset_A!G939</f>
        <v>0</v>
      </c>
      <c r="F939" s="38" t="b">
        <f>dataset_A!G939</f>
        <v>0</v>
      </c>
      <c r="G939" s="38" t="str">
        <f t="shared" si="1"/>
        <v>Weekend</v>
      </c>
      <c r="H939" s="38" t="str">
        <f t="shared" si="2"/>
        <v>Morning</v>
      </c>
      <c r="I939" s="38" t="str">
        <f>IF(dataset_A!C939=1,"Spring",IF(dataset_A!C939=2,"Summer",IF(dataset_A!C939=3,"Fail","Winter")))</f>
        <v>Spring</v>
      </c>
      <c r="J939" s="38" t="str">
        <f>IF(dataset_A!I939=1,"Clear",IF(dataset_A!I939,"Mist/Cloudy",IF(dataset_A!I939=3,"Light Rain/Snow","Heavy Rain/Snow")))</f>
        <v>Clear</v>
      </c>
      <c r="K939" s="38">
        <f>dataset_A!N939</f>
        <v>0</v>
      </c>
      <c r="L939" s="38">
        <f>dataset_A!O939</f>
        <v>2</v>
      </c>
      <c r="M939" s="38">
        <f>dataset_A!P939</f>
        <v>2</v>
      </c>
      <c r="N939" s="38" t="str">
        <f t="shared" si="3"/>
        <v>Ok</v>
      </c>
      <c r="O939" s="38" t="str">
        <f>IF(M939&gt;Analysis!$B$3*1.5,"High",IF(M939&lt;Analysis!$B$3*0.5,"Low","Medium"))</f>
        <v>Low</v>
      </c>
      <c r="P939" s="38" t="str">
        <f>VLOOKUP(dataset_A!C939,$Q$2:$R$5,2,0)</f>
        <v>Spring</v>
      </c>
      <c r="S939" s="38" t="str">
        <f t="array" ref="S939">INDEX($R$2:$R$5,MATCH(dataset_A!C939,$Q$2:$Q$5,0))</f>
        <v>Spring</v>
      </c>
      <c r="T939" s="38" t="str">
        <f t="shared" si="4"/>
        <v>Match</v>
      </c>
    </row>
    <row r="940" ht="12.75" customHeight="1">
      <c r="A940" s="38">
        <f>dataset_A!A940</f>
        <v>668</v>
      </c>
      <c r="B940" s="39">
        <f>dataset_A!B940</f>
        <v>40574</v>
      </c>
      <c r="C940" s="38">
        <f>dataset_A!F940</f>
        <v>3</v>
      </c>
      <c r="D940" s="38">
        <f>dataset_A!H940</f>
        <v>1</v>
      </c>
      <c r="E940" s="38" t="b">
        <f>dataset_A!G940</f>
        <v>0</v>
      </c>
      <c r="F940" s="38" t="b">
        <f>dataset_A!G940</f>
        <v>0</v>
      </c>
      <c r="G940" s="38" t="str">
        <f t="shared" si="1"/>
        <v>Weekday</v>
      </c>
      <c r="H940" s="38" t="str">
        <f t="shared" si="2"/>
        <v>Night</v>
      </c>
      <c r="I940" s="38" t="str">
        <f>IF(dataset_A!C940=1,"Spring",IF(dataset_A!C940=2,"Summer",IF(dataset_A!C940=3,"Fail","Winter")))</f>
        <v>Spring</v>
      </c>
      <c r="J940" s="38" t="str">
        <f>IF(dataset_A!I940=1,"Clear",IF(dataset_A!I940,"Mist/Cloudy",IF(dataset_A!I940=3,"Light Rain/Snow","Heavy Rain/Snow")))</f>
        <v>Clear</v>
      </c>
      <c r="K940" s="38">
        <f>dataset_A!N940</f>
        <v>0</v>
      </c>
      <c r="L940" s="38">
        <f>dataset_A!O940</f>
        <v>2</v>
      </c>
      <c r="M940" s="38">
        <f>dataset_A!P940</f>
        <v>2</v>
      </c>
      <c r="N940" s="38" t="str">
        <f t="shared" si="3"/>
        <v>Ok</v>
      </c>
      <c r="O940" s="38" t="str">
        <f>IF(M940&gt;Analysis!$B$3*1.5,"High",IF(M940&lt;Analysis!$B$3*0.5,"Low","Medium"))</f>
        <v>Low</v>
      </c>
      <c r="P940" s="38" t="str">
        <f>VLOOKUP(dataset_A!C940,$Q$2:$R$5,2,0)</f>
        <v>Spring</v>
      </c>
      <c r="S940" s="38" t="str">
        <f t="array" ref="S940">INDEX($R$2:$R$5,MATCH(dataset_A!C940,$Q$2:$Q$5,0))</f>
        <v>Spring</v>
      </c>
      <c r="T940" s="38" t="str">
        <f t="shared" si="4"/>
        <v>Match</v>
      </c>
    </row>
    <row r="941" ht="12.75" customHeight="1">
      <c r="A941" s="38">
        <f>dataset_A!A941</f>
        <v>669</v>
      </c>
      <c r="B941" s="39">
        <f>dataset_A!B941</f>
        <v>40574</v>
      </c>
      <c r="C941" s="38">
        <f>dataset_A!F941</f>
        <v>4</v>
      </c>
      <c r="D941" s="38">
        <f>dataset_A!H941</f>
        <v>1</v>
      </c>
      <c r="E941" s="38" t="b">
        <f>dataset_A!G941</f>
        <v>0</v>
      </c>
      <c r="F941" s="38" t="b">
        <f>dataset_A!G941</f>
        <v>0</v>
      </c>
      <c r="G941" s="38" t="str">
        <f t="shared" si="1"/>
        <v>Weekday</v>
      </c>
      <c r="H941" s="38" t="str">
        <f t="shared" si="2"/>
        <v>Night</v>
      </c>
      <c r="I941" s="38" t="str">
        <f>IF(dataset_A!C941=1,"Spring",IF(dataset_A!C941=2,"Summer",IF(dataset_A!C941=3,"Fail","Winter")))</f>
        <v>Spring</v>
      </c>
      <c r="J941" s="38" t="str">
        <f>IF(dataset_A!I941=1,"Clear",IF(dataset_A!I941,"Mist/Cloudy",IF(dataset_A!I941=3,"Light Rain/Snow","Heavy Rain/Snow")))</f>
        <v>Clear</v>
      </c>
      <c r="K941" s="38">
        <f>dataset_A!N941</f>
        <v>0</v>
      </c>
      <c r="L941" s="38">
        <f>dataset_A!O941</f>
        <v>2</v>
      </c>
      <c r="M941" s="38">
        <f>dataset_A!P941</f>
        <v>2</v>
      </c>
      <c r="N941" s="38" t="str">
        <f t="shared" si="3"/>
        <v>Ok</v>
      </c>
      <c r="O941" s="38" t="str">
        <f>IF(M941&gt;Analysis!$B$3*1.5,"High",IF(M941&lt;Analysis!$B$3*0.5,"Low","Medium"))</f>
        <v>Low</v>
      </c>
      <c r="P941" s="38" t="str">
        <f>VLOOKUP(dataset_A!C941,$Q$2:$R$5,2,0)</f>
        <v>Spring</v>
      </c>
      <c r="S941" s="38" t="str">
        <f t="array" ref="S941">INDEX($R$2:$R$5,MATCH(dataset_A!C941,$Q$2:$Q$5,0))</f>
        <v>Spring</v>
      </c>
      <c r="T941" s="38" t="str">
        <f t="shared" si="4"/>
        <v>Match</v>
      </c>
    </row>
    <row r="942" ht="12.75" customHeight="1">
      <c r="A942" s="38">
        <f>dataset_A!A942</f>
        <v>691</v>
      </c>
      <c r="B942" s="39">
        <f>dataset_A!B942</f>
        <v>40575</v>
      </c>
      <c r="C942" s="38">
        <f>dataset_A!F942</f>
        <v>2</v>
      </c>
      <c r="D942" s="38">
        <f>dataset_A!H942</f>
        <v>2</v>
      </c>
      <c r="E942" s="38" t="b">
        <f>dataset_A!G942</f>
        <v>0</v>
      </c>
      <c r="F942" s="38" t="b">
        <f>dataset_A!G942</f>
        <v>0</v>
      </c>
      <c r="G942" s="38" t="str">
        <f t="shared" si="1"/>
        <v>Weekday</v>
      </c>
      <c r="H942" s="38" t="str">
        <f t="shared" si="2"/>
        <v>Night</v>
      </c>
      <c r="I942" s="38" t="str">
        <f>IF(dataset_A!C942=1,"Spring",IF(dataset_A!C942=2,"Summer",IF(dataset_A!C942=3,"Fail","Winter")))</f>
        <v>Spring</v>
      </c>
      <c r="J942" s="38" t="str">
        <f>IF(dataset_A!I942=1,"Clear",IF(dataset_A!I942,"Mist/Cloudy",IF(dataset_A!I942=3,"Light Rain/Snow","Heavy Rain/Snow")))</f>
        <v>Mist/Cloudy</v>
      </c>
      <c r="K942" s="38">
        <f>dataset_A!N942</f>
        <v>0</v>
      </c>
      <c r="L942" s="38">
        <f>dataset_A!O942</f>
        <v>2</v>
      </c>
      <c r="M942" s="38">
        <f>dataset_A!P942</f>
        <v>2</v>
      </c>
      <c r="N942" s="38" t="str">
        <f t="shared" si="3"/>
        <v>Ok</v>
      </c>
      <c r="O942" s="38" t="str">
        <f>IF(M942&gt;Analysis!$B$3*1.5,"High",IF(M942&lt;Analysis!$B$3*0.5,"Low","Medium"))</f>
        <v>Low</v>
      </c>
      <c r="P942" s="38" t="str">
        <f>VLOOKUP(dataset_A!C942,$Q$2:$R$5,2,0)</f>
        <v>Spring</v>
      </c>
      <c r="S942" s="38" t="str">
        <f t="array" ref="S942">INDEX($R$2:$R$5,MATCH(dataset_A!C942,$Q$2:$Q$5,0))</f>
        <v>Spring</v>
      </c>
      <c r="T942" s="38" t="str">
        <f t="shared" si="4"/>
        <v>Match</v>
      </c>
    </row>
    <row r="943" ht="12.75" customHeight="1">
      <c r="A943" s="38">
        <f>dataset_A!A943</f>
        <v>692</v>
      </c>
      <c r="B943" s="39">
        <f>dataset_A!B943</f>
        <v>40575</v>
      </c>
      <c r="C943" s="38">
        <f>dataset_A!F943</f>
        <v>3</v>
      </c>
      <c r="D943" s="38">
        <f>dataset_A!H943</f>
        <v>2</v>
      </c>
      <c r="E943" s="38" t="b">
        <f>dataset_A!G943</f>
        <v>0</v>
      </c>
      <c r="F943" s="38" t="b">
        <f>dataset_A!G943</f>
        <v>0</v>
      </c>
      <c r="G943" s="38" t="str">
        <f t="shared" si="1"/>
        <v>Weekday</v>
      </c>
      <c r="H943" s="38" t="str">
        <f t="shared" si="2"/>
        <v>Night</v>
      </c>
      <c r="I943" s="38" t="str">
        <f>IF(dataset_A!C943=1,"Spring",IF(dataset_A!C943=2,"Summer",IF(dataset_A!C943=3,"Fail","Winter")))</f>
        <v>Spring</v>
      </c>
      <c r="J943" s="38" t="str">
        <f>IF(dataset_A!I943=1,"Clear",IF(dataset_A!I943,"Mist/Cloudy",IF(dataset_A!I943=3,"Light Rain/Snow","Heavy Rain/Snow")))</f>
        <v>Mist/Cloudy</v>
      </c>
      <c r="K943" s="38">
        <f>dataset_A!N943</f>
        <v>0</v>
      </c>
      <c r="L943" s="38">
        <f>dataset_A!O943</f>
        <v>2</v>
      </c>
      <c r="M943" s="38">
        <f>dataset_A!P943</f>
        <v>2</v>
      </c>
      <c r="N943" s="38" t="str">
        <f t="shared" si="3"/>
        <v>Ok</v>
      </c>
      <c r="O943" s="38" t="str">
        <f>IF(M943&gt;Analysis!$B$3*1.5,"High",IF(M943&lt;Analysis!$B$3*0.5,"Low","Medium"))</f>
        <v>Low</v>
      </c>
      <c r="P943" s="38" t="str">
        <f>VLOOKUP(dataset_A!C943,$Q$2:$R$5,2,0)</f>
        <v>Spring</v>
      </c>
      <c r="S943" s="38" t="str">
        <f t="array" ref="S943">INDEX($R$2:$R$5,MATCH(dataset_A!C943,$Q$2:$Q$5,0))</f>
        <v>Spring</v>
      </c>
      <c r="T943" s="38" t="str">
        <f t="shared" si="4"/>
        <v>Match</v>
      </c>
    </row>
    <row r="944" ht="12.75" customHeight="1">
      <c r="A944" s="38">
        <f>dataset_A!A944</f>
        <v>712</v>
      </c>
      <c r="B944" s="39">
        <f>dataset_A!B944</f>
        <v>40576</v>
      </c>
      <c r="C944" s="38">
        <f>dataset_A!F944</f>
        <v>0</v>
      </c>
      <c r="D944" s="38">
        <f>dataset_A!H944</f>
        <v>3</v>
      </c>
      <c r="E944" s="38" t="b">
        <f>dataset_A!G944</f>
        <v>0</v>
      </c>
      <c r="F944" s="38" t="b">
        <f>dataset_A!G944</f>
        <v>0</v>
      </c>
      <c r="G944" s="38" t="str">
        <f t="shared" si="1"/>
        <v>Weekday</v>
      </c>
      <c r="H944" s="38" t="str">
        <f t="shared" si="2"/>
        <v>Night</v>
      </c>
      <c r="I944" s="38" t="str">
        <f>IF(dataset_A!C944=1,"Spring",IF(dataset_A!C944=2,"Summer",IF(dataset_A!C944=3,"Fail","Winter")))</f>
        <v>Spring</v>
      </c>
      <c r="J944" s="38" t="str">
        <f>IF(dataset_A!I944=1,"Clear",IF(dataset_A!I944,"Mist/Cloudy",IF(dataset_A!I944=3,"Light Rain/Snow","Heavy Rain/Snow")))</f>
        <v>Mist/Cloudy</v>
      </c>
      <c r="K944" s="38">
        <f>dataset_A!N944</f>
        <v>0</v>
      </c>
      <c r="L944" s="38">
        <f>dataset_A!O944</f>
        <v>2</v>
      </c>
      <c r="M944" s="38">
        <f>dataset_A!P944</f>
        <v>2</v>
      </c>
      <c r="N944" s="38" t="str">
        <f t="shared" si="3"/>
        <v>Ok</v>
      </c>
      <c r="O944" s="38" t="str">
        <f>IF(M944&gt;Analysis!$B$3*1.5,"High",IF(M944&lt;Analysis!$B$3*0.5,"Low","Medium"))</f>
        <v>Low</v>
      </c>
      <c r="P944" s="38" t="str">
        <f>VLOOKUP(dataset_A!C944,$Q$2:$R$5,2,0)</f>
        <v>Spring</v>
      </c>
      <c r="S944" s="38" t="str">
        <f t="array" ref="S944">INDEX($R$2:$R$5,MATCH(dataset_A!C944,$Q$2:$Q$5,0))</f>
        <v>Spring</v>
      </c>
      <c r="T944" s="38" t="str">
        <f t="shared" si="4"/>
        <v>Match</v>
      </c>
    </row>
    <row r="945" ht="12.75" customHeight="1">
      <c r="A945" s="38">
        <f>dataset_A!A945</f>
        <v>738</v>
      </c>
      <c r="B945" s="39">
        <f>dataset_A!B945</f>
        <v>40577</v>
      </c>
      <c r="C945" s="38">
        <f>dataset_A!F945</f>
        <v>2</v>
      </c>
      <c r="D945" s="38">
        <f>dataset_A!H945</f>
        <v>4</v>
      </c>
      <c r="E945" s="38" t="b">
        <f>dataset_A!G945</f>
        <v>0</v>
      </c>
      <c r="F945" s="38" t="b">
        <f>dataset_A!G945</f>
        <v>0</v>
      </c>
      <c r="G945" s="38" t="str">
        <f t="shared" si="1"/>
        <v>Weekday</v>
      </c>
      <c r="H945" s="38" t="str">
        <f t="shared" si="2"/>
        <v>Night</v>
      </c>
      <c r="I945" s="38" t="str">
        <f>IF(dataset_A!C945=1,"Spring",IF(dataset_A!C945=2,"Summer",IF(dataset_A!C945=3,"Fail","Winter")))</f>
        <v>Spring</v>
      </c>
      <c r="J945" s="38" t="str">
        <f>IF(dataset_A!I945=1,"Clear",IF(dataset_A!I945,"Mist/Cloudy",IF(dataset_A!I945=3,"Light Rain/Snow","Heavy Rain/Snow")))</f>
        <v>Clear</v>
      </c>
      <c r="K945" s="38">
        <f>dataset_A!N945</f>
        <v>0</v>
      </c>
      <c r="L945" s="38">
        <f>dataset_A!O945</f>
        <v>2</v>
      </c>
      <c r="M945" s="38">
        <f>dataset_A!P945</f>
        <v>2</v>
      </c>
      <c r="N945" s="38" t="str">
        <f t="shared" si="3"/>
        <v>Ok</v>
      </c>
      <c r="O945" s="38" t="str">
        <f>IF(M945&gt;Analysis!$B$3*1.5,"High",IF(M945&lt;Analysis!$B$3*0.5,"Low","Medium"))</f>
        <v>Low</v>
      </c>
      <c r="P945" s="38" t="str">
        <f>VLOOKUP(dataset_A!C945,$Q$2:$R$5,2,0)</f>
        <v>Spring</v>
      </c>
      <c r="S945" s="38" t="str">
        <f t="array" ref="S945">INDEX($R$2:$R$5,MATCH(dataset_A!C945,$Q$2:$Q$5,0))</f>
        <v>Spring</v>
      </c>
      <c r="T945" s="38" t="str">
        <f t="shared" si="4"/>
        <v>Match</v>
      </c>
    </row>
    <row r="946" ht="12.75" customHeight="1">
      <c r="A946" s="38">
        <f>dataset_A!A946</f>
        <v>740</v>
      </c>
      <c r="B946" s="39">
        <f>dataset_A!B946</f>
        <v>40577</v>
      </c>
      <c r="C946" s="38">
        <f>dataset_A!F946</f>
        <v>5</v>
      </c>
      <c r="D946" s="38">
        <f>dataset_A!H946</f>
        <v>4</v>
      </c>
      <c r="E946" s="38" t="b">
        <f>dataset_A!G946</f>
        <v>0</v>
      </c>
      <c r="F946" s="38" t="b">
        <f>dataset_A!G946</f>
        <v>0</v>
      </c>
      <c r="G946" s="38" t="str">
        <f t="shared" si="1"/>
        <v>Weekday</v>
      </c>
      <c r="H946" s="38" t="str">
        <f t="shared" si="2"/>
        <v>Night</v>
      </c>
      <c r="I946" s="38" t="str">
        <f>IF(dataset_A!C946=1,"Spring",IF(dataset_A!C946=2,"Summer",IF(dataset_A!C946=3,"Fail","Winter")))</f>
        <v>Spring</v>
      </c>
      <c r="J946" s="38" t="str">
        <f>IF(dataset_A!I946=1,"Clear",IF(dataset_A!I946,"Mist/Cloudy",IF(dataset_A!I946=3,"Light Rain/Snow","Heavy Rain/Snow")))</f>
        <v>Clear</v>
      </c>
      <c r="K946" s="38">
        <f>dataset_A!N946</f>
        <v>0</v>
      </c>
      <c r="L946" s="38">
        <f>dataset_A!O946</f>
        <v>2</v>
      </c>
      <c r="M946" s="38">
        <f>dataset_A!P946</f>
        <v>2</v>
      </c>
      <c r="N946" s="38" t="str">
        <f t="shared" si="3"/>
        <v>Ok</v>
      </c>
      <c r="O946" s="38" t="str">
        <f>IF(M946&gt;Analysis!$B$3*1.5,"High",IF(M946&lt;Analysis!$B$3*0.5,"Low","Medium"))</f>
        <v>Low</v>
      </c>
      <c r="P946" s="38" t="str">
        <f>VLOOKUP(dataset_A!C946,$Q$2:$R$5,2,0)</f>
        <v>Spring</v>
      </c>
      <c r="S946" s="38" t="str">
        <f t="array" ref="S946">INDEX($R$2:$R$5,MATCH(dataset_A!C946,$Q$2:$Q$5,0))</f>
        <v>Spring</v>
      </c>
      <c r="T946" s="38" t="str">
        <f t="shared" si="4"/>
        <v>Match</v>
      </c>
    </row>
    <row r="947" ht="12.75" customHeight="1">
      <c r="A947" s="38">
        <f>dataset_A!A947</f>
        <v>810</v>
      </c>
      <c r="B947" s="39">
        <f>dataset_A!B947</f>
        <v>40580</v>
      </c>
      <c r="C947" s="38">
        <f>dataset_A!F947</f>
        <v>4</v>
      </c>
      <c r="D947" s="38">
        <f>dataset_A!H947</f>
        <v>0</v>
      </c>
      <c r="E947" s="38" t="b">
        <f>dataset_A!G947</f>
        <v>0</v>
      </c>
      <c r="F947" s="38" t="b">
        <f>dataset_A!G947</f>
        <v>0</v>
      </c>
      <c r="G947" s="38" t="str">
        <f t="shared" si="1"/>
        <v>Weekend</v>
      </c>
      <c r="H947" s="38" t="str">
        <f t="shared" si="2"/>
        <v>Night</v>
      </c>
      <c r="I947" s="38" t="str">
        <f>IF(dataset_A!C947=1,"Spring",IF(dataset_A!C947=2,"Summer",IF(dataset_A!C947=3,"Fail","Winter")))</f>
        <v>Spring</v>
      </c>
      <c r="J947" s="38" t="str">
        <f>IF(dataset_A!I947=1,"Clear",IF(dataset_A!I947,"Mist/Cloudy",IF(dataset_A!I947=3,"Light Rain/Snow","Heavy Rain/Snow")))</f>
        <v>Clear</v>
      </c>
      <c r="K947" s="38">
        <f>dataset_A!N947</f>
        <v>0</v>
      </c>
      <c r="L947" s="38">
        <f>dataset_A!O947</f>
        <v>2</v>
      </c>
      <c r="M947" s="38">
        <f>dataset_A!P947</f>
        <v>2</v>
      </c>
      <c r="N947" s="38" t="str">
        <f t="shared" si="3"/>
        <v>Ok</v>
      </c>
      <c r="O947" s="38" t="str">
        <f>IF(M947&gt;Analysis!$B$3*1.5,"High",IF(M947&lt;Analysis!$B$3*0.5,"Low","Medium"))</f>
        <v>Low</v>
      </c>
      <c r="P947" s="38" t="str">
        <f>VLOOKUP(dataset_A!C947,$Q$2:$R$5,2,0)</f>
        <v>Spring</v>
      </c>
      <c r="S947" s="38" t="str">
        <f t="array" ref="S947">INDEX($R$2:$R$5,MATCH(dataset_A!C947,$Q$2:$Q$5,0))</f>
        <v>Spring</v>
      </c>
      <c r="T947" s="38" t="str">
        <f t="shared" si="4"/>
        <v>Match</v>
      </c>
    </row>
    <row r="948" ht="12.75" customHeight="1">
      <c r="A948" s="38">
        <f>dataset_A!A948</f>
        <v>834</v>
      </c>
      <c r="B948" s="39">
        <f>dataset_A!B948</f>
        <v>40581</v>
      </c>
      <c r="C948" s="38">
        <f>dataset_A!F948</f>
        <v>4</v>
      </c>
      <c r="D948" s="38">
        <f>dataset_A!H948</f>
        <v>1</v>
      </c>
      <c r="E948" s="38" t="b">
        <f>dataset_A!G948</f>
        <v>0</v>
      </c>
      <c r="F948" s="38" t="b">
        <f>dataset_A!G948</f>
        <v>0</v>
      </c>
      <c r="G948" s="38" t="str">
        <f t="shared" si="1"/>
        <v>Weekday</v>
      </c>
      <c r="H948" s="38" t="str">
        <f t="shared" si="2"/>
        <v>Night</v>
      </c>
      <c r="I948" s="38" t="str">
        <f>IF(dataset_A!C948=1,"Spring",IF(dataset_A!C948=2,"Summer",IF(dataset_A!C948=3,"Fail","Winter")))</f>
        <v>Spring</v>
      </c>
      <c r="J948" s="38" t="str">
        <f>IF(dataset_A!I948=1,"Clear",IF(dataset_A!I948,"Mist/Cloudy",IF(dataset_A!I948=3,"Light Rain/Snow","Heavy Rain/Snow")))</f>
        <v>Clear</v>
      </c>
      <c r="K948" s="38">
        <f>dataset_A!N948</f>
        <v>1</v>
      </c>
      <c r="L948" s="38">
        <f>dataset_A!O948</f>
        <v>1</v>
      </c>
      <c r="M948" s="38">
        <f>dataset_A!P948</f>
        <v>2</v>
      </c>
      <c r="N948" s="38" t="str">
        <f t="shared" si="3"/>
        <v>Ok</v>
      </c>
      <c r="O948" s="38" t="str">
        <f>IF(M948&gt;Analysis!$B$3*1.5,"High",IF(M948&lt;Analysis!$B$3*0.5,"Low","Medium"))</f>
        <v>Low</v>
      </c>
      <c r="P948" s="38" t="str">
        <f>VLOOKUP(dataset_A!C948,$Q$2:$R$5,2,0)</f>
        <v>Spring</v>
      </c>
      <c r="S948" s="38" t="str">
        <f t="array" ref="S948">INDEX($R$2:$R$5,MATCH(dataset_A!C948,$Q$2:$Q$5,0))</f>
        <v>Spring</v>
      </c>
      <c r="T948" s="38" t="str">
        <f t="shared" si="4"/>
        <v>Match</v>
      </c>
    </row>
    <row r="949" ht="12.75" customHeight="1">
      <c r="A949" s="38">
        <f>dataset_A!A949</f>
        <v>856</v>
      </c>
      <c r="B949" s="39">
        <f>dataset_A!B949</f>
        <v>40582</v>
      </c>
      <c r="C949" s="38">
        <f>dataset_A!F949</f>
        <v>2</v>
      </c>
      <c r="D949" s="38">
        <f>dataset_A!H949</f>
        <v>2</v>
      </c>
      <c r="E949" s="38" t="b">
        <f>dataset_A!G949</f>
        <v>0</v>
      </c>
      <c r="F949" s="38" t="b">
        <f>dataset_A!G949</f>
        <v>0</v>
      </c>
      <c r="G949" s="38" t="str">
        <f t="shared" si="1"/>
        <v>Weekday</v>
      </c>
      <c r="H949" s="38" t="str">
        <f t="shared" si="2"/>
        <v>Night</v>
      </c>
      <c r="I949" s="38" t="str">
        <f>IF(dataset_A!C949=1,"Spring",IF(dataset_A!C949=2,"Summer",IF(dataset_A!C949=3,"Fail","Winter")))</f>
        <v>Spring</v>
      </c>
      <c r="J949" s="38" t="str">
        <f>IF(dataset_A!I949=1,"Clear",IF(dataset_A!I949,"Mist/Cloudy",IF(dataset_A!I949=3,"Light Rain/Snow","Heavy Rain/Snow")))</f>
        <v>Mist/Cloudy</v>
      </c>
      <c r="K949" s="38">
        <f>dataset_A!N949</f>
        <v>1</v>
      </c>
      <c r="L949" s="38">
        <f>dataset_A!O949</f>
        <v>1</v>
      </c>
      <c r="M949" s="38">
        <f>dataset_A!P949</f>
        <v>2</v>
      </c>
      <c r="N949" s="38" t="str">
        <f t="shared" si="3"/>
        <v>Ok</v>
      </c>
      <c r="O949" s="38" t="str">
        <f>IF(M949&gt;Analysis!$B$3*1.5,"High",IF(M949&lt;Analysis!$B$3*0.5,"Low","Medium"))</f>
        <v>Low</v>
      </c>
      <c r="P949" s="38" t="str">
        <f>VLOOKUP(dataset_A!C949,$Q$2:$R$5,2,0)</f>
        <v>Spring</v>
      </c>
      <c r="S949" s="38" t="str">
        <f t="array" ref="S949">INDEX($R$2:$R$5,MATCH(dataset_A!C949,$Q$2:$Q$5,0))</f>
        <v>Spring</v>
      </c>
      <c r="T949" s="38" t="str">
        <f t="shared" si="4"/>
        <v>Match</v>
      </c>
    </row>
    <row r="950" ht="12.75" customHeight="1">
      <c r="A950" s="38">
        <f>dataset_A!A950</f>
        <v>859</v>
      </c>
      <c r="B950" s="39">
        <f>dataset_A!B950</f>
        <v>40582</v>
      </c>
      <c r="C950" s="38">
        <f>dataset_A!F950</f>
        <v>5</v>
      </c>
      <c r="D950" s="38">
        <f>dataset_A!H950</f>
        <v>2</v>
      </c>
      <c r="E950" s="38" t="b">
        <f>dataset_A!G950</f>
        <v>0</v>
      </c>
      <c r="F950" s="38" t="b">
        <f>dataset_A!G950</f>
        <v>0</v>
      </c>
      <c r="G950" s="38" t="str">
        <f t="shared" si="1"/>
        <v>Weekday</v>
      </c>
      <c r="H950" s="38" t="str">
        <f t="shared" si="2"/>
        <v>Night</v>
      </c>
      <c r="I950" s="38" t="str">
        <f>IF(dataset_A!C950=1,"Spring",IF(dataset_A!C950=2,"Summer",IF(dataset_A!C950=3,"Fail","Winter")))</f>
        <v>Spring</v>
      </c>
      <c r="J950" s="38" t="str">
        <f>IF(dataset_A!I950=1,"Clear",IF(dataset_A!I950,"Mist/Cloudy",IF(dataset_A!I950=3,"Light Rain/Snow","Heavy Rain/Snow")))</f>
        <v>Clear</v>
      </c>
      <c r="K950" s="38">
        <f>dataset_A!N950</f>
        <v>0</v>
      </c>
      <c r="L950" s="38">
        <f>dataset_A!O950</f>
        <v>2</v>
      </c>
      <c r="M950" s="38">
        <f>dataset_A!P950</f>
        <v>2</v>
      </c>
      <c r="N950" s="38" t="str">
        <f t="shared" si="3"/>
        <v>Ok</v>
      </c>
      <c r="O950" s="38" t="str">
        <f>IF(M950&gt;Analysis!$B$3*1.5,"High",IF(M950&lt;Analysis!$B$3*0.5,"Low","Medium"))</f>
        <v>Low</v>
      </c>
      <c r="P950" s="38" t="str">
        <f>VLOOKUP(dataset_A!C950,$Q$2:$R$5,2,0)</f>
        <v>Spring</v>
      </c>
      <c r="S950" s="38" t="str">
        <f t="array" ref="S950">INDEX($R$2:$R$5,MATCH(dataset_A!C950,$Q$2:$Q$5,0))</f>
        <v>Spring</v>
      </c>
      <c r="T950" s="38" t="str">
        <f t="shared" si="4"/>
        <v>Match</v>
      </c>
    </row>
    <row r="951" ht="12.75" customHeight="1">
      <c r="A951" s="38">
        <f>dataset_A!A951</f>
        <v>881</v>
      </c>
      <c r="B951" s="39">
        <f>dataset_A!B951</f>
        <v>40583</v>
      </c>
      <c r="C951" s="38">
        <f>dataset_A!F951</f>
        <v>3</v>
      </c>
      <c r="D951" s="38">
        <f>dataset_A!H951</f>
        <v>3</v>
      </c>
      <c r="E951" s="38" t="b">
        <f>dataset_A!G951</f>
        <v>0</v>
      </c>
      <c r="F951" s="38" t="b">
        <f>dataset_A!G951</f>
        <v>0</v>
      </c>
      <c r="G951" s="38" t="str">
        <f t="shared" si="1"/>
        <v>Weekday</v>
      </c>
      <c r="H951" s="38" t="str">
        <f t="shared" si="2"/>
        <v>Night</v>
      </c>
      <c r="I951" s="38" t="str">
        <f>IF(dataset_A!C951=1,"Spring",IF(dataset_A!C951=2,"Summer",IF(dataset_A!C951=3,"Fail","Winter")))</f>
        <v>Spring</v>
      </c>
      <c r="J951" s="38" t="str">
        <f>IF(dataset_A!I951=1,"Clear",IF(dataset_A!I951,"Mist/Cloudy",IF(dataset_A!I951=3,"Light Rain/Snow","Heavy Rain/Snow")))</f>
        <v>Clear</v>
      </c>
      <c r="K951" s="38">
        <f>dataset_A!N951</f>
        <v>0</v>
      </c>
      <c r="L951" s="38">
        <f>dataset_A!O951</f>
        <v>2</v>
      </c>
      <c r="M951" s="38">
        <f>dataset_A!P951</f>
        <v>2</v>
      </c>
      <c r="N951" s="38" t="str">
        <f t="shared" si="3"/>
        <v>Ok</v>
      </c>
      <c r="O951" s="38" t="str">
        <f>IF(M951&gt;Analysis!$B$3*1.5,"High",IF(M951&lt;Analysis!$B$3*0.5,"Low","Medium"))</f>
        <v>Low</v>
      </c>
      <c r="P951" s="38" t="str">
        <f>VLOOKUP(dataset_A!C951,$Q$2:$R$5,2,0)</f>
        <v>Spring</v>
      </c>
      <c r="S951" s="38" t="str">
        <f t="array" ref="S951">INDEX($R$2:$R$5,MATCH(dataset_A!C951,$Q$2:$Q$5,0))</f>
        <v>Spring</v>
      </c>
      <c r="T951" s="38" t="str">
        <f t="shared" si="4"/>
        <v>Match</v>
      </c>
    </row>
    <row r="952" ht="12.75" customHeight="1">
      <c r="A952" s="38">
        <f>dataset_A!A952</f>
        <v>952</v>
      </c>
      <c r="B952" s="39">
        <f>dataset_A!B952</f>
        <v>40586</v>
      </c>
      <c r="C952" s="38">
        <f>dataset_A!F952</f>
        <v>6</v>
      </c>
      <c r="D952" s="38">
        <f>dataset_A!H952</f>
        <v>6</v>
      </c>
      <c r="E952" s="38" t="b">
        <f>dataset_A!G952</f>
        <v>0</v>
      </c>
      <c r="F952" s="38" t="b">
        <f>dataset_A!G952</f>
        <v>0</v>
      </c>
      <c r="G952" s="38" t="str">
        <f t="shared" si="1"/>
        <v>Weekend</v>
      </c>
      <c r="H952" s="38" t="str">
        <f t="shared" si="2"/>
        <v>Morning</v>
      </c>
      <c r="I952" s="38" t="str">
        <f>IF(dataset_A!C952=1,"Spring",IF(dataset_A!C952=2,"Summer",IF(dataset_A!C952=3,"Fail","Winter")))</f>
        <v>Spring</v>
      </c>
      <c r="J952" s="38" t="str">
        <f>IF(dataset_A!I952=1,"Clear",IF(dataset_A!I952,"Mist/Cloudy",IF(dataset_A!I952=3,"Light Rain/Snow","Heavy Rain/Snow")))</f>
        <v>Clear</v>
      </c>
      <c r="K952" s="38">
        <f>dataset_A!N952</f>
        <v>1</v>
      </c>
      <c r="L952" s="38">
        <f>dataset_A!O952</f>
        <v>1</v>
      </c>
      <c r="M952" s="38">
        <f>dataset_A!P952</f>
        <v>2</v>
      </c>
      <c r="N952" s="38" t="str">
        <f t="shared" si="3"/>
        <v>Ok</v>
      </c>
      <c r="O952" s="38" t="str">
        <f>IF(M952&gt;Analysis!$B$3*1.5,"High",IF(M952&lt;Analysis!$B$3*0.5,"Low","Medium"))</f>
        <v>Low</v>
      </c>
      <c r="P952" s="38" t="str">
        <f>VLOOKUP(dataset_A!C952,$Q$2:$R$5,2,0)</f>
        <v>Spring</v>
      </c>
      <c r="S952" s="38" t="str">
        <f t="array" ref="S952">INDEX($R$2:$R$5,MATCH(dataset_A!C952,$Q$2:$Q$5,0))</f>
        <v>Spring</v>
      </c>
      <c r="T952" s="38" t="str">
        <f t="shared" si="4"/>
        <v>Match</v>
      </c>
    </row>
    <row r="953" ht="12.75" customHeight="1">
      <c r="A953" s="38">
        <f>dataset_A!A953</f>
        <v>974</v>
      </c>
      <c r="B953" s="39">
        <f>dataset_A!B953</f>
        <v>40587</v>
      </c>
      <c r="C953" s="38">
        <f>dataset_A!F953</f>
        <v>4</v>
      </c>
      <c r="D953" s="38">
        <f>dataset_A!H953</f>
        <v>0</v>
      </c>
      <c r="E953" s="38" t="b">
        <f>dataset_A!G953</f>
        <v>0</v>
      </c>
      <c r="F953" s="38" t="b">
        <f>dataset_A!G953</f>
        <v>0</v>
      </c>
      <c r="G953" s="38" t="str">
        <f t="shared" si="1"/>
        <v>Weekend</v>
      </c>
      <c r="H953" s="38" t="str">
        <f t="shared" si="2"/>
        <v>Night</v>
      </c>
      <c r="I953" s="38" t="str">
        <f>IF(dataset_A!C953=1,"Spring",IF(dataset_A!C953=2,"Summer",IF(dataset_A!C953=3,"Fail","Winter")))</f>
        <v>Spring</v>
      </c>
      <c r="J953" s="38" t="str">
        <f>IF(dataset_A!I953=1,"Clear",IF(dataset_A!I953,"Mist/Cloudy",IF(dataset_A!I953=3,"Light Rain/Snow","Heavy Rain/Snow")))</f>
        <v>Mist/Cloudy</v>
      </c>
      <c r="K953" s="38">
        <f>dataset_A!N953</f>
        <v>0</v>
      </c>
      <c r="L953" s="38">
        <f>dataset_A!O953</f>
        <v>2</v>
      </c>
      <c r="M953" s="38">
        <f>dataset_A!P953</f>
        <v>2</v>
      </c>
      <c r="N953" s="38" t="str">
        <f t="shared" si="3"/>
        <v>Ok</v>
      </c>
      <c r="O953" s="38" t="str">
        <f>IF(M953&gt;Analysis!$B$3*1.5,"High",IF(M953&lt;Analysis!$B$3*0.5,"Low","Medium"))</f>
        <v>Low</v>
      </c>
      <c r="P953" s="38" t="str">
        <f>VLOOKUP(dataset_A!C953,$Q$2:$R$5,2,0)</f>
        <v>Spring</v>
      </c>
      <c r="S953" s="38" t="str">
        <f t="array" ref="S953">INDEX($R$2:$R$5,MATCH(dataset_A!C953,$Q$2:$Q$5,0))</f>
        <v>Spring</v>
      </c>
      <c r="T953" s="38" t="str">
        <f t="shared" si="4"/>
        <v>Match</v>
      </c>
    </row>
    <row r="954" ht="12.75" customHeight="1">
      <c r="A954" s="38">
        <f>dataset_A!A954</f>
        <v>995</v>
      </c>
      <c r="B954" s="39">
        <f>dataset_A!B954</f>
        <v>40588</v>
      </c>
      <c r="C954" s="38">
        <f>dataset_A!F954</f>
        <v>2</v>
      </c>
      <c r="D954" s="38">
        <f>dataset_A!H954</f>
        <v>1</v>
      </c>
      <c r="E954" s="38" t="b">
        <f>dataset_A!G954</f>
        <v>0</v>
      </c>
      <c r="F954" s="38" t="b">
        <f>dataset_A!G954</f>
        <v>0</v>
      </c>
      <c r="G954" s="38" t="str">
        <f t="shared" si="1"/>
        <v>Weekday</v>
      </c>
      <c r="H954" s="38" t="str">
        <f t="shared" si="2"/>
        <v>Night</v>
      </c>
      <c r="I954" s="38" t="str">
        <f>IF(dataset_A!C954=1,"Spring",IF(dataset_A!C954=2,"Summer",IF(dataset_A!C954=3,"Fail","Winter")))</f>
        <v>Spring</v>
      </c>
      <c r="J954" s="38" t="str">
        <f>IF(dataset_A!I954=1,"Clear",IF(dataset_A!I954,"Mist/Cloudy",IF(dataset_A!I954=3,"Light Rain/Snow","Heavy Rain/Snow")))</f>
        <v>Clear</v>
      </c>
      <c r="K954" s="38">
        <f>dataset_A!N954</f>
        <v>0</v>
      </c>
      <c r="L954" s="38">
        <f>dataset_A!O954</f>
        <v>2</v>
      </c>
      <c r="M954" s="38">
        <f>dataset_A!P954</f>
        <v>2</v>
      </c>
      <c r="N954" s="38" t="str">
        <f t="shared" si="3"/>
        <v>Ok</v>
      </c>
      <c r="O954" s="38" t="str">
        <f>IF(M954&gt;Analysis!$B$3*1.5,"High",IF(M954&lt;Analysis!$B$3*0.5,"Low","Medium"))</f>
        <v>Low</v>
      </c>
      <c r="P954" s="38" t="str">
        <f>VLOOKUP(dataset_A!C954,$Q$2:$R$5,2,0)</f>
        <v>Spring</v>
      </c>
      <c r="S954" s="38" t="str">
        <f t="array" ref="S954">INDEX($R$2:$R$5,MATCH(dataset_A!C954,$Q$2:$Q$5,0))</f>
        <v>Spring</v>
      </c>
      <c r="T954" s="38" t="str">
        <f t="shared" si="4"/>
        <v>Match</v>
      </c>
    </row>
    <row r="955" ht="12.75" customHeight="1">
      <c r="A955" s="38">
        <f>dataset_A!A955</f>
        <v>996</v>
      </c>
      <c r="B955" s="39">
        <f>dataset_A!B955</f>
        <v>40588</v>
      </c>
      <c r="C955" s="38">
        <f>dataset_A!F955</f>
        <v>3</v>
      </c>
      <c r="D955" s="38">
        <f>dataset_A!H955</f>
        <v>1</v>
      </c>
      <c r="E955" s="38" t="b">
        <f>dataset_A!G955</f>
        <v>0</v>
      </c>
      <c r="F955" s="38" t="b">
        <f>dataset_A!G955</f>
        <v>0</v>
      </c>
      <c r="G955" s="38" t="str">
        <f t="shared" si="1"/>
        <v>Weekday</v>
      </c>
      <c r="H955" s="38" t="str">
        <f t="shared" si="2"/>
        <v>Night</v>
      </c>
      <c r="I955" s="38" t="str">
        <f>IF(dataset_A!C955=1,"Spring",IF(dataset_A!C955=2,"Summer",IF(dataset_A!C955=3,"Fail","Winter")))</f>
        <v>Spring</v>
      </c>
      <c r="J955" s="38" t="str">
        <f>IF(dataset_A!I955=1,"Clear",IF(dataset_A!I955,"Mist/Cloudy",IF(dataset_A!I955=3,"Light Rain/Snow","Heavy Rain/Snow")))</f>
        <v>Clear</v>
      </c>
      <c r="K955" s="38">
        <f>dataset_A!N955</f>
        <v>1</v>
      </c>
      <c r="L955" s="38">
        <f>dataset_A!O955</f>
        <v>1</v>
      </c>
      <c r="M955" s="38">
        <f>dataset_A!P955</f>
        <v>2</v>
      </c>
      <c r="N955" s="38" t="str">
        <f t="shared" si="3"/>
        <v>Ok</v>
      </c>
      <c r="O955" s="38" t="str">
        <f>IF(M955&gt;Analysis!$B$3*1.5,"High",IF(M955&lt;Analysis!$B$3*0.5,"Low","Medium"))</f>
        <v>Low</v>
      </c>
      <c r="P955" s="38" t="str">
        <f>VLOOKUP(dataset_A!C955,$Q$2:$R$5,2,0)</f>
        <v>Spring</v>
      </c>
      <c r="S955" s="38" t="str">
        <f t="array" ref="S955">INDEX($R$2:$R$5,MATCH(dataset_A!C955,$Q$2:$Q$5,0))</f>
        <v>Spring</v>
      </c>
      <c r="T955" s="38" t="str">
        <f t="shared" si="4"/>
        <v>Match</v>
      </c>
    </row>
    <row r="956" ht="12.75" customHeight="1">
      <c r="A956" s="38">
        <f>dataset_A!A956</f>
        <v>997</v>
      </c>
      <c r="B956" s="39">
        <f>dataset_A!B956</f>
        <v>40588</v>
      </c>
      <c r="C956" s="38">
        <f>dataset_A!F956</f>
        <v>4</v>
      </c>
      <c r="D956" s="38">
        <f>dataset_A!H956</f>
        <v>1</v>
      </c>
      <c r="E956" s="38" t="b">
        <f>dataset_A!G956</f>
        <v>0</v>
      </c>
      <c r="F956" s="38" t="b">
        <f>dataset_A!G956</f>
        <v>0</v>
      </c>
      <c r="G956" s="38" t="str">
        <f t="shared" si="1"/>
        <v>Weekday</v>
      </c>
      <c r="H956" s="38" t="str">
        <f t="shared" si="2"/>
        <v>Night</v>
      </c>
      <c r="I956" s="38" t="str">
        <f>IF(dataset_A!C956=1,"Spring",IF(dataset_A!C956=2,"Summer",IF(dataset_A!C956=3,"Fail","Winter")))</f>
        <v>Spring</v>
      </c>
      <c r="J956" s="38" t="str">
        <f>IF(dataset_A!I956=1,"Clear",IF(dataset_A!I956,"Mist/Cloudy",IF(dataset_A!I956=3,"Light Rain/Snow","Heavy Rain/Snow")))</f>
        <v>Clear</v>
      </c>
      <c r="K956" s="38">
        <f>dataset_A!N956</f>
        <v>0</v>
      </c>
      <c r="L956" s="38">
        <f>dataset_A!O956</f>
        <v>2</v>
      </c>
      <c r="M956" s="38">
        <f>dataset_A!P956</f>
        <v>2</v>
      </c>
      <c r="N956" s="38" t="str">
        <f t="shared" si="3"/>
        <v>Ok</v>
      </c>
      <c r="O956" s="38" t="str">
        <f>IF(M956&gt;Analysis!$B$3*1.5,"High",IF(M956&lt;Analysis!$B$3*0.5,"Low","Medium"))</f>
        <v>Low</v>
      </c>
      <c r="P956" s="38" t="str">
        <f>VLOOKUP(dataset_A!C956,$Q$2:$R$5,2,0)</f>
        <v>Spring</v>
      </c>
      <c r="S956" s="38" t="str">
        <f t="array" ref="S956">INDEX($R$2:$R$5,MATCH(dataset_A!C956,$Q$2:$Q$5,0))</f>
        <v>Spring</v>
      </c>
      <c r="T956" s="38" t="str">
        <f t="shared" si="4"/>
        <v>Match</v>
      </c>
    </row>
    <row r="957" ht="12.75" customHeight="1">
      <c r="A957" s="38">
        <f>dataset_A!A957</f>
        <v>5</v>
      </c>
      <c r="B957" s="39">
        <f>dataset_A!B957</f>
        <v>40544</v>
      </c>
      <c r="C957" s="38">
        <f>dataset_A!F957</f>
        <v>4</v>
      </c>
      <c r="D957" s="38">
        <f>dataset_A!H957</f>
        <v>6</v>
      </c>
      <c r="E957" s="38" t="b">
        <f>dataset_A!G957</f>
        <v>0</v>
      </c>
      <c r="F957" s="38" t="b">
        <f>dataset_A!G957</f>
        <v>0</v>
      </c>
      <c r="G957" s="38" t="str">
        <f t="shared" si="1"/>
        <v>Weekend</v>
      </c>
      <c r="H957" s="38" t="str">
        <f t="shared" si="2"/>
        <v>Night</v>
      </c>
      <c r="I957" s="38" t="str">
        <f>IF(dataset_A!C957=1,"Spring",IF(dataset_A!C957=2,"Summer",IF(dataset_A!C957=3,"Fail","Winter")))</f>
        <v>Spring</v>
      </c>
      <c r="J957" s="38" t="str">
        <f>IF(dataset_A!I957=1,"Clear",IF(dataset_A!I957,"Mist/Cloudy",IF(dataset_A!I957=3,"Light Rain/Snow","Heavy Rain/Snow")))</f>
        <v>Clear</v>
      </c>
      <c r="K957" s="38">
        <f>dataset_A!N957</f>
        <v>0</v>
      </c>
      <c r="L957" s="38">
        <f>dataset_A!O957</f>
        <v>1</v>
      </c>
      <c r="M957" s="38">
        <f>dataset_A!P957</f>
        <v>1</v>
      </c>
      <c r="N957" s="38" t="str">
        <f t="shared" si="3"/>
        <v>Ok</v>
      </c>
      <c r="O957" s="38" t="str">
        <f>IF(M957&gt;Analysis!$B$3*1.5,"High",IF(M957&lt;Analysis!$B$3*0.5,"Low","Medium"))</f>
        <v>Low</v>
      </c>
      <c r="P957" s="38" t="str">
        <f>VLOOKUP(dataset_A!C957,$Q$2:$R$5,2,0)</f>
        <v>Spring</v>
      </c>
      <c r="S957" s="38" t="str">
        <f t="array" ref="S957">INDEX($R$2:$R$5,MATCH(dataset_A!C957,$Q$2:$Q$5,0))</f>
        <v>Spring</v>
      </c>
      <c r="T957" s="38" t="str">
        <f t="shared" si="4"/>
        <v>Match</v>
      </c>
    </row>
    <row r="958" ht="12.75" customHeight="1">
      <c r="A958" s="38">
        <f>dataset_A!A958</f>
        <v>6</v>
      </c>
      <c r="B958" s="39">
        <f>dataset_A!B958</f>
        <v>40544</v>
      </c>
      <c r="C958" s="38">
        <f>dataset_A!F958</f>
        <v>5</v>
      </c>
      <c r="D958" s="38">
        <f>dataset_A!H958</f>
        <v>6</v>
      </c>
      <c r="E958" s="38" t="b">
        <f>dataset_A!G958</f>
        <v>0</v>
      </c>
      <c r="F958" s="38" t="b">
        <f>dataset_A!G958</f>
        <v>0</v>
      </c>
      <c r="G958" s="38" t="str">
        <f t="shared" si="1"/>
        <v>Weekend</v>
      </c>
      <c r="H958" s="38" t="str">
        <f t="shared" si="2"/>
        <v>Night</v>
      </c>
      <c r="I958" s="38" t="str">
        <f>IF(dataset_A!C958=1,"Spring",IF(dataset_A!C958=2,"Summer",IF(dataset_A!C958=3,"Fail","Winter")))</f>
        <v>Spring</v>
      </c>
      <c r="J958" s="38" t="str">
        <f>IF(dataset_A!I958=1,"Clear",IF(dataset_A!I958,"Mist/Cloudy",IF(dataset_A!I958=3,"Light Rain/Snow","Heavy Rain/Snow")))</f>
        <v>Mist/Cloudy</v>
      </c>
      <c r="K958" s="38">
        <f>dataset_A!N958</f>
        <v>0</v>
      </c>
      <c r="L958" s="38">
        <f>dataset_A!O958</f>
        <v>1</v>
      </c>
      <c r="M958" s="38">
        <f>dataset_A!P958</f>
        <v>1</v>
      </c>
      <c r="N958" s="38" t="str">
        <f t="shared" si="3"/>
        <v>Ok</v>
      </c>
      <c r="O958" s="38" t="str">
        <f>IF(M958&gt;Analysis!$B$3*1.5,"High",IF(M958&lt;Analysis!$B$3*0.5,"Low","Medium"))</f>
        <v>Low</v>
      </c>
      <c r="P958" s="38" t="str">
        <f>VLOOKUP(dataset_A!C958,$Q$2:$R$5,2,0)</f>
        <v>Spring</v>
      </c>
      <c r="S958" s="38" t="str">
        <f t="array" ref="S958">INDEX($R$2:$R$5,MATCH(dataset_A!C958,$Q$2:$Q$5,0))</f>
        <v>Spring</v>
      </c>
      <c r="T958" s="38" t="str">
        <f t="shared" si="4"/>
        <v>Match</v>
      </c>
    </row>
    <row r="959" ht="12.75" customHeight="1">
      <c r="A959" s="38">
        <f>dataset_A!A959</f>
        <v>31</v>
      </c>
      <c r="B959" s="39">
        <f>dataset_A!B959</f>
        <v>40545</v>
      </c>
      <c r="C959" s="38">
        <f>dataset_A!F959</f>
        <v>7</v>
      </c>
      <c r="D959" s="38">
        <f>dataset_A!H959</f>
        <v>0</v>
      </c>
      <c r="E959" s="38" t="b">
        <f>dataset_A!G959</f>
        <v>0</v>
      </c>
      <c r="F959" s="38" t="b">
        <f>dataset_A!G959</f>
        <v>0</v>
      </c>
      <c r="G959" s="38" t="str">
        <f t="shared" si="1"/>
        <v>Weekend</v>
      </c>
      <c r="H959" s="38" t="str">
        <f t="shared" si="2"/>
        <v>Morning</v>
      </c>
      <c r="I959" s="38" t="str">
        <f>IF(dataset_A!C959=1,"Spring",IF(dataset_A!C959=2,"Summer",IF(dataset_A!C959=3,"Fail","Winter")))</f>
        <v>Spring</v>
      </c>
      <c r="J959" s="38" t="str">
        <f>IF(dataset_A!I959=1,"Clear",IF(dataset_A!I959,"Mist/Cloudy",IF(dataset_A!I959=3,"Light Rain/Snow","Heavy Rain/Snow")))</f>
        <v>Mist/Cloudy</v>
      </c>
      <c r="K959" s="38">
        <f>dataset_A!N959</f>
        <v>0</v>
      </c>
      <c r="L959" s="38">
        <f>dataset_A!O959</f>
        <v>1</v>
      </c>
      <c r="M959" s="38">
        <f>dataset_A!P959</f>
        <v>1</v>
      </c>
      <c r="N959" s="38" t="str">
        <f t="shared" si="3"/>
        <v>Ok</v>
      </c>
      <c r="O959" s="38" t="str">
        <f>IF(M959&gt;Analysis!$B$3*1.5,"High",IF(M959&lt;Analysis!$B$3*0.5,"Low","Medium"))</f>
        <v>Low</v>
      </c>
      <c r="P959" s="38" t="str">
        <f>VLOOKUP(dataset_A!C959,$Q$2:$R$5,2,0)</f>
        <v>Spring</v>
      </c>
      <c r="S959" s="38" t="str">
        <f t="array" ref="S959">INDEX($R$2:$R$5,MATCH(dataset_A!C959,$Q$2:$Q$5,0))</f>
        <v>Spring</v>
      </c>
      <c r="T959" s="38" t="str">
        <f t="shared" si="4"/>
        <v>Match</v>
      </c>
    </row>
    <row r="960" ht="12.75" customHeight="1">
      <c r="A960" s="38">
        <f>dataset_A!A960</f>
        <v>50</v>
      </c>
      <c r="B960" s="39">
        <f>dataset_A!B960</f>
        <v>40546</v>
      </c>
      <c r="C960" s="38">
        <f>dataset_A!F960</f>
        <v>4</v>
      </c>
      <c r="D960" s="38">
        <f>dataset_A!H960</f>
        <v>1</v>
      </c>
      <c r="E960" s="38" t="b">
        <f>dataset_A!G960</f>
        <v>0</v>
      </c>
      <c r="F960" s="38" t="b">
        <f>dataset_A!G960</f>
        <v>0</v>
      </c>
      <c r="G960" s="38" t="str">
        <f t="shared" si="1"/>
        <v>Weekday</v>
      </c>
      <c r="H960" s="38" t="str">
        <f t="shared" si="2"/>
        <v>Night</v>
      </c>
      <c r="I960" s="38" t="str">
        <f>IF(dataset_A!C960=1,"Spring",IF(dataset_A!C960=2,"Summer",IF(dataset_A!C960=3,"Fail","Winter")))</f>
        <v>Spring</v>
      </c>
      <c r="J960" s="38" t="str">
        <f>IF(dataset_A!I960=1,"Clear",IF(dataset_A!I960,"Mist/Cloudy",IF(dataset_A!I960=3,"Light Rain/Snow","Heavy Rain/Snow")))</f>
        <v>Clear</v>
      </c>
      <c r="K960" s="38">
        <f>dataset_A!N960</f>
        <v>0</v>
      </c>
      <c r="L960" s="38">
        <f>dataset_A!O960</f>
        <v>1</v>
      </c>
      <c r="M960" s="38">
        <f>dataset_A!P960</f>
        <v>1</v>
      </c>
      <c r="N960" s="38" t="str">
        <f t="shared" si="3"/>
        <v>Ok</v>
      </c>
      <c r="O960" s="38" t="str">
        <f>IF(M960&gt;Analysis!$B$3*1.5,"High",IF(M960&lt;Analysis!$B$3*0.5,"Low","Medium"))</f>
        <v>Low</v>
      </c>
      <c r="P960" s="38" t="str">
        <f>VLOOKUP(dataset_A!C960,$Q$2:$R$5,2,0)</f>
        <v>Spring</v>
      </c>
      <c r="S960" s="38" t="str">
        <f t="array" ref="S960">INDEX($R$2:$R$5,MATCH(dataset_A!C960,$Q$2:$Q$5,0))</f>
        <v>Spring</v>
      </c>
      <c r="T960" s="38" t="str">
        <f t="shared" si="4"/>
        <v>Match</v>
      </c>
    </row>
    <row r="961" ht="12.75" customHeight="1">
      <c r="A961" s="38">
        <f>dataset_A!A961</f>
        <v>72</v>
      </c>
      <c r="B961" s="39">
        <f>dataset_A!B961</f>
        <v>40547</v>
      </c>
      <c r="C961" s="38">
        <f>dataset_A!F961</f>
        <v>2</v>
      </c>
      <c r="D961" s="38">
        <f>dataset_A!H961</f>
        <v>2</v>
      </c>
      <c r="E961" s="38" t="b">
        <f>dataset_A!G961</f>
        <v>0</v>
      </c>
      <c r="F961" s="38" t="b">
        <f>dataset_A!G961</f>
        <v>0</v>
      </c>
      <c r="G961" s="38" t="str">
        <f t="shared" si="1"/>
        <v>Weekday</v>
      </c>
      <c r="H961" s="38" t="str">
        <f t="shared" si="2"/>
        <v>Night</v>
      </c>
      <c r="I961" s="38" t="str">
        <f>IF(dataset_A!C961=1,"Spring",IF(dataset_A!C961=2,"Summer",IF(dataset_A!C961=3,"Fail","Winter")))</f>
        <v>Spring</v>
      </c>
      <c r="J961" s="38" t="str">
        <f>IF(dataset_A!I961=1,"Clear",IF(dataset_A!I961,"Mist/Cloudy",IF(dataset_A!I961=3,"Light Rain/Snow","Heavy Rain/Snow")))</f>
        <v>Clear</v>
      </c>
      <c r="K961" s="38">
        <f>dataset_A!N961</f>
        <v>0</v>
      </c>
      <c r="L961" s="38">
        <f>dataset_A!O961</f>
        <v>1</v>
      </c>
      <c r="M961" s="38">
        <f>dataset_A!P961</f>
        <v>1</v>
      </c>
      <c r="N961" s="38" t="str">
        <f t="shared" si="3"/>
        <v>Ok</v>
      </c>
      <c r="O961" s="38" t="str">
        <f>IF(M961&gt;Analysis!$B$3*1.5,"High",IF(M961&lt;Analysis!$B$3*0.5,"Low","Medium"))</f>
        <v>Low</v>
      </c>
      <c r="P961" s="38" t="str">
        <f>VLOOKUP(dataset_A!C961,$Q$2:$R$5,2,0)</f>
        <v>Spring</v>
      </c>
      <c r="S961" s="38" t="str">
        <f t="array" ref="S961">INDEX($R$2:$R$5,MATCH(dataset_A!C961,$Q$2:$Q$5,0))</f>
        <v>Spring</v>
      </c>
      <c r="T961" s="38" t="str">
        <f t="shared" si="4"/>
        <v>Match</v>
      </c>
    </row>
    <row r="962" ht="12.75" customHeight="1">
      <c r="A962" s="38">
        <f>dataset_A!A962</f>
        <v>119</v>
      </c>
      <c r="B962" s="39">
        <f>dataset_A!B962</f>
        <v>40549</v>
      </c>
      <c r="C962" s="38">
        <f>dataset_A!F962</f>
        <v>4</v>
      </c>
      <c r="D962" s="38">
        <f>dataset_A!H962</f>
        <v>4</v>
      </c>
      <c r="E962" s="38" t="b">
        <f>dataset_A!G962</f>
        <v>0</v>
      </c>
      <c r="F962" s="38" t="b">
        <f>dataset_A!G962</f>
        <v>0</v>
      </c>
      <c r="G962" s="38" t="str">
        <f t="shared" si="1"/>
        <v>Weekday</v>
      </c>
      <c r="H962" s="38" t="str">
        <f t="shared" si="2"/>
        <v>Night</v>
      </c>
      <c r="I962" s="38" t="str">
        <f>IF(dataset_A!C962=1,"Spring",IF(dataset_A!C962=2,"Summer",IF(dataset_A!C962=3,"Fail","Winter")))</f>
        <v>Spring</v>
      </c>
      <c r="J962" s="38" t="str">
        <f>IF(dataset_A!I962=1,"Clear",IF(dataset_A!I962,"Mist/Cloudy",IF(dataset_A!I962=3,"Light Rain/Snow","Heavy Rain/Snow")))</f>
        <v>Mist/Cloudy</v>
      </c>
      <c r="K962" s="38">
        <f>dataset_A!N962</f>
        <v>0</v>
      </c>
      <c r="L962" s="38">
        <f>dataset_A!O962</f>
        <v>1</v>
      </c>
      <c r="M962" s="38">
        <f>dataset_A!P962</f>
        <v>1</v>
      </c>
      <c r="N962" s="38" t="str">
        <f t="shared" si="3"/>
        <v>Ok</v>
      </c>
      <c r="O962" s="38" t="str">
        <f>IF(M962&gt;Analysis!$B$3*1.5,"High",IF(M962&lt;Analysis!$B$3*0.5,"Low","Medium"))</f>
        <v>Low</v>
      </c>
      <c r="P962" s="38" t="str">
        <f>VLOOKUP(dataset_A!C962,$Q$2:$R$5,2,0)</f>
        <v>Spring</v>
      </c>
      <c r="S962" s="38" t="str">
        <f t="array" ref="S962">INDEX($R$2:$R$5,MATCH(dataset_A!C962,$Q$2:$Q$5,0))</f>
        <v>Spring</v>
      </c>
      <c r="T962" s="38" t="str">
        <f t="shared" si="4"/>
        <v>Match</v>
      </c>
    </row>
    <row r="963" ht="12.75" customHeight="1">
      <c r="A963" s="38">
        <f>dataset_A!A963</f>
        <v>141</v>
      </c>
      <c r="B963" s="39">
        <f>dataset_A!B963</f>
        <v>40550</v>
      </c>
      <c r="C963" s="38">
        <f>dataset_A!F963</f>
        <v>2</v>
      </c>
      <c r="D963" s="38">
        <f>dataset_A!H963</f>
        <v>5</v>
      </c>
      <c r="E963" s="38" t="b">
        <f>dataset_A!G963</f>
        <v>0</v>
      </c>
      <c r="F963" s="38" t="b">
        <f>dataset_A!G963</f>
        <v>0</v>
      </c>
      <c r="G963" s="38" t="str">
        <f t="shared" si="1"/>
        <v>Weekday</v>
      </c>
      <c r="H963" s="38" t="str">
        <f t="shared" si="2"/>
        <v>Night</v>
      </c>
      <c r="I963" s="38" t="str">
        <f>IF(dataset_A!C963=1,"Spring",IF(dataset_A!C963=2,"Summer",IF(dataset_A!C963=3,"Fail","Winter")))</f>
        <v>Spring</v>
      </c>
      <c r="J963" s="38" t="str">
        <f>IF(dataset_A!I963=1,"Clear",IF(dataset_A!I963,"Mist/Cloudy",IF(dataset_A!I963=3,"Light Rain/Snow","Heavy Rain/Snow")))</f>
        <v>Mist/Cloudy</v>
      </c>
      <c r="K963" s="38">
        <f>dataset_A!N963</f>
        <v>0</v>
      </c>
      <c r="L963" s="38">
        <f>dataset_A!O963</f>
        <v>1</v>
      </c>
      <c r="M963" s="38">
        <f>dataset_A!P963</f>
        <v>1</v>
      </c>
      <c r="N963" s="38" t="str">
        <f t="shared" si="3"/>
        <v>Ok</v>
      </c>
      <c r="O963" s="38" t="str">
        <f>IF(M963&gt;Analysis!$B$3*1.5,"High",IF(M963&lt;Analysis!$B$3*0.5,"Low","Medium"))</f>
        <v>Low</v>
      </c>
      <c r="P963" s="38" t="str">
        <f>VLOOKUP(dataset_A!C963,$Q$2:$R$5,2,0)</f>
        <v>Spring</v>
      </c>
      <c r="S963" s="38" t="str">
        <f t="array" ref="S963">INDEX($R$2:$R$5,MATCH(dataset_A!C963,$Q$2:$Q$5,0))</f>
        <v>Spring</v>
      </c>
      <c r="T963" s="38" t="str">
        <f t="shared" si="4"/>
        <v>Match</v>
      </c>
    </row>
    <row r="964" ht="12.75" customHeight="1">
      <c r="A964" s="38">
        <f>dataset_A!A964</f>
        <v>142</v>
      </c>
      <c r="B964" s="39">
        <f>dataset_A!B964</f>
        <v>40550</v>
      </c>
      <c r="C964" s="38">
        <f>dataset_A!F964</f>
        <v>4</v>
      </c>
      <c r="D964" s="38">
        <f>dataset_A!H964</f>
        <v>5</v>
      </c>
      <c r="E964" s="38" t="b">
        <f>dataset_A!G964</f>
        <v>0</v>
      </c>
      <c r="F964" s="38" t="b">
        <f>dataset_A!G964</f>
        <v>0</v>
      </c>
      <c r="G964" s="38" t="str">
        <f t="shared" si="1"/>
        <v>Weekday</v>
      </c>
      <c r="H964" s="38" t="str">
        <f t="shared" si="2"/>
        <v>Night</v>
      </c>
      <c r="I964" s="38" t="str">
        <f>IF(dataset_A!C964=1,"Spring",IF(dataset_A!C964=2,"Summer",IF(dataset_A!C964=3,"Fail","Winter")))</f>
        <v>Spring</v>
      </c>
      <c r="J964" s="38" t="str">
        <f>IF(dataset_A!I964=1,"Clear",IF(dataset_A!I964,"Mist/Cloudy",IF(dataset_A!I964=3,"Light Rain/Snow","Heavy Rain/Snow")))</f>
        <v>Mist/Cloudy</v>
      </c>
      <c r="K964" s="38">
        <f>dataset_A!N964</f>
        <v>0</v>
      </c>
      <c r="L964" s="38">
        <f>dataset_A!O964</f>
        <v>1</v>
      </c>
      <c r="M964" s="38">
        <f>dataset_A!P964</f>
        <v>1</v>
      </c>
      <c r="N964" s="38" t="str">
        <f t="shared" si="3"/>
        <v>Ok</v>
      </c>
      <c r="O964" s="38" t="str">
        <f>IF(M964&gt;Analysis!$B$3*1.5,"High",IF(M964&lt;Analysis!$B$3*0.5,"Low","Medium"))</f>
        <v>Low</v>
      </c>
      <c r="P964" s="38" t="str">
        <f>VLOOKUP(dataset_A!C964,$Q$2:$R$5,2,0)</f>
        <v>Spring</v>
      </c>
      <c r="S964" s="38" t="str">
        <f t="array" ref="S964">INDEX($R$2:$R$5,MATCH(dataset_A!C964,$Q$2:$Q$5,0))</f>
        <v>Spring</v>
      </c>
      <c r="T964" s="38" t="str">
        <f t="shared" si="4"/>
        <v>Match</v>
      </c>
    </row>
    <row r="965" ht="12.75" customHeight="1">
      <c r="A965" s="38">
        <f>dataset_A!A965</f>
        <v>166</v>
      </c>
      <c r="B965" s="39">
        <f>dataset_A!B965</f>
        <v>40551</v>
      </c>
      <c r="C965" s="38">
        <f>dataset_A!F965</f>
        <v>4</v>
      </c>
      <c r="D965" s="38">
        <f>dataset_A!H965</f>
        <v>6</v>
      </c>
      <c r="E965" s="38" t="b">
        <f>dataset_A!G965</f>
        <v>0</v>
      </c>
      <c r="F965" s="38" t="b">
        <f>dataset_A!G965</f>
        <v>0</v>
      </c>
      <c r="G965" s="38" t="str">
        <f t="shared" si="1"/>
        <v>Weekend</v>
      </c>
      <c r="H965" s="38" t="str">
        <f t="shared" si="2"/>
        <v>Night</v>
      </c>
      <c r="I965" s="38" t="str">
        <f>IF(dataset_A!C965=1,"Spring",IF(dataset_A!C965=2,"Summer",IF(dataset_A!C965=3,"Fail","Winter")))</f>
        <v>Spring</v>
      </c>
      <c r="J965" s="38" t="str">
        <f>IF(dataset_A!I965=1,"Clear",IF(dataset_A!I965,"Mist/Cloudy",IF(dataset_A!I965=3,"Light Rain/Snow","Heavy Rain/Snow")))</f>
        <v>Mist/Cloudy</v>
      </c>
      <c r="K965" s="38">
        <f>dataset_A!N965</f>
        <v>0</v>
      </c>
      <c r="L965" s="38">
        <f>dataset_A!O965</f>
        <v>1</v>
      </c>
      <c r="M965" s="38">
        <f>dataset_A!P965</f>
        <v>1</v>
      </c>
      <c r="N965" s="38" t="str">
        <f t="shared" si="3"/>
        <v>Ok</v>
      </c>
      <c r="O965" s="38" t="str">
        <f>IF(M965&gt;Analysis!$B$3*1.5,"High",IF(M965&lt;Analysis!$B$3*0.5,"Low","Medium"))</f>
        <v>Low</v>
      </c>
      <c r="P965" s="38" t="str">
        <f>VLOOKUP(dataset_A!C965,$Q$2:$R$5,2,0)</f>
        <v>Spring</v>
      </c>
      <c r="S965" s="38" t="str">
        <f t="array" ref="S965">INDEX($R$2:$R$5,MATCH(dataset_A!C965,$Q$2:$Q$5,0))</f>
        <v>Spring</v>
      </c>
      <c r="T965" s="38" t="str">
        <f t="shared" si="4"/>
        <v>Match</v>
      </c>
    </row>
    <row r="966" ht="12.75" customHeight="1">
      <c r="A966" s="38">
        <f>dataset_A!A966</f>
        <v>190</v>
      </c>
      <c r="B966" s="39">
        <f>dataset_A!B966</f>
        <v>40552</v>
      </c>
      <c r="C966" s="38">
        <f>dataset_A!F966</f>
        <v>4</v>
      </c>
      <c r="D966" s="38">
        <f>dataset_A!H966</f>
        <v>0</v>
      </c>
      <c r="E966" s="38" t="b">
        <f>dataset_A!G966</f>
        <v>0</v>
      </c>
      <c r="F966" s="38" t="b">
        <f>dataset_A!G966</f>
        <v>0</v>
      </c>
      <c r="G966" s="38" t="str">
        <f t="shared" si="1"/>
        <v>Weekend</v>
      </c>
      <c r="H966" s="38" t="str">
        <f t="shared" si="2"/>
        <v>Night</v>
      </c>
      <c r="I966" s="38" t="str">
        <f>IF(dataset_A!C966=1,"Spring",IF(dataset_A!C966=2,"Summer",IF(dataset_A!C966=3,"Fail","Winter")))</f>
        <v>Spring</v>
      </c>
      <c r="J966" s="38" t="str">
        <f>IF(dataset_A!I966=1,"Clear",IF(dataset_A!I966,"Mist/Cloudy",IF(dataset_A!I966=3,"Light Rain/Snow","Heavy Rain/Snow")))</f>
        <v>Clear</v>
      </c>
      <c r="K966" s="38">
        <f>dataset_A!N966</f>
        <v>0</v>
      </c>
      <c r="L966" s="38">
        <f>dataset_A!O966</f>
        <v>1</v>
      </c>
      <c r="M966" s="38">
        <f>dataset_A!P966</f>
        <v>1</v>
      </c>
      <c r="N966" s="38" t="str">
        <f t="shared" si="3"/>
        <v>Ok</v>
      </c>
      <c r="O966" s="38" t="str">
        <f>IF(M966&gt;Analysis!$B$3*1.5,"High",IF(M966&lt;Analysis!$B$3*0.5,"Low","Medium"))</f>
        <v>Low</v>
      </c>
      <c r="P966" s="38" t="str">
        <f>VLOOKUP(dataset_A!C966,$Q$2:$R$5,2,0)</f>
        <v>Spring</v>
      </c>
      <c r="S966" s="38" t="str">
        <f t="array" ref="S966">INDEX($R$2:$R$5,MATCH(dataset_A!C966,$Q$2:$Q$5,0))</f>
        <v>Spring</v>
      </c>
      <c r="T966" s="38" t="str">
        <f t="shared" si="4"/>
        <v>Match</v>
      </c>
    </row>
    <row r="967" ht="12.75" customHeight="1">
      <c r="A967" s="38">
        <f>dataset_A!A967</f>
        <v>191</v>
      </c>
      <c r="B967" s="39">
        <f>dataset_A!B967</f>
        <v>40552</v>
      </c>
      <c r="C967" s="38">
        <f>dataset_A!F967</f>
        <v>5</v>
      </c>
      <c r="D967" s="38">
        <f>dataset_A!H967</f>
        <v>0</v>
      </c>
      <c r="E967" s="38" t="b">
        <f>dataset_A!G967</f>
        <v>0</v>
      </c>
      <c r="F967" s="38" t="b">
        <f>dataset_A!G967</f>
        <v>0</v>
      </c>
      <c r="G967" s="38" t="str">
        <f t="shared" si="1"/>
        <v>Weekend</v>
      </c>
      <c r="H967" s="38" t="str">
        <f t="shared" si="2"/>
        <v>Night</v>
      </c>
      <c r="I967" s="38" t="str">
        <f>IF(dataset_A!C967=1,"Spring",IF(dataset_A!C967=2,"Summer",IF(dataset_A!C967=3,"Fail","Winter")))</f>
        <v>Spring</v>
      </c>
      <c r="J967" s="38" t="str">
        <f>IF(dataset_A!I967=1,"Clear",IF(dataset_A!I967,"Mist/Cloudy",IF(dataset_A!I967=3,"Light Rain/Snow","Heavy Rain/Snow")))</f>
        <v>Clear</v>
      </c>
      <c r="K967" s="38">
        <f>dataset_A!N967</f>
        <v>0</v>
      </c>
      <c r="L967" s="38">
        <f>dataset_A!O967</f>
        <v>1</v>
      </c>
      <c r="M967" s="38">
        <f>dataset_A!P967</f>
        <v>1</v>
      </c>
      <c r="N967" s="38" t="str">
        <f t="shared" si="3"/>
        <v>Ok</v>
      </c>
      <c r="O967" s="38" t="str">
        <f>IF(M967&gt;Analysis!$B$3*1.5,"High",IF(M967&lt;Analysis!$B$3*0.5,"Low","Medium"))</f>
        <v>Low</v>
      </c>
      <c r="P967" s="38" t="str">
        <f>VLOOKUP(dataset_A!C967,$Q$2:$R$5,2,0)</f>
        <v>Spring</v>
      </c>
      <c r="S967" s="38" t="str">
        <f t="array" ref="S967">INDEX($R$2:$R$5,MATCH(dataset_A!C967,$Q$2:$Q$5,0))</f>
        <v>Spring</v>
      </c>
      <c r="T967" s="38" t="str">
        <f t="shared" si="4"/>
        <v>Match</v>
      </c>
    </row>
    <row r="968" ht="12.75" customHeight="1">
      <c r="A968" s="38">
        <f>dataset_A!A968</f>
        <v>192</v>
      </c>
      <c r="B968" s="39">
        <f>dataset_A!B968</f>
        <v>40552</v>
      </c>
      <c r="C968" s="38">
        <f>dataset_A!F968</f>
        <v>6</v>
      </c>
      <c r="D968" s="38">
        <f>dataset_A!H968</f>
        <v>0</v>
      </c>
      <c r="E968" s="38" t="b">
        <f>dataset_A!G968</f>
        <v>0</v>
      </c>
      <c r="F968" s="38" t="b">
        <f>dataset_A!G968</f>
        <v>0</v>
      </c>
      <c r="G968" s="38" t="str">
        <f t="shared" si="1"/>
        <v>Weekend</v>
      </c>
      <c r="H968" s="38" t="str">
        <f t="shared" si="2"/>
        <v>Morning</v>
      </c>
      <c r="I968" s="38" t="str">
        <f>IF(dataset_A!C968=1,"Spring",IF(dataset_A!C968=2,"Summer",IF(dataset_A!C968=3,"Fail","Winter")))</f>
        <v>Spring</v>
      </c>
      <c r="J968" s="38" t="str">
        <f>IF(dataset_A!I968=1,"Clear",IF(dataset_A!I968,"Mist/Cloudy",IF(dataset_A!I968=3,"Light Rain/Snow","Heavy Rain/Snow")))</f>
        <v>Clear</v>
      </c>
      <c r="K968" s="38">
        <f>dataset_A!N968</f>
        <v>0</v>
      </c>
      <c r="L968" s="38">
        <f>dataset_A!O968</f>
        <v>1</v>
      </c>
      <c r="M968" s="38">
        <f>dataset_A!P968</f>
        <v>1</v>
      </c>
      <c r="N968" s="38" t="str">
        <f t="shared" si="3"/>
        <v>Ok</v>
      </c>
      <c r="O968" s="38" t="str">
        <f>IF(M968&gt;Analysis!$B$3*1.5,"High",IF(M968&lt;Analysis!$B$3*0.5,"Low","Medium"))</f>
        <v>Low</v>
      </c>
      <c r="P968" s="38" t="str">
        <f>VLOOKUP(dataset_A!C968,$Q$2:$R$5,2,0)</f>
        <v>Spring</v>
      </c>
      <c r="S968" s="38" t="str">
        <f t="array" ref="S968">INDEX($R$2:$R$5,MATCH(dataset_A!C968,$Q$2:$Q$5,0))</f>
        <v>Spring</v>
      </c>
      <c r="T968" s="38" t="str">
        <f t="shared" si="4"/>
        <v>Match</v>
      </c>
    </row>
    <row r="969" ht="12.75" customHeight="1">
      <c r="A969" s="38">
        <f>dataset_A!A969</f>
        <v>211</v>
      </c>
      <c r="B969" s="39">
        <f>dataset_A!B969</f>
        <v>40553</v>
      </c>
      <c r="C969" s="38">
        <f>dataset_A!F969</f>
        <v>1</v>
      </c>
      <c r="D969" s="38">
        <f>dataset_A!H969</f>
        <v>1</v>
      </c>
      <c r="E969" s="38" t="b">
        <f>dataset_A!G969</f>
        <v>0</v>
      </c>
      <c r="F969" s="38" t="b">
        <f>dataset_A!G969</f>
        <v>0</v>
      </c>
      <c r="G969" s="38" t="str">
        <f t="shared" si="1"/>
        <v>Weekday</v>
      </c>
      <c r="H969" s="38" t="str">
        <f t="shared" si="2"/>
        <v>Night</v>
      </c>
      <c r="I969" s="38" t="str">
        <f>IF(dataset_A!C969=1,"Spring",IF(dataset_A!C969=2,"Summer",IF(dataset_A!C969=3,"Fail","Winter")))</f>
        <v>Spring</v>
      </c>
      <c r="J969" s="38" t="str">
        <f>IF(dataset_A!I969=1,"Clear",IF(dataset_A!I969,"Mist/Cloudy",IF(dataset_A!I969=3,"Light Rain/Snow","Heavy Rain/Snow")))</f>
        <v>Clear</v>
      </c>
      <c r="K969" s="38">
        <f>dataset_A!N969</f>
        <v>1</v>
      </c>
      <c r="L969" s="38">
        <f>dataset_A!O969</f>
        <v>0</v>
      </c>
      <c r="M969" s="38">
        <f>dataset_A!P969</f>
        <v>1</v>
      </c>
      <c r="N969" s="38" t="str">
        <f t="shared" si="3"/>
        <v>Ok</v>
      </c>
      <c r="O969" s="38" t="str">
        <f>IF(M969&gt;Analysis!$B$3*1.5,"High",IF(M969&lt;Analysis!$B$3*0.5,"Low","Medium"))</f>
        <v>Low</v>
      </c>
      <c r="P969" s="38" t="str">
        <f>VLOOKUP(dataset_A!C969,$Q$2:$R$5,2,0)</f>
        <v>Spring</v>
      </c>
      <c r="S969" s="38" t="str">
        <f t="array" ref="S969">INDEX($R$2:$R$5,MATCH(dataset_A!C969,$Q$2:$Q$5,0))</f>
        <v>Spring</v>
      </c>
      <c r="T969" s="38" t="str">
        <f t="shared" si="4"/>
        <v>Match</v>
      </c>
    </row>
    <row r="970" ht="12.75" customHeight="1">
      <c r="A970" s="38">
        <f>dataset_A!A970</f>
        <v>213</v>
      </c>
      <c r="B970" s="39">
        <f>dataset_A!B970</f>
        <v>40553</v>
      </c>
      <c r="C970" s="38">
        <f>dataset_A!F970</f>
        <v>3</v>
      </c>
      <c r="D970" s="38">
        <f>dataset_A!H970</f>
        <v>1</v>
      </c>
      <c r="E970" s="38" t="b">
        <f>dataset_A!G970</f>
        <v>0</v>
      </c>
      <c r="F970" s="38" t="b">
        <f>dataset_A!G970</f>
        <v>0</v>
      </c>
      <c r="G970" s="38" t="str">
        <f t="shared" si="1"/>
        <v>Weekday</v>
      </c>
      <c r="H970" s="38" t="str">
        <f t="shared" si="2"/>
        <v>Night</v>
      </c>
      <c r="I970" s="38" t="str">
        <f>IF(dataset_A!C970=1,"Spring",IF(dataset_A!C970=2,"Summer",IF(dataset_A!C970=3,"Fail","Winter")))</f>
        <v>Spring</v>
      </c>
      <c r="J970" s="38" t="str">
        <f>IF(dataset_A!I970=1,"Clear",IF(dataset_A!I970,"Mist/Cloudy",IF(dataset_A!I970=3,"Light Rain/Snow","Heavy Rain/Snow")))</f>
        <v>Clear</v>
      </c>
      <c r="K970" s="38">
        <f>dataset_A!N970</f>
        <v>0</v>
      </c>
      <c r="L970" s="38">
        <f>dataset_A!O970</f>
        <v>1</v>
      </c>
      <c r="M970" s="38">
        <f>dataset_A!P970</f>
        <v>1</v>
      </c>
      <c r="N970" s="38" t="str">
        <f t="shared" si="3"/>
        <v>Ok</v>
      </c>
      <c r="O970" s="38" t="str">
        <f>IF(M970&gt;Analysis!$B$3*1.5,"High",IF(M970&lt;Analysis!$B$3*0.5,"Low","Medium"))</f>
        <v>Low</v>
      </c>
      <c r="P970" s="38" t="str">
        <f>VLOOKUP(dataset_A!C970,$Q$2:$R$5,2,0)</f>
        <v>Spring</v>
      </c>
      <c r="S970" s="38" t="str">
        <f t="array" ref="S970">INDEX($R$2:$R$5,MATCH(dataset_A!C970,$Q$2:$Q$5,0))</f>
        <v>Spring</v>
      </c>
      <c r="T970" s="38" t="str">
        <f t="shared" si="4"/>
        <v>Match</v>
      </c>
    </row>
    <row r="971" ht="12.75" customHeight="1">
      <c r="A971" s="38">
        <f>dataset_A!A971</f>
        <v>258</v>
      </c>
      <c r="B971" s="39">
        <f>dataset_A!B971</f>
        <v>40555</v>
      </c>
      <c r="C971" s="38">
        <f>dataset_A!F971</f>
        <v>2</v>
      </c>
      <c r="D971" s="38">
        <f>dataset_A!H971</f>
        <v>3</v>
      </c>
      <c r="E971" s="38" t="b">
        <f>dataset_A!G971</f>
        <v>0</v>
      </c>
      <c r="F971" s="38" t="b">
        <f>dataset_A!G971</f>
        <v>0</v>
      </c>
      <c r="G971" s="38" t="str">
        <f t="shared" si="1"/>
        <v>Weekday</v>
      </c>
      <c r="H971" s="38" t="str">
        <f t="shared" si="2"/>
        <v>Night</v>
      </c>
      <c r="I971" s="38" t="str">
        <f>IF(dataset_A!C971=1,"Spring",IF(dataset_A!C971=2,"Summer",IF(dataset_A!C971=3,"Fail","Winter")))</f>
        <v>Spring</v>
      </c>
      <c r="J971" s="38" t="str">
        <f>IF(dataset_A!I971=1,"Clear",IF(dataset_A!I971,"Mist/Cloudy",IF(dataset_A!I971=3,"Light Rain/Snow","Heavy Rain/Snow")))</f>
        <v>Clear</v>
      </c>
      <c r="K971" s="38">
        <f>dataset_A!N971</f>
        <v>0</v>
      </c>
      <c r="L971" s="38">
        <f>dataset_A!O971</f>
        <v>1</v>
      </c>
      <c r="M971" s="38">
        <f>dataset_A!P971</f>
        <v>1</v>
      </c>
      <c r="N971" s="38" t="str">
        <f t="shared" si="3"/>
        <v>Ok</v>
      </c>
      <c r="O971" s="38" t="str">
        <f>IF(M971&gt;Analysis!$B$3*1.5,"High",IF(M971&lt;Analysis!$B$3*0.5,"Low","Medium"))</f>
        <v>Low</v>
      </c>
      <c r="P971" s="38" t="str">
        <f>VLOOKUP(dataset_A!C971,$Q$2:$R$5,2,0)</f>
        <v>Spring</v>
      </c>
      <c r="S971" s="38" t="str">
        <f t="array" ref="S971">INDEX($R$2:$R$5,MATCH(dataset_A!C971,$Q$2:$Q$5,0))</f>
        <v>Spring</v>
      </c>
      <c r="T971" s="38" t="str">
        <f t="shared" si="4"/>
        <v>Match</v>
      </c>
    </row>
    <row r="972" ht="12.75" customHeight="1">
      <c r="A972" s="38">
        <f>dataset_A!A972</f>
        <v>304</v>
      </c>
      <c r="B972" s="39">
        <f>dataset_A!B972</f>
        <v>40557</v>
      </c>
      <c r="C972" s="38">
        <f>dataset_A!F972</f>
        <v>2</v>
      </c>
      <c r="D972" s="38">
        <f>dataset_A!H972</f>
        <v>5</v>
      </c>
      <c r="E972" s="38" t="b">
        <f>dataset_A!G972</f>
        <v>0</v>
      </c>
      <c r="F972" s="38" t="b">
        <f>dataset_A!G972</f>
        <v>0</v>
      </c>
      <c r="G972" s="38" t="str">
        <f t="shared" si="1"/>
        <v>Weekday</v>
      </c>
      <c r="H972" s="38" t="str">
        <f t="shared" si="2"/>
        <v>Night</v>
      </c>
      <c r="I972" s="38" t="str">
        <f>IF(dataset_A!C972=1,"Spring",IF(dataset_A!C972=2,"Summer",IF(dataset_A!C972=3,"Fail","Winter")))</f>
        <v>Spring</v>
      </c>
      <c r="J972" s="38" t="str">
        <f>IF(dataset_A!I972=1,"Clear",IF(dataset_A!I972,"Mist/Cloudy",IF(dataset_A!I972=3,"Light Rain/Snow","Heavy Rain/Snow")))</f>
        <v>Clear</v>
      </c>
      <c r="K972" s="38">
        <f>dataset_A!N972</f>
        <v>0</v>
      </c>
      <c r="L972" s="38">
        <f>dataset_A!O972</f>
        <v>1</v>
      </c>
      <c r="M972" s="38">
        <f>dataset_A!P972</f>
        <v>1</v>
      </c>
      <c r="N972" s="38" t="str">
        <f t="shared" si="3"/>
        <v>Ok</v>
      </c>
      <c r="O972" s="38" t="str">
        <f>IF(M972&gt;Analysis!$B$3*1.5,"High",IF(M972&lt;Analysis!$B$3*0.5,"Low","Medium"))</f>
        <v>Low</v>
      </c>
      <c r="P972" s="38" t="str">
        <f>VLOOKUP(dataset_A!C972,$Q$2:$R$5,2,0)</f>
        <v>Spring</v>
      </c>
      <c r="S972" s="38" t="str">
        <f t="array" ref="S972">INDEX($R$2:$R$5,MATCH(dataset_A!C972,$Q$2:$Q$5,0))</f>
        <v>Spring</v>
      </c>
      <c r="T972" s="38" t="str">
        <f t="shared" si="4"/>
        <v>Match</v>
      </c>
    </row>
    <row r="973" ht="12.75" customHeight="1">
      <c r="A973" s="38">
        <f>dataset_A!A973</f>
        <v>305</v>
      </c>
      <c r="B973" s="39">
        <f>dataset_A!B973</f>
        <v>40557</v>
      </c>
      <c r="C973" s="38">
        <f>dataset_A!F973</f>
        <v>3</v>
      </c>
      <c r="D973" s="38">
        <f>dataset_A!H973</f>
        <v>5</v>
      </c>
      <c r="E973" s="38" t="b">
        <f>dataset_A!G973</f>
        <v>0</v>
      </c>
      <c r="F973" s="38" t="b">
        <f>dataset_A!G973</f>
        <v>0</v>
      </c>
      <c r="G973" s="38" t="str">
        <f t="shared" si="1"/>
        <v>Weekday</v>
      </c>
      <c r="H973" s="38" t="str">
        <f t="shared" si="2"/>
        <v>Night</v>
      </c>
      <c r="I973" s="38" t="str">
        <f>IF(dataset_A!C973=1,"Spring",IF(dataset_A!C973=2,"Summer",IF(dataset_A!C973=3,"Fail","Winter")))</f>
        <v>Spring</v>
      </c>
      <c r="J973" s="38" t="str">
        <f>IF(dataset_A!I973=1,"Clear",IF(dataset_A!I973,"Mist/Cloudy",IF(dataset_A!I973=3,"Light Rain/Snow","Heavy Rain/Snow")))</f>
        <v>Clear</v>
      </c>
      <c r="K973" s="38">
        <f>dataset_A!N973</f>
        <v>0</v>
      </c>
      <c r="L973" s="38">
        <f>dataset_A!O973</f>
        <v>1</v>
      </c>
      <c r="M973" s="38">
        <f>dataset_A!P973</f>
        <v>1</v>
      </c>
      <c r="N973" s="38" t="str">
        <f t="shared" si="3"/>
        <v>Ok</v>
      </c>
      <c r="O973" s="38" t="str">
        <f>IF(M973&gt;Analysis!$B$3*1.5,"High",IF(M973&lt;Analysis!$B$3*0.5,"Low","Medium"))</f>
        <v>Low</v>
      </c>
      <c r="P973" s="38" t="str">
        <f>VLOOKUP(dataset_A!C973,$Q$2:$R$5,2,0)</f>
        <v>Spring</v>
      </c>
      <c r="S973" s="38" t="str">
        <f t="array" ref="S973">INDEX($R$2:$R$5,MATCH(dataset_A!C973,$Q$2:$Q$5,0))</f>
        <v>Spring</v>
      </c>
      <c r="T973" s="38" t="str">
        <f t="shared" si="4"/>
        <v>Match</v>
      </c>
    </row>
    <row r="974" ht="12.75" customHeight="1">
      <c r="A974" s="38">
        <f>dataset_A!A974</f>
        <v>330</v>
      </c>
      <c r="B974" s="39">
        <f>dataset_A!B974</f>
        <v>40558</v>
      </c>
      <c r="C974" s="38">
        <f>dataset_A!F974</f>
        <v>5</v>
      </c>
      <c r="D974" s="38">
        <f>dataset_A!H974</f>
        <v>6</v>
      </c>
      <c r="E974" s="38" t="b">
        <f>dataset_A!G974</f>
        <v>0</v>
      </c>
      <c r="F974" s="38" t="b">
        <f>dataset_A!G974</f>
        <v>0</v>
      </c>
      <c r="G974" s="38" t="str">
        <f t="shared" si="1"/>
        <v>Weekend</v>
      </c>
      <c r="H974" s="38" t="str">
        <f t="shared" si="2"/>
        <v>Night</v>
      </c>
      <c r="I974" s="38" t="str">
        <f>IF(dataset_A!C974=1,"Spring",IF(dataset_A!C974=2,"Summer",IF(dataset_A!C974=3,"Fail","Winter")))</f>
        <v>Spring</v>
      </c>
      <c r="J974" s="38" t="str">
        <f>IF(dataset_A!I974=1,"Clear",IF(dataset_A!I974,"Mist/Cloudy",IF(dataset_A!I974=3,"Light Rain/Snow","Heavy Rain/Snow")))</f>
        <v>Clear</v>
      </c>
      <c r="K974" s="38">
        <f>dataset_A!N974</f>
        <v>0</v>
      </c>
      <c r="L974" s="38">
        <f>dataset_A!O974</f>
        <v>1</v>
      </c>
      <c r="M974" s="38">
        <f>dataset_A!P974</f>
        <v>1</v>
      </c>
      <c r="N974" s="38" t="str">
        <f t="shared" si="3"/>
        <v>Ok</v>
      </c>
      <c r="O974" s="38" t="str">
        <f>IF(M974&gt;Analysis!$B$3*1.5,"High",IF(M974&lt;Analysis!$B$3*0.5,"Low","Medium"))</f>
        <v>Low</v>
      </c>
      <c r="P974" s="38" t="str">
        <f>VLOOKUP(dataset_A!C974,$Q$2:$R$5,2,0)</f>
        <v>Spring</v>
      </c>
      <c r="S974" s="38" t="str">
        <f t="array" ref="S974">INDEX($R$2:$R$5,MATCH(dataset_A!C974,$Q$2:$Q$5,0))</f>
        <v>Spring</v>
      </c>
      <c r="T974" s="38" t="str">
        <f t="shared" si="4"/>
        <v>Match</v>
      </c>
    </row>
    <row r="975" ht="12.75" customHeight="1">
      <c r="A975" s="38">
        <f>dataset_A!A975</f>
        <v>353</v>
      </c>
      <c r="B975" s="39">
        <f>dataset_A!B975</f>
        <v>40559</v>
      </c>
      <c r="C975" s="38">
        <f>dataset_A!F975</f>
        <v>4</v>
      </c>
      <c r="D975" s="38">
        <f>dataset_A!H975</f>
        <v>0</v>
      </c>
      <c r="E975" s="38" t="b">
        <f>dataset_A!G975</f>
        <v>0</v>
      </c>
      <c r="F975" s="38" t="b">
        <f>dataset_A!G975</f>
        <v>0</v>
      </c>
      <c r="G975" s="38" t="str">
        <f t="shared" si="1"/>
        <v>Weekend</v>
      </c>
      <c r="H975" s="38" t="str">
        <f t="shared" si="2"/>
        <v>Night</v>
      </c>
      <c r="I975" s="38" t="str">
        <f>IF(dataset_A!C975=1,"Spring",IF(dataset_A!C975=2,"Summer",IF(dataset_A!C975=3,"Fail","Winter")))</f>
        <v>Spring</v>
      </c>
      <c r="J975" s="38" t="str">
        <f>IF(dataset_A!I975=1,"Clear",IF(dataset_A!I975,"Mist/Cloudy",IF(dataset_A!I975=3,"Light Rain/Snow","Heavy Rain/Snow")))</f>
        <v>Clear</v>
      </c>
      <c r="K975" s="38">
        <f>dataset_A!N975</f>
        <v>0</v>
      </c>
      <c r="L975" s="38">
        <f>dataset_A!O975</f>
        <v>1</v>
      </c>
      <c r="M975" s="38">
        <f>dataset_A!P975</f>
        <v>1</v>
      </c>
      <c r="N975" s="38" t="str">
        <f t="shared" si="3"/>
        <v>Ok</v>
      </c>
      <c r="O975" s="38" t="str">
        <f>IF(M975&gt;Analysis!$B$3*1.5,"High",IF(M975&lt;Analysis!$B$3*0.5,"Low","Medium"))</f>
        <v>Low</v>
      </c>
      <c r="P975" s="38" t="str">
        <f>VLOOKUP(dataset_A!C975,$Q$2:$R$5,2,0)</f>
        <v>Spring</v>
      </c>
      <c r="S975" s="38" t="str">
        <f t="array" ref="S975">INDEX($R$2:$R$5,MATCH(dataset_A!C975,$Q$2:$Q$5,0))</f>
        <v>Spring</v>
      </c>
      <c r="T975" s="38" t="str">
        <f t="shared" si="4"/>
        <v>Match</v>
      </c>
    </row>
    <row r="976" ht="12.75" customHeight="1">
      <c r="A976" s="38">
        <f>dataset_A!A976</f>
        <v>355</v>
      </c>
      <c r="B976" s="39">
        <f>dataset_A!B976</f>
        <v>40559</v>
      </c>
      <c r="C976" s="38">
        <f>dataset_A!F976</f>
        <v>6</v>
      </c>
      <c r="D976" s="38">
        <f>dataset_A!H976</f>
        <v>0</v>
      </c>
      <c r="E976" s="38" t="b">
        <f>dataset_A!G976</f>
        <v>0</v>
      </c>
      <c r="F976" s="38" t="b">
        <f>dataset_A!G976</f>
        <v>0</v>
      </c>
      <c r="G976" s="38" t="str">
        <f t="shared" si="1"/>
        <v>Weekend</v>
      </c>
      <c r="H976" s="38" t="str">
        <f t="shared" si="2"/>
        <v>Morning</v>
      </c>
      <c r="I976" s="38" t="str">
        <f>IF(dataset_A!C976=1,"Spring",IF(dataset_A!C976=2,"Summer",IF(dataset_A!C976=3,"Fail","Winter")))</f>
        <v>Spring</v>
      </c>
      <c r="J976" s="38" t="str">
        <f>IF(dataset_A!I976=1,"Clear",IF(dataset_A!I976,"Mist/Cloudy",IF(dataset_A!I976=3,"Light Rain/Snow","Heavy Rain/Snow")))</f>
        <v>Mist/Cloudy</v>
      </c>
      <c r="K976" s="38">
        <f>dataset_A!N976</f>
        <v>0</v>
      </c>
      <c r="L976" s="38">
        <f>dataset_A!O976</f>
        <v>1</v>
      </c>
      <c r="M976" s="38">
        <f>dataset_A!P976</f>
        <v>1</v>
      </c>
      <c r="N976" s="38" t="str">
        <f t="shared" si="3"/>
        <v>Ok</v>
      </c>
      <c r="O976" s="38" t="str">
        <f>IF(M976&gt;Analysis!$B$3*1.5,"High",IF(M976&lt;Analysis!$B$3*0.5,"Low","Medium"))</f>
        <v>Low</v>
      </c>
      <c r="P976" s="38" t="str">
        <f>VLOOKUP(dataset_A!C976,$Q$2:$R$5,2,0)</f>
        <v>Spring</v>
      </c>
      <c r="S976" s="38" t="str">
        <f t="array" ref="S976">INDEX($R$2:$R$5,MATCH(dataset_A!C976,$Q$2:$Q$5,0))</f>
        <v>Spring</v>
      </c>
      <c r="T976" s="38" t="str">
        <f t="shared" si="4"/>
        <v>Match</v>
      </c>
    </row>
    <row r="977" ht="12.75" customHeight="1">
      <c r="A977" s="38">
        <f>dataset_A!A977</f>
        <v>378</v>
      </c>
      <c r="B977" s="39">
        <f>dataset_A!B977</f>
        <v>40560</v>
      </c>
      <c r="C977" s="38">
        <f>dataset_A!F977</f>
        <v>5</v>
      </c>
      <c r="D977" s="38">
        <f>dataset_A!H977</f>
        <v>1</v>
      </c>
      <c r="E977" s="38" t="b">
        <f>dataset_A!G977</f>
        <v>1</v>
      </c>
      <c r="F977" s="38" t="b">
        <f>dataset_A!G977</f>
        <v>1</v>
      </c>
      <c r="G977" s="38" t="str">
        <f t="shared" si="1"/>
        <v>Weekday</v>
      </c>
      <c r="H977" s="38" t="str">
        <f t="shared" si="2"/>
        <v>Night</v>
      </c>
      <c r="I977" s="38" t="str">
        <f>IF(dataset_A!C977=1,"Spring",IF(dataset_A!C977=2,"Summer",IF(dataset_A!C977=3,"Fail","Winter")))</f>
        <v>Spring</v>
      </c>
      <c r="J977" s="38" t="str">
        <f>IF(dataset_A!I977=1,"Clear",IF(dataset_A!I977,"Mist/Cloudy",IF(dataset_A!I977=3,"Light Rain/Snow","Heavy Rain/Snow")))</f>
        <v>Mist/Cloudy</v>
      </c>
      <c r="K977" s="38">
        <f>dataset_A!N977</f>
        <v>0</v>
      </c>
      <c r="L977" s="38">
        <f>dataset_A!O977</f>
        <v>1</v>
      </c>
      <c r="M977" s="38">
        <f>dataset_A!P977</f>
        <v>1</v>
      </c>
      <c r="N977" s="38" t="str">
        <f t="shared" si="3"/>
        <v>Ok</v>
      </c>
      <c r="O977" s="38" t="str">
        <f>IF(M977&gt;Analysis!$B$3*1.5,"High",IF(M977&lt;Analysis!$B$3*0.5,"Low","Medium"))</f>
        <v>Low</v>
      </c>
      <c r="P977" s="38" t="str">
        <f>VLOOKUP(dataset_A!C977,$Q$2:$R$5,2,0)</f>
        <v>Spring</v>
      </c>
      <c r="S977" s="38" t="str">
        <f t="array" ref="S977">INDEX($R$2:$R$5,MATCH(dataset_A!C977,$Q$2:$Q$5,0))</f>
        <v>Spring</v>
      </c>
      <c r="T977" s="38" t="str">
        <f t="shared" si="4"/>
        <v>Match</v>
      </c>
    </row>
    <row r="978" ht="12.75" customHeight="1">
      <c r="A978" s="38">
        <f>dataset_A!A978</f>
        <v>435</v>
      </c>
      <c r="B978" s="39">
        <f>dataset_A!B978</f>
        <v>40563</v>
      </c>
      <c r="C978" s="38">
        <f>dataset_A!F978</f>
        <v>3</v>
      </c>
      <c r="D978" s="38">
        <f>dataset_A!H978</f>
        <v>4</v>
      </c>
      <c r="E978" s="38" t="b">
        <f>dataset_A!G978</f>
        <v>0</v>
      </c>
      <c r="F978" s="38" t="b">
        <f>dataset_A!G978</f>
        <v>0</v>
      </c>
      <c r="G978" s="38" t="str">
        <f t="shared" si="1"/>
        <v>Weekday</v>
      </c>
      <c r="H978" s="38" t="str">
        <f t="shared" si="2"/>
        <v>Night</v>
      </c>
      <c r="I978" s="38" t="str">
        <f>IF(dataset_A!C978=1,"Spring",IF(dataset_A!C978=2,"Summer",IF(dataset_A!C978=3,"Fail","Winter")))</f>
        <v>Spring</v>
      </c>
      <c r="J978" s="38" t="str">
        <f>IF(dataset_A!I978=1,"Clear",IF(dataset_A!I978,"Mist/Cloudy",IF(dataset_A!I978=3,"Light Rain/Snow","Heavy Rain/Snow")))</f>
        <v>Clear</v>
      </c>
      <c r="K978" s="38">
        <f>dataset_A!N978</f>
        <v>0</v>
      </c>
      <c r="L978" s="38">
        <f>dataset_A!O978</f>
        <v>1</v>
      </c>
      <c r="M978" s="38">
        <f>dataset_A!P978</f>
        <v>1</v>
      </c>
      <c r="N978" s="38" t="str">
        <f t="shared" si="3"/>
        <v>Ok</v>
      </c>
      <c r="O978" s="38" t="str">
        <f>IF(M978&gt;Analysis!$B$3*1.5,"High",IF(M978&lt;Analysis!$B$3*0.5,"Low","Medium"))</f>
        <v>Low</v>
      </c>
      <c r="P978" s="38" t="str">
        <f>VLOOKUP(dataset_A!C978,$Q$2:$R$5,2,0)</f>
        <v>Spring</v>
      </c>
      <c r="S978" s="38" t="str">
        <f t="array" ref="S978">INDEX($R$2:$R$5,MATCH(dataset_A!C978,$Q$2:$Q$5,0))</f>
        <v>Spring</v>
      </c>
      <c r="T978" s="38" t="str">
        <f t="shared" si="4"/>
        <v>Match</v>
      </c>
    </row>
    <row r="979" ht="12.75" customHeight="1">
      <c r="A979" s="38">
        <f>dataset_A!A979</f>
        <v>436</v>
      </c>
      <c r="B979" s="39">
        <f>dataset_A!B979</f>
        <v>40563</v>
      </c>
      <c r="C979" s="38">
        <f>dataset_A!F979</f>
        <v>4</v>
      </c>
      <c r="D979" s="38">
        <f>dataset_A!H979</f>
        <v>4</v>
      </c>
      <c r="E979" s="38" t="b">
        <f>dataset_A!G979</f>
        <v>0</v>
      </c>
      <c r="F979" s="38" t="b">
        <f>dataset_A!G979</f>
        <v>0</v>
      </c>
      <c r="G979" s="38" t="str">
        <f t="shared" si="1"/>
        <v>Weekday</v>
      </c>
      <c r="H979" s="38" t="str">
        <f t="shared" si="2"/>
        <v>Night</v>
      </c>
      <c r="I979" s="38" t="str">
        <f>IF(dataset_A!C979=1,"Spring",IF(dataset_A!C979=2,"Summer",IF(dataset_A!C979=3,"Fail","Winter")))</f>
        <v>Spring</v>
      </c>
      <c r="J979" s="38" t="str">
        <f>IF(dataset_A!I979=1,"Clear",IF(dataset_A!I979,"Mist/Cloudy",IF(dataset_A!I979=3,"Light Rain/Snow","Heavy Rain/Snow")))</f>
        <v>Clear</v>
      </c>
      <c r="K979" s="38">
        <f>dataset_A!N979</f>
        <v>0</v>
      </c>
      <c r="L979" s="38">
        <f>dataset_A!O979</f>
        <v>1</v>
      </c>
      <c r="M979" s="38">
        <f>dataset_A!P979</f>
        <v>1</v>
      </c>
      <c r="N979" s="38" t="str">
        <f t="shared" si="3"/>
        <v>Ok</v>
      </c>
      <c r="O979" s="38" t="str">
        <f>IF(M979&gt;Analysis!$B$3*1.5,"High",IF(M979&lt;Analysis!$B$3*0.5,"Low","Medium"))</f>
        <v>Low</v>
      </c>
      <c r="P979" s="38" t="str">
        <f>VLOOKUP(dataset_A!C979,$Q$2:$R$5,2,0)</f>
        <v>Spring</v>
      </c>
      <c r="S979" s="38" t="str">
        <f t="array" ref="S979">INDEX($R$2:$R$5,MATCH(dataset_A!C979,$Q$2:$Q$5,0))</f>
        <v>Spring</v>
      </c>
      <c r="T979" s="38" t="str">
        <f t="shared" si="4"/>
        <v>Match</v>
      </c>
    </row>
    <row r="980" ht="12.75" customHeight="1">
      <c r="A980" s="38">
        <f>dataset_A!A980</f>
        <v>459</v>
      </c>
      <c r="B980" s="39">
        <f>dataset_A!B980</f>
        <v>40564</v>
      </c>
      <c r="C980" s="38">
        <f>dataset_A!F980</f>
        <v>3</v>
      </c>
      <c r="D980" s="38">
        <f>dataset_A!H980</f>
        <v>5</v>
      </c>
      <c r="E980" s="38" t="b">
        <f>dataset_A!G980</f>
        <v>0</v>
      </c>
      <c r="F980" s="38" t="b">
        <f>dataset_A!G980</f>
        <v>0</v>
      </c>
      <c r="G980" s="38" t="str">
        <f t="shared" si="1"/>
        <v>Weekday</v>
      </c>
      <c r="H980" s="38" t="str">
        <f t="shared" si="2"/>
        <v>Night</v>
      </c>
      <c r="I980" s="38" t="str">
        <f>IF(dataset_A!C980=1,"Spring",IF(dataset_A!C980=2,"Summer",IF(dataset_A!C980=3,"Fail","Winter")))</f>
        <v>Spring</v>
      </c>
      <c r="J980" s="38" t="str">
        <f>IF(dataset_A!I980=1,"Clear",IF(dataset_A!I980,"Mist/Cloudy",IF(dataset_A!I980=3,"Light Rain/Snow","Heavy Rain/Snow")))</f>
        <v>Mist/Cloudy</v>
      </c>
      <c r="K980" s="38">
        <f>dataset_A!N980</f>
        <v>0</v>
      </c>
      <c r="L980" s="38">
        <f>dataset_A!O980</f>
        <v>1</v>
      </c>
      <c r="M980" s="38">
        <f>dataset_A!P980</f>
        <v>1</v>
      </c>
      <c r="N980" s="38" t="str">
        <f t="shared" si="3"/>
        <v>Ok</v>
      </c>
      <c r="O980" s="38" t="str">
        <f>IF(M980&gt;Analysis!$B$3*1.5,"High",IF(M980&lt;Analysis!$B$3*0.5,"Low","Medium"))</f>
        <v>Low</v>
      </c>
      <c r="P980" s="38" t="str">
        <f>VLOOKUP(dataset_A!C980,$Q$2:$R$5,2,0)</f>
        <v>Spring</v>
      </c>
      <c r="S980" s="38" t="str">
        <f t="array" ref="S980">INDEX($R$2:$R$5,MATCH(dataset_A!C980,$Q$2:$Q$5,0))</f>
        <v>Spring</v>
      </c>
      <c r="T980" s="38" t="str">
        <f t="shared" si="4"/>
        <v>Match</v>
      </c>
    </row>
    <row r="981" ht="12.75" customHeight="1">
      <c r="A981" s="38">
        <f>dataset_A!A981</f>
        <v>460</v>
      </c>
      <c r="B981" s="39">
        <f>dataset_A!B981</f>
        <v>40564</v>
      </c>
      <c r="C981" s="38">
        <f>dataset_A!F981</f>
        <v>4</v>
      </c>
      <c r="D981" s="38">
        <f>dataset_A!H981</f>
        <v>5</v>
      </c>
      <c r="E981" s="38" t="b">
        <f>dataset_A!G981</f>
        <v>0</v>
      </c>
      <c r="F981" s="38" t="b">
        <f>dataset_A!G981</f>
        <v>0</v>
      </c>
      <c r="G981" s="38" t="str">
        <f t="shared" si="1"/>
        <v>Weekday</v>
      </c>
      <c r="H981" s="38" t="str">
        <f t="shared" si="2"/>
        <v>Night</v>
      </c>
      <c r="I981" s="38" t="str">
        <f>IF(dataset_A!C981=1,"Spring",IF(dataset_A!C981=2,"Summer",IF(dataset_A!C981=3,"Fail","Winter")))</f>
        <v>Spring</v>
      </c>
      <c r="J981" s="38" t="str">
        <f>IF(dataset_A!I981=1,"Clear",IF(dataset_A!I981,"Mist/Cloudy",IF(dataset_A!I981=3,"Light Rain/Snow","Heavy Rain/Snow")))</f>
        <v>Mist/Cloudy</v>
      </c>
      <c r="K981" s="38">
        <f>dataset_A!N981</f>
        <v>0</v>
      </c>
      <c r="L981" s="38">
        <f>dataset_A!O981</f>
        <v>1</v>
      </c>
      <c r="M981" s="38">
        <f>dataset_A!P981</f>
        <v>1</v>
      </c>
      <c r="N981" s="38" t="str">
        <f t="shared" si="3"/>
        <v>Ok</v>
      </c>
      <c r="O981" s="38" t="str">
        <f>IF(M981&gt;Analysis!$B$3*1.5,"High",IF(M981&lt;Analysis!$B$3*0.5,"Low","Medium"))</f>
        <v>Low</v>
      </c>
      <c r="P981" s="38" t="str">
        <f>VLOOKUP(dataset_A!C981,$Q$2:$R$5,2,0)</f>
        <v>Spring</v>
      </c>
      <c r="S981" s="38" t="str">
        <f t="array" ref="S981">INDEX($R$2:$R$5,MATCH(dataset_A!C981,$Q$2:$Q$5,0))</f>
        <v>Spring</v>
      </c>
      <c r="T981" s="38" t="str">
        <f t="shared" si="4"/>
        <v>Match</v>
      </c>
    </row>
    <row r="982" ht="12.75" customHeight="1">
      <c r="A982" s="38">
        <f>dataset_A!A982</f>
        <v>508</v>
      </c>
      <c r="B982" s="39">
        <f>dataset_A!B982</f>
        <v>40566</v>
      </c>
      <c r="C982" s="38">
        <f>dataset_A!F982</f>
        <v>6</v>
      </c>
      <c r="D982" s="38">
        <f>dataset_A!H982</f>
        <v>0</v>
      </c>
      <c r="E982" s="38" t="b">
        <f>dataset_A!G982</f>
        <v>0</v>
      </c>
      <c r="F982" s="38" t="b">
        <f>dataset_A!G982</f>
        <v>0</v>
      </c>
      <c r="G982" s="38" t="str">
        <f t="shared" si="1"/>
        <v>Weekend</v>
      </c>
      <c r="H982" s="38" t="str">
        <f t="shared" si="2"/>
        <v>Morning</v>
      </c>
      <c r="I982" s="38" t="str">
        <f>IF(dataset_A!C982=1,"Spring",IF(dataset_A!C982=2,"Summer",IF(dataset_A!C982=3,"Fail","Winter")))</f>
        <v>Spring</v>
      </c>
      <c r="J982" s="38" t="str">
        <f>IF(dataset_A!I982=1,"Clear",IF(dataset_A!I982,"Mist/Cloudy",IF(dataset_A!I982=3,"Light Rain/Snow","Heavy Rain/Snow")))</f>
        <v>Mist/Cloudy</v>
      </c>
      <c r="K982" s="38">
        <f>dataset_A!N982</f>
        <v>0</v>
      </c>
      <c r="L982" s="38">
        <f>dataset_A!O982</f>
        <v>1</v>
      </c>
      <c r="M982" s="38">
        <f>dataset_A!P982</f>
        <v>1</v>
      </c>
      <c r="N982" s="38" t="str">
        <f t="shared" si="3"/>
        <v>Ok</v>
      </c>
      <c r="O982" s="38" t="str">
        <f>IF(M982&gt;Analysis!$B$3*1.5,"High",IF(M982&lt;Analysis!$B$3*0.5,"Low","Medium"))</f>
        <v>Low</v>
      </c>
      <c r="P982" s="38" t="str">
        <f>VLOOKUP(dataset_A!C982,$Q$2:$R$5,2,0)</f>
        <v>Spring</v>
      </c>
      <c r="S982" s="38" t="str">
        <f t="array" ref="S982">INDEX($R$2:$R$5,MATCH(dataset_A!C982,$Q$2:$Q$5,0))</f>
        <v>Spring</v>
      </c>
      <c r="T982" s="38" t="str">
        <f t="shared" si="4"/>
        <v>Match</v>
      </c>
    </row>
    <row r="983" ht="12.75" customHeight="1">
      <c r="A983" s="38">
        <f>dataset_A!A983</f>
        <v>527</v>
      </c>
      <c r="B983" s="39">
        <f>dataset_A!B983</f>
        <v>40567</v>
      </c>
      <c r="C983" s="38">
        <f>dataset_A!F983</f>
        <v>1</v>
      </c>
      <c r="D983" s="38">
        <f>dataset_A!H983</f>
        <v>1</v>
      </c>
      <c r="E983" s="38" t="b">
        <f>dataset_A!G983</f>
        <v>0</v>
      </c>
      <c r="F983" s="38" t="b">
        <f>dataset_A!G983</f>
        <v>0</v>
      </c>
      <c r="G983" s="38" t="str">
        <f t="shared" si="1"/>
        <v>Weekday</v>
      </c>
      <c r="H983" s="38" t="str">
        <f t="shared" si="2"/>
        <v>Night</v>
      </c>
      <c r="I983" s="38" t="str">
        <f>IF(dataset_A!C983=1,"Spring",IF(dataset_A!C983=2,"Summer",IF(dataset_A!C983=3,"Fail","Winter")))</f>
        <v>Spring</v>
      </c>
      <c r="J983" s="38" t="str">
        <f>IF(dataset_A!I983=1,"Clear",IF(dataset_A!I983,"Mist/Cloudy",IF(dataset_A!I983=3,"Light Rain/Snow","Heavy Rain/Snow")))</f>
        <v>Clear</v>
      </c>
      <c r="K983" s="38">
        <f>dataset_A!N983</f>
        <v>0</v>
      </c>
      <c r="L983" s="38">
        <f>dataset_A!O983</f>
        <v>1</v>
      </c>
      <c r="M983" s="38">
        <f>dataset_A!P983</f>
        <v>1</v>
      </c>
      <c r="N983" s="38" t="str">
        <f t="shared" si="3"/>
        <v>Ok</v>
      </c>
      <c r="O983" s="38" t="str">
        <f>IF(M983&gt;Analysis!$B$3*1.5,"High",IF(M983&lt;Analysis!$B$3*0.5,"Low","Medium"))</f>
        <v>Low</v>
      </c>
      <c r="P983" s="38" t="str">
        <f>VLOOKUP(dataset_A!C983,$Q$2:$R$5,2,0)</f>
        <v>Spring</v>
      </c>
      <c r="S983" s="38" t="str">
        <f t="array" ref="S983">INDEX($R$2:$R$5,MATCH(dataset_A!C983,$Q$2:$Q$5,0))</f>
        <v>Spring</v>
      </c>
      <c r="T983" s="38" t="str">
        <f t="shared" si="4"/>
        <v>Match</v>
      </c>
    </row>
    <row r="984" ht="12.75" customHeight="1">
      <c r="A984" s="38">
        <f>dataset_A!A984</f>
        <v>528</v>
      </c>
      <c r="B984" s="39">
        <f>dataset_A!B984</f>
        <v>40567</v>
      </c>
      <c r="C984" s="38">
        <f>dataset_A!F984</f>
        <v>3</v>
      </c>
      <c r="D984" s="38">
        <f>dataset_A!H984</f>
        <v>1</v>
      </c>
      <c r="E984" s="38" t="b">
        <f>dataset_A!G984</f>
        <v>0</v>
      </c>
      <c r="F984" s="38" t="b">
        <f>dataset_A!G984</f>
        <v>0</v>
      </c>
      <c r="G984" s="38" t="str">
        <f t="shared" si="1"/>
        <v>Weekday</v>
      </c>
      <c r="H984" s="38" t="str">
        <f t="shared" si="2"/>
        <v>Night</v>
      </c>
      <c r="I984" s="38" t="str">
        <f>IF(dataset_A!C984=1,"Spring",IF(dataset_A!C984=2,"Summer",IF(dataset_A!C984=3,"Fail","Winter")))</f>
        <v>Spring</v>
      </c>
      <c r="J984" s="38" t="str">
        <f>IF(dataset_A!I984=1,"Clear",IF(dataset_A!I984,"Mist/Cloudy",IF(dataset_A!I984=3,"Light Rain/Snow","Heavy Rain/Snow")))</f>
        <v>Clear</v>
      </c>
      <c r="K984" s="38">
        <f>dataset_A!N984</f>
        <v>0</v>
      </c>
      <c r="L984" s="38">
        <f>dataset_A!O984</f>
        <v>1</v>
      </c>
      <c r="M984" s="38">
        <f>dataset_A!P984</f>
        <v>1</v>
      </c>
      <c r="N984" s="38" t="str">
        <f t="shared" si="3"/>
        <v>Ok</v>
      </c>
      <c r="O984" s="38" t="str">
        <f>IF(M984&gt;Analysis!$B$3*1.5,"High",IF(M984&lt;Analysis!$B$3*0.5,"Low","Medium"))</f>
        <v>Low</v>
      </c>
      <c r="P984" s="38" t="str">
        <f>VLOOKUP(dataset_A!C984,$Q$2:$R$5,2,0)</f>
        <v>Spring</v>
      </c>
      <c r="S984" s="38" t="str">
        <f t="array" ref="S984">INDEX($R$2:$R$5,MATCH(dataset_A!C984,$Q$2:$Q$5,0))</f>
        <v>Spring</v>
      </c>
      <c r="T984" s="38" t="str">
        <f t="shared" si="4"/>
        <v>Match</v>
      </c>
    </row>
    <row r="985" ht="12.75" customHeight="1">
      <c r="A985" s="38">
        <f>dataset_A!A985</f>
        <v>529</v>
      </c>
      <c r="B985" s="39">
        <f>dataset_A!B985</f>
        <v>40567</v>
      </c>
      <c r="C985" s="38">
        <f>dataset_A!F985</f>
        <v>4</v>
      </c>
      <c r="D985" s="38">
        <f>dataset_A!H985</f>
        <v>1</v>
      </c>
      <c r="E985" s="38" t="b">
        <f>dataset_A!G985</f>
        <v>0</v>
      </c>
      <c r="F985" s="38" t="b">
        <f>dataset_A!G985</f>
        <v>0</v>
      </c>
      <c r="G985" s="38" t="str">
        <f t="shared" si="1"/>
        <v>Weekday</v>
      </c>
      <c r="H985" s="38" t="str">
        <f t="shared" si="2"/>
        <v>Night</v>
      </c>
      <c r="I985" s="38" t="str">
        <f>IF(dataset_A!C985=1,"Spring",IF(dataset_A!C985=2,"Summer",IF(dataset_A!C985=3,"Fail","Winter")))</f>
        <v>Spring</v>
      </c>
      <c r="J985" s="38" t="str">
        <f>IF(dataset_A!I985=1,"Clear",IF(dataset_A!I985,"Mist/Cloudy",IF(dataset_A!I985=3,"Light Rain/Snow","Heavy Rain/Snow")))</f>
        <v>Clear</v>
      </c>
      <c r="K985" s="38">
        <f>dataset_A!N985</f>
        <v>0</v>
      </c>
      <c r="L985" s="38">
        <f>dataset_A!O985</f>
        <v>1</v>
      </c>
      <c r="M985" s="38">
        <f>dataset_A!P985</f>
        <v>1</v>
      </c>
      <c r="N985" s="38" t="str">
        <f t="shared" si="3"/>
        <v>Ok</v>
      </c>
      <c r="O985" s="38" t="str">
        <f>IF(M985&gt;Analysis!$B$3*1.5,"High",IF(M985&lt;Analysis!$B$3*0.5,"Low","Medium"))</f>
        <v>Low</v>
      </c>
      <c r="P985" s="38" t="str">
        <f>VLOOKUP(dataset_A!C985,$Q$2:$R$5,2,0)</f>
        <v>Spring</v>
      </c>
      <c r="S985" s="38" t="str">
        <f t="array" ref="S985">INDEX($R$2:$R$5,MATCH(dataset_A!C985,$Q$2:$Q$5,0))</f>
        <v>Spring</v>
      </c>
      <c r="T985" s="38" t="str">
        <f t="shared" si="4"/>
        <v>Match</v>
      </c>
    </row>
    <row r="986" ht="12.75" customHeight="1">
      <c r="A986" s="38">
        <f>dataset_A!A986</f>
        <v>552</v>
      </c>
      <c r="B986" s="39">
        <f>dataset_A!B986</f>
        <v>40568</v>
      </c>
      <c r="C986" s="38">
        <f>dataset_A!F986</f>
        <v>4</v>
      </c>
      <c r="D986" s="38">
        <f>dataset_A!H986</f>
        <v>2</v>
      </c>
      <c r="E986" s="38" t="b">
        <f>dataset_A!G986</f>
        <v>0</v>
      </c>
      <c r="F986" s="38" t="b">
        <f>dataset_A!G986</f>
        <v>0</v>
      </c>
      <c r="G986" s="38" t="str">
        <f t="shared" si="1"/>
        <v>Weekday</v>
      </c>
      <c r="H986" s="38" t="str">
        <f t="shared" si="2"/>
        <v>Night</v>
      </c>
      <c r="I986" s="38" t="str">
        <f>IF(dataset_A!C986=1,"Spring",IF(dataset_A!C986=2,"Summer",IF(dataset_A!C986=3,"Fail","Winter")))</f>
        <v>Spring</v>
      </c>
      <c r="J986" s="38" t="str">
        <f>IF(dataset_A!I986=1,"Clear",IF(dataset_A!I986,"Mist/Cloudy",IF(dataset_A!I986=3,"Light Rain/Snow","Heavy Rain/Snow")))</f>
        <v>Clear</v>
      </c>
      <c r="K986" s="38">
        <f>dataset_A!N986</f>
        <v>0</v>
      </c>
      <c r="L986" s="38">
        <f>dataset_A!O986</f>
        <v>1</v>
      </c>
      <c r="M986" s="38">
        <f>dataset_A!P986</f>
        <v>1</v>
      </c>
      <c r="N986" s="38" t="str">
        <f t="shared" si="3"/>
        <v>Ok</v>
      </c>
      <c r="O986" s="38" t="str">
        <f>IF(M986&gt;Analysis!$B$3*1.5,"High",IF(M986&lt;Analysis!$B$3*0.5,"Low","Medium"))</f>
        <v>Low</v>
      </c>
      <c r="P986" s="38" t="str">
        <f>VLOOKUP(dataset_A!C986,$Q$2:$R$5,2,0)</f>
        <v>Spring</v>
      </c>
      <c r="S986" s="38" t="str">
        <f t="array" ref="S986">INDEX($R$2:$R$5,MATCH(dataset_A!C986,$Q$2:$Q$5,0))</f>
        <v>Spring</v>
      </c>
      <c r="T986" s="38" t="str">
        <f t="shared" si="4"/>
        <v>Match</v>
      </c>
    </row>
    <row r="987" ht="12.75" customHeight="1">
      <c r="A987" s="38">
        <f>dataset_A!A987</f>
        <v>575</v>
      </c>
      <c r="B987" s="39">
        <f>dataset_A!B987</f>
        <v>40569</v>
      </c>
      <c r="C987" s="38">
        <f>dataset_A!F987</f>
        <v>5</v>
      </c>
      <c r="D987" s="38">
        <f>dataset_A!H987</f>
        <v>3</v>
      </c>
      <c r="E987" s="38" t="b">
        <f>dataset_A!G987</f>
        <v>0</v>
      </c>
      <c r="F987" s="38" t="b">
        <f>dataset_A!G987</f>
        <v>0</v>
      </c>
      <c r="G987" s="38" t="str">
        <f t="shared" si="1"/>
        <v>Weekday</v>
      </c>
      <c r="H987" s="38" t="str">
        <f t="shared" si="2"/>
        <v>Night</v>
      </c>
      <c r="I987" s="38" t="str">
        <f>IF(dataset_A!C987=1,"Spring",IF(dataset_A!C987=2,"Summer",IF(dataset_A!C987=3,"Fail","Winter")))</f>
        <v>Spring</v>
      </c>
      <c r="J987" s="38" t="str">
        <f>IF(dataset_A!I987=1,"Clear",IF(dataset_A!I987,"Mist/Cloudy",IF(dataset_A!I987=3,"Light Rain/Snow","Heavy Rain/Snow")))</f>
        <v>Mist/Cloudy</v>
      </c>
      <c r="K987" s="38">
        <f>dataset_A!N987</f>
        <v>0</v>
      </c>
      <c r="L987" s="38">
        <f>dataset_A!O987</f>
        <v>1</v>
      </c>
      <c r="M987" s="38">
        <f>dataset_A!P987</f>
        <v>1</v>
      </c>
      <c r="N987" s="38" t="str">
        <f t="shared" si="3"/>
        <v>Ok</v>
      </c>
      <c r="O987" s="38" t="str">
        <f>IF(M987&gt;Analysis!$B$3*1.5,"High",IF(M987&lt;Analysis!$B$3*0.5,"Low","Medium"))</f>
        <v>Low</v>
      </c>
      <c r="P987" s="38" t="str">
        <f>VLOOKUP(dataset_A!C987,$Q$2:$R$5,2,0)</f>
        <v>Spring</v>
      </c>
      <c r="S987" s="38" t="str">
        <f t="array" ref="S987">INDEX($R$2:$R$5,MATCH(dataset_A!C987,$Q$2:$Q$5,0))</f>
        <v>Spring</v>
      </c>
      <c r="T987" s="38" t="str">
        <f t="shared" si="4"/>
        <v>Match</v>
      </c>
    </row>
    <row r="988" ht="12.75" customHeight="1">
      <c r="A988" s="38">
        <f>dataset_A!A988</f>
        <v>599</v>
      </c>
      <c r="B988" s="39">
        <f>dataset_A!B988</f>
        <v>40571</v>
      </c>
      <c r="C988" s="38">
        <f>dataset_A!F988</f>
        <v>3</v>
      </c>
      <c r="D988" s="38">
        <f>dataset_A!H988</f>
        <v>5</v>
      </c>
      <c r="E988" s="38" t="b">
        <f>dataset_A!G988</f>
        <v>0</v>
      </c>
      <c r="F988" s="38" t="b">
        <f>dataset_A!G988</f>
        <v>0</v>
      </c>
      <c r="G988" s="38" t="str">
        <f t="shared" si="1"/>
        <v>Weekday</v>
      </c>
      <c r="H988" s="38" t="str">
        <f t="shared" si="2"/>
        <v>Night</v>
      </c>
      <c r="I988" s="38" t="str">
        <f>IF(dataset_A!C988=1,"Spring",IF(dataset_A!C988=2,"Summer",IF(dataset_A!C988=3,"Fail","Winter")))</f>
        <v>Spring</v>
      </c>
      <c r="J988" s="38" t="str">
        <f>IF(dataset_A!I988=1,"Clear",IF(dataset_A!I988,"Mist/Cloudy",IF(dataset_A!I988=3,"Light Rain/Snow","Heavy Rain/Snow")))</f>
        <v>Mist/Cloudy</v>
      </c>
      <c r="K988" s="38">
        <f>dataset_A!N988</f>
        <v>1</v>
      </c>
      <c r="L988" s="38">
        <f>dataset_A!O988</f>
        <v>0</v>
      </c>
      <c r="M988" s="38">
        <f>dataset_A!P988</f>
        <v>1</v>
      </c>
      <c r="N988" s="38" t="str">
        <f t="shared" si="3"/>
        <v>Ok</v>
      </c>
      <c r="O988" s="38" t="str">
        <f>IF(M988&gt;Analysis!$B$3*1.5,"High",IF(M988&lt;Analysis!$B$3*0.5,"Low","Medium"))</f>
        <v>Low</v>
      </c>
      <c r="P988" s="38" t="str">
        <f>VLOOKUP(dataset_A!C988,$Q$2:$R$5,2,0)</f>
        <v>Spring</v>
      </c>
      <c r="S988" s="38" t="str">
        <f t="array" ref="S988">INDEX($R$2:$R$5,MATCH(dataset_A!C988,$Q$2:$Q$5,0))</f>
        <v>Spring</v>
      </c>
      <c r="T988" s="38" t="str">
        <f t="shared" si="4"/>
        <v>Match</v>
      </c>
    </row>
    <row r="989" ht="12.75" customHeight="1">
      <c r="A989" s="38">
        <f>dataset_A!A989</f>
        <v>646</v>
      </c>
      <c r="B989" s="39">
        <f>dataset_A!B989</f>
        <v>40573</v>
      </c>
      <c r="C989" s="38">
        <f>dataset_A!F989</f>
        <v>4</v>
      </c>
      <c r="D989" s="38">
        <f>dataset_A!H989</f>
        <v>0</v>
      </c>
      <c r="E989" s="38" t="b">
        <f>dataset_A!G989</f>
        <v>0</v>
      </c>
      <c r="F989" s="38" t="b">
        <f>dataset_A!G989</f>
        <v>0</v>
      </c>
      <c r="G989" s="38" t="str">
        <f t="shared" si="1"/>
        <v>Weekend</v>
      </c>
      <c r="H989" s="38" t="str">
        <f t="shared" si="2"/>
        <v>Night</v>
      </c>
      <c r="I989" s="38" t="str">
        <f>IF(dataset_A!C989=1,"Spring",IF(dataset_A!C989=2,"Summer",IF(dataset_A!C989=3,"Fail","Winter")))</f>
        <v>Spring</v>
      </c>
      <c r="J989" s="38" t="str">
        <f>IF(dataset_A!I989=1,"Clear",IF(dataset_A!I989,"Mist/Cloudy",IF(dataset_A!I989=3,"Light Rain/Snow","Heavy Rain/Snow")))</f>
        <v>Clear</v>
      </c>
      <c r="K989" s="38">
        <f>dataset_A!N989</f>
        <v>0</v>
      </c>
      <c r="L989" s="38">
        <f>dataset_A!O989</f>
        <v>1</v>
      </c>
      <c r="M989" s="38">
        <f>dataset_A!P989</f>
        <v>1</v>
      </c>
      <c r="N989" s="38" t="str">
        <f t="shared" si="3"/>
        <v>Ok</v>
      </c>
      <c r="O989" s="38" t="str">
        <f>IF(M989&gt;Analysis!$B$3*1.5,"High",IF(M989&lt;Analysis!$B$3*0.5,"Low","Medium"))</f>
        <v>Low</v>
      </c>
      <c r="P989" s="38" t="str">
        <f>VLOOKUP(dataset_A!C989,$Q$2:$R$5,2,0)</f>
        <v>Spring</v>
      </c>
      <c r="S989" s="38" t="str">
        <f t="array" ref="S989">INDEX($R$2:$R$5,MATCH(dataset_A!C989,$Q$2:$Q$5,0))</f>
        <v>Spring</v>
      </c>
      <c r="T989" s="38" t="str">
        <f t="shared" si="4"/>
        <v>Match</v>
      </c>
    </row>
    <row r="990" ht="12.75" customHeight="1">
      <c r="A990" s="38">
        <f>dataset_A!A990</f>
        <v>667</v>
      </c>
      <c r="B990" s="39">
        <f>dataset_A!B990</f>
        <v>40574</v>
      </c>
      <c r="C990" s="38">
        <f>dataset_A!F990</f>
        <v>2</v>
      </c>
      <c r="D990" s="38">
        <f>dataset_A!H990</f>
        <v>1</v>
      </c>
      <c r="E990" s="38" t="b">
        <f>dataset_A!G990</f>
        <v>0</v>
      </c>
      <c r="F990" s="38" t="b">
        <f>dataset_A!G990</f>
        <v>0</v>
      </c>
      <c r="G990" s="38" t="str">
        <f t="shared" si="1"/>
        <v>Weekday</v>
      </c>
      <c r="H990" s="38" t="str">
        <f t="shared" si="2"/>
        <v>Night</v>
      </c>
      <c r="I990" s="38" t="str">
        <f>IF(dataset_A!C990=1,"Spring",IF(dataset_A!C990=2,"Summer",IF(dataset_A!C990=3,"Fail","Winter")))</f>
        <v>Spring</v>
      </c>
      <c r="J990" s="38" t="str">
        <f>IF(dataset_A!I990=1,"Clear",IF(dataset_A!I990,"Mist/Cloudy",IF(dataset_A!I990=3,"Light Rain/Snow","Heavy Rain/Snow")))</f>
        <v>Clear</v>
      </c>
      <c r="K990" s="38">
        <f>dataset_A!N990</f>
        <v>0</v>
      </c>
      <c r="L990" s="38">
        <f>dataset_A!O990</f>
        <v>1</v>
      </c>
      <c r="M990" s="38">
        <f>dataset_A!P990</f>
        <v>1</v>
      </c>
      <c r="N990" s="38" t="str">
        <f t="shared" si="3"/>
        <v>Ok</v>
      </c>
      <c r="O990" s="38" t="str">
        <f>IF(M990&gt;Analysis!$B$3*1.5,"High",IF(M990&lt;Analysis!$B$3*0.5,"Low","Medium"))</f>
        <v>Low</v>
      </c>
      <c r="P990" s="38" t="str">
        <f>VLOOKUP(dataset_A!C990,$Q$2:$R$5,2,0)</f>
        <v>Spring</v>
      </c>
      <c r="S990" s="38" t="str">
        <f t="array" ref="S990">INDEX($R$2:$R$5,MATCH(dataset_A!C990,$Q$2:$Q$5,0))</f>
        <v>Spring</v>
      </c>
      <c r="T990" s="38" t="str">
        <f t="shared" si="4"/>
        <v>Match</v>
      </c>
    </row>
    <row r="991" ht="12.75" customHeight="1">
      <c r="A991" s="38">
        <f>dataset_A!A991</f>
        <v>715</v>
      </c>
      <c r="B991" s="39">
        <f>dataset_A!B991</f>
        <v>40576</v>
      </c>
      <c r="C991" s="38">
        <f>dataset_A!F991</f>
        <v>3</v>
      </c>
      <c r="D991" s="38">
        <f>dataset_A!H991</f>
        <v>3</v>
      </c>
      <c r="E991" s="38" t="b">
        <f>dataset_A!G991</f>
        <v>0</v>
      </c>
      <c r="F991" s="38" t="b">
        <f>dataset_A!G991</f>
        <v>0</v>
      </c>
      <c r="G991" s="38" t="str">
        <f t="shared" si="1"/>
        <v>Weekday</v>
      </c>
      <c r="H991" s="38" t="str">
        <f t="shared" si="2"/>
        <v>Night</v>
      </c>
      <c r="I991" s="38" t="str">
        <f>IF(dataset_A!C991=1,"Spring",IF(dataset_A!C991=2,"Summer",IF(dataset_A!C991=3,"Fail","Winter")))</f>
        <v>Spring</v>
      </c>
      <c r="J991" s="38" t="str">
        <f>IF(dataset_A!I991=1,"Clear",IF(dataset_A!I991,"Mist/Cloudy",IF(dataset_A!I991=3,"Light Rain/Snow","Heavy Rain/Snow")))</f>
        <v>Mist/Cloudy</v>
      </c>
      <c r="K991" s="38">
        <f>dataset_A!N991</f>
        <v>0</v>
      </c>
      <c r="L991" s="38">
        <f>dataset_A!O991</f>
        <v>1</v>
      </c>
      <c r="M991" s="38">
        <f>dataset_A!P991</f>
        <v>1</v>
      </c>
      <c r="N991" s="38" t="str">
        <f t="shared" si="3"/>
        <v>Ok</v>
      </c>
      <c r="O991" s="38" t="str">
        <f>IF(M991&gt;Analysis!$B$3*1.5,"High",IF(M991&lt;Analysis!$B$3*0.5,"Low","Medium"))</f>
        <v>Low</v>
      </c>
      <c r="P991" s="38" t="str">
        <f>VLOOKUP(dataset_A!C991,$Q$2:$R$5,2,0)</f>
        <v>Spring</v>
      </c>
      <c r="S991" s="38" t="str">
        <f t="array" ref="S991">INDEX($R$2:$R$5,MATCH(dataset_A!C991,$Q$2:$Q$5,0))</f>
        <v>Spring</v>
      </c>
      <c r="T991" s="38" t="str">
        <f t="shared" si="4"/>
        <v>Match</v>
      </c>
    </row>
    <row r="992" ht="12.75" customHeight="1">
      <c r="A992" s="38">
        <f>dataset_A!A992</f>
        <v>716</v>
      </c>
      <c r="B992" s="39">
        <f>dataset_A!B992</f>
        <v>40576</v>
      </c>
      <c r="C992" s="38">
        <f>dataset_A!F992</f>
        <v>4</v>
      </c>
      <c r="D992" s="38">
        <f>dataset_A!H992</f>
        <v>3</v>
      </c>
      <c r="E992" s="38" t="b">
        <f>dataset_A!G992</f>
        <v>0</v>
      </c>
      <c r="F992" s="38" t="b">
        <f>dataset_A!G992</f>
        <v>0</v>
      </c>
      <c r="G992" s="38" t="str">
        <f t="shared" si="1"/>
        <v>Weekday</v>
      </c>
      <c r="H992" s="38" t="str">
        <f t="shared" si="2"/>
        <v>Night</v>
      </c>
      <c r="I992" s="38" t="str">
        <f>IF(dataset_A!C992=1,"Spring",IF(dataset_A!C992=2,"Summer",IF(dataset_A!C992=3,"Fail","Winter")))</f>
        <v>Spring</v>
      </c>
      <c r="J992" s="38" t="str">
        <f>IF(dataset_A!I992=1,"Clear",IF(dataset_A!I992,"Mist/Cloudy",IF(dataset_A!I992=3,"Light Rain/Snow","Heavy Rain/Snow")))</f>
        <v>Mist/Cloudy</v>
      </c>
      <c r="K992" s="38">
        <f>dataset_A!N992</f>
        <v>0</v>
      </c>
      <c r="L992" s="38">
        <f>dataset_A!O992</f>
        <v>1</v>
      </c>
      <c r="M992" s="38">
        <f>dataset_A!P992</f>
        <v>1</v>
      </c>
      <c r="N992" s="38" t="str">
        <f t="shared" si="3"/>
        <v>Ok</v>
      </c>
      <c r="O992" s="38" t="str">
        <f>IF(M992&gt;Analysis!$B$3*1.5,"High",IF(M992&lt;Analysis!$B$3*0.5,"Low","Medium"))</f>
        <v>Low</v>
      </c>
      <c r="P992" s="38" t="str">
        <f>VLOOKUP(dataset_A!C992,$Q$2:$R$5,2,0)</f>
        <v>Spring</v>
      </c>
      <c r="S992" s="38" t="str">
        <f t="array" ref="S992">INDEX($R$2:$R$5,MATCH(dataset_A!C992,$Q$2:$Q$5,0))</f>
        <v>Spring</v>
      </c>
      <c r="T992" s="38" t="str">
        <f t="shared" si="4"/>
        <v>Match</v>
      </c>
    </row>
    <row r="993" ht="12.75" customHeight="1">
      <c r="A993" s="38">
        <f>dataset_A!A993</f>
        <v>739</v>
      </c>
      <c r="B993" s="39">
        <f>dataset_A!B993</f>
        <v>40577</v>
      </c>
      <c r="C993" s="38">
        <f>dataset_A!F993</f>
        <v>3</v>
      </c>
      <c r="D993" s="38">
        <f>dataset_A!H993</f>
        <v>4</v>
      </c>
      <c r="E993" s="38" t="b">
        <f>dataset_A!G993</f>
        <v>0</v>
      </c>
      <c r="F993" s="38" t="b">
        <f>dataset_A!G993</f>
        <v>0</v>
      </c>
      <c r="G993" s="38" t="str">
        <f t="shared" si="1"/>
        <v>Weekday</v>
      </c>
      <c r="H993" s="38" t="str">
        <f t="shared" si="2"/>
        <v>Night</v>
      </c>
      <c r="I993" s="38" t="str">
        <f>IF(dataset_A!C993=1,"Spring",IF(dataset_A!C993=2,"Summer",IF(dataset_A!C993=3,"Fail","Winter")))</f>
        <v>Spring</v>
      </c>
      <c r="J993" s="38" t="str">
        <f>IF(dataset_A!I993=1,"Clear",IF(dataset_A!I993,"Mist/Cloudy",IF(dataset_A!I993=3,"Light Rain/Snow","Heavy Rain/Snow")))</f>
        <v>Clear</v>
      </c>
      <c r="K993" s="38">
        <f>dataset_A!N993</f>
        <v>0</v>
      </c>
      <c r="L993" s="38">
        <f>dataset_A!O993</f>
        <v>1</v>
      </c>
      <c r="M993" s="38">
        <f>dataset_A!P993</f>
        <v>1</v>
      </c>
      <c r="N993" s="38" t="str">
        <f t="shared" si="3"/>
        <v>Ok</v>
      </c>
      <c r="O993" s="38" t="str">
        <f>IF(M993&gt;Analysis!$B$3*1.5,"High",IF(M993&lt;Analysis!$B$3*0.5,"Low","Medium"))</f>
        <v>Low</v>
      </c>
      <c r="P993" s="38" t="str">
        <f>VLOOKUP(dataset_A!C993,$Q$2:$R$5,2,0)</f>
        <v>Spring</v>
      </c>
      <c r="S993" s="38" t="str">
        <f t="array" ref="S993">INDEX($R$2:$R$5,MATCH(dataset_A!C993,$Q$2:$Q$5,0))</f>
        <v>Spring</v>
      </c>
      <c r="T993" s="38" t="str">
        <f t="shared" si="4"/>
        <v>Match</v>
      </c>
    </row>
    <row r="994" ht="12.75" customHeight="1">
      <c r="A994" s="38">
        <f>dataset_A!A994</f>
        <v>761</v>
      </c>
      <c r="B994" s="39">
        <f>dataset_A!B994</f>
        <v>40578</v>
      </c>
      <c r="C994" s="38">
        <f>dataset_A!F994</f>
        <v>2</v>
      </c>
      <c r="D994" s="38">
        <f>dataset_A!H994</f>
        <v>5</v>
      </c>
      <c r="E994" s="38" t="b">
        <f>dataset_A!G994</f>
        <v>0</v>
      </c>
      <c r="F994" s="38" t="b">
        <f>dataset_A!G994</f>
        <v>0</v>
      </c>
      <c r="G994" s="38" t="str">
        <f t="shared" si="1"/>
        <v>Weekday</v>
      </c>
      <c r="H994" s="38" t="str">
        <f t="shared" si="2"/>
        <v>Night</v>
      </c>
      <c r="I994" s="38" t="str">
        <f>IF(dataset_A!C994=1,"Spring",IF(dataset_A!C994=2,"Summer",IF(dataset_A!C994=3,"Fail","Winter")))</f>
        <v>Spring</v>
      </c>
      <c r="J994" s="38" t="str">
        <f>IF(dataset_A!I994=1,"Clear",IF(dataset_A!I994,"Mist/Cloudy",IF(dataset_A!I994=3,"Light Rain/Snow","Heavy Rain/Snow")))</f>
        <v>Mist/Cloudy</v>
      </c>
      <c r="K994" s="38">
        <f>dataset_A!N994</f>
        <v>0</v>
      </c>
      <c r="L994" s="38">
        <f>dataset_A!O994</f>
        <v>1</v>
      </c>
      <c r="M994" s="38">
        <f>dataset_A!P994</f>
        <v>1</v>
      </c>
      <c r="N994" s="38" t="str">
        <f t="shared" si="3"/>
        <v>Ok</v>
      </c>
      <c r="O994" s="38" t="str">
        <f>IF(M994&gt;Analysis!$B$3*1.5,"High",IF(M994&lt;Analysis!$B$3*0.5,"Low","Medium"))</f>
        <v>Low</v>
      </c>
      <c r="P994" s="38" t="str">
        <f>VLOOKUP(dataset_A!C994,$Q$2:$R$5,2,0)</f>
        <v>Spring</v>
      </c>
      <c r="S994" s="38" t="str">
        <f t="array" ref="S994">INDEX($R$2:$R$5,MATCH(dataset_A!C994,$Q$2:$Q$5,0))</f>
        <v>Spring</v>
      </c>
      <c r="T994" s="38" t="str">
        <f t="shared" si="4"/>
        <v>Match</v>
      </c>
    </row>
    <row r="995" ht="12.75" customHeight="1">
      <c r="A995" s="38">
        <f>dataset_A!A995</f>
        <v>762</v>
      </c>
      <c r="B995" s="39">
        <f>dataset_A!B995</f>
        <v>40578</v>
      </c>
      <c r="C995" s="38">
        <f>dataset_A!F995</f>
        <v>3</v>
      </c>
      <c r="D995" s="38">
        <f>dataset_A!H995</f>
        <v>5</v>
      </c>
      <c r="E995" s="38" t="b">
        <f>dataset_A!G995</f>
        <v>0</v>
      </c>
      <c r="F995" s="38" t="b">
        <f>dataset_A!G995</f>
        <v>0</v>
      </c>
      <c r="G995" s="38" t="str">
        <f t="shared" si="1"/>
        <v>Weekday</v>
      </c>
      <c r="H995" s="38" t="str">
        <f t="shared" si="2"/>
        <v>Night</v>
      </c>
      <c r="I995" s="38" t="str">
        <f>IF(dataset_A!C995=1,"Spring",IF(dataset_A!C995=2,"Summer",IF(dataset_A!C995=3,"Fail","Winter")))</f>
        <v>Spring</v>
      </c>
      <c r="J995" s="38" t="str">
        <f>IF(dataset_A!I995=1,"Clear",IF(dataset_A!I995,"Mist/Cloudy",IF(dataset_A!I995=3,"Light Rain/Snow","Heavy Rain/Snow")))</f>
        <v>Mist/Cloudy</v>
      </c>
      <c r="K995" s="38">
        <f>dataset_A!N995</f>
        <v>0</v>
      </c>
      <c r="L995" s="38">
        <f>dataset_A!O995</f>
        <v>1</v>
      </c>
      <c r="M995" s="38">
        <f>dataset_A!P995</f>
        <v>1</v>
      </c>
      <c r="N995" s="38" t="str">
        <f t="shared" si="3"/>
        <v>Ok</v>
      </c>
      <c r="O995" s="38" t="str">
        <f>IF(M995&gt;Analysis!$B$3*1.5,"High",IF(M995&lt;Analysis!$B$3*0.5,"Low","Medium"))</f>
        <v>Low</v>
      </c>
      <c r="P995" s="38" t="str">
        <f>VLOOKUP(dataset_A!C995,$Q$2:$R$5,2,0)</f>
        <v>Spring</v>
      </c>
      <c r="S995" s="38" t="str">
        <f t="array" ref="S995">INDEX($R$2:$R$5,MATCH(dataset_A!C995,$Q$2:$Q$5,0))</f>
        <v>Spring</v>
      </c>
      <c r="T995" s="38" t="str">
        <f t="shared" si="4"/>
        <v>Match</v>
      </c>
    </row>
    <row r="996" ht="12.75" customHeight="1">
      <c r="A996" s="38">
        <f>dataset_A!A996</f>
        <v>811</v>
      </c>
      <c r="B996" s="39">
        <f>dataset_A!B996</f>
        <v>40580</v>
      </c>
      <c r="C996" s="38">
        <f>dataset_A!F996</f>
        <v>5</v>
      </c>
      <c r="D996" s="38">
        <f>dataset_A!H996</f>
        <v>0</v>
      </c>
      <c r="E996" s="38" t="b">
        <f>dataset_A!G996</f>
        <v>0</v>
      </c>
      <c r="F996" s="38" t="b">
        <f>dataset_A!G996</f>
        <v>0</v>
      </c>
      <c r="G996" s="38" t="str">
        <f t="shared" si="1"/>
        <v>Weekend</v>
      </c>
      <c r="H996" s="38" t="str">
        <f t="shared" si="2"/>
        <v>Night</v>
      </c>
      <c r="I996" s="38" t="str">
        <f>IF(dataset_A!C996=1,"Spring",IF(dataset_A!C996=2,"Summer",IF(dataset_A!C996=3,"Fail","Winter")))</f>
        <v>Spring</v>
      </c>
      <c r="J996" s="38" t="str">
        <f>IF(dataset_A!I996=1,"Clear",IF(dataset_A!I996,"Mist/Cloudy",IF(dataset_A!I996=3,"Light Rain/Snow","Heavy Rain/Snow")))</f>
        <v>Clear</v>
      </c>
      <c r="K996" s="38">
        <f>dataset_A!N996</f>
        <v>0</v>
      </c>
      <c r="L996" s="38">
        <f>dataset_A!O996</f>
        <v>1</v>
      </c>
      <c r="M996" s="38">
        <f>dataset_A!P996</f>
        <v>1</v>
      </c>
      <c r="N996" s="38" t="str">
        <f t="shared" si="3"/>
        <v>Ok</v>
      </c>
      <c r="O996" s="38" t="str">
        <f>IF(M996&gt;Analysis!$B$3*1.5,"High",IF(M996&lt;Analysis!$B$3*0.5,"Low","Medium"))</f>
        <v>Low</v>
      </c>
      <c r="P996" s="38" t="str">
        <f>VLOOKUP(dataset_A!C996,$Q$2:$R$5,2,0)</f>
        <v>Spring</v>
      </c>
      <c r="S996" s="38" t="str">
        <f t="array" ref="S996">INDEX($R$2:$R$5,MATCH(dataset_A!C996,$Q$2:$Q$5,0))</f>
        <v>Spring</v>
      </c>
      <c r="T996" s="38" t="str">
        <f t="shared" si="4"/>
        <v>Match</v>
      </c>
    </row>
    <row r="997" ht="12.75" customHeight="1">
      <c r="A997" s="38">
        <f>dataset_A!A997</f>
        <v>812</v>
      </c>
      <c r="B997" s="39">
        <f>dataset_A!B997</f>
        <v>40580</v>
      </c>
      <c r="C997" s="38">
        <f>dataset_A!F997</f>
        <v>6</v>
      </c>
      <c r="D997" s="38">
        <f>dataset_A!H997</f>
        <v>0</v>
      </c>
      <c r="E997" s="38" t="b">
        <f>dataset_A!G997</f>
        <v>0</v>
      </c>
      <c r="F997" s="38" t="b">
        <f>dataset_A!G997</f>
        <v>0</v>
      </c>
      <c r="G997" s="38" t="str">
        <f t="shared" si="1"/>
        <v>Weekend</v>
      </c>
      <c r="H997" s="38" t="str">
        <f t="shared" si="2"/>
        <v>Morning</v>
      </c>
      <c r="I997" s="38" t="str">
        <f>IF(dataset_A!C997=1,"Spring",IF(dataset_A!C997=2,"Summer",IF(dataset_A!C997=3,"Fail","Winter")))</f>
        <v>Spring</v>
      </c>
      <c r="J997" s="38" t="str">
        <f>IF(dataset_A!I997=1,"Clear",IF(dataset_A!I997,"Mist/Cloudy",IF(dataset_A!I997=3,"Light Rain/Snow","Heavy Rain/Snow")))</f>
        <v>Clear</v>
      </c>
      <c r="K997" s="38">
        <f>dataset_A!N997</f>
        <v>0</v>
      </c>
      <c r="L997" s="38">
        <f>dataset_A!O997</f>
        <v>1</v>
      </c>
      <c r="M997" s="38">
        <f>dataset_A!P997</f>
        <v>1</v>
      </c>
      <c r="N997" s="38" t="str">
        <f t="shared" si="3"/>
        <v>Ok</v>
      </c>
      <c r="O997" s="38" t="str">
        <f>IF(M997&gt;Analysis!$B$3*1.5,"High",IF(M997&lt;Analysis!$B$3*0.5,"Low","Medium"))</f>
        <v>Low</v>
      </c>
      <c r="P997" s="38" t="str">
        <f>VLOOKUP(dataset_A!C997,$Q$2:$R$5,2,0)</f>
        <v>Spring</v>
      </c>
      <c r="S997" s="38" t="str">
        <f t="array" ref="S997">INDEX($R$2:$R$5,MATCH(dataset_A!C997,$Q$2:$Q$5,0))</f>
        <v>Spring</v>
      </c>
      <c r="T997" s="38" t="str">
        <f t="shared" si="4"/>
        <v>Match</v>
      </c>
    </row>
    <row r="998" ht="12.75" customHeight="1">
      <c r="A998" s="38">
        <f>dataset_A!A998</f>
        <v>833</v>
      </c>
      <c r="B998" s="39">
        <f>dataset_A!B998</f>
        <v>40581</v>
      </c>
      <c r="C998" s="38">
        <f>dataset_A!F998</f>
        <v>3</v>
      </c>
      <c r="D998" s="38">
        <f>dataset_A!H998</f>
        <v>1</v>
      </c>
      <c r="E998" s="38" t="b">
        <f>dataset_A!G998</f>
        <v>0</v>
      </c>
      <c r="F998" s="38" t="b">
        <f>dataset_A!G998</f>
        <v>0</v>
      </c>
      <c r="G998" s="38" t="str">
        <f t="shared" si="1"/>
        <v>Weekday</v>
      </c>
      <c r="H998" s="38" t="str">
        <f t="shared" si="2"/>
        <v>Night</v>
      </c>
      <c r="I998" s="38" t="str">
        <f>IF(dataset_A!C998=1,"Spring",IF(dataset_A!C998=2,"Summer",IF(dataset_A!C998=3,"Fail","Winter")))</f>
        <v>Spring</v>
      </c>
      <c r="J998" s="38" t="str">
        <f>IF(dataset_A!I998=1,"Clear",IF(dataset_A!I998,"Mist/Cloudy",IF(dataset_A!I998=3,"Light Rain/Snow","Heavy Rain/Snow")))</f>
        <v>Clear</v>
      </c>
      <c r="K998" s="38">
        <f>dataset_A!N998</f>
        <v>0</v>
      </c>
      <c r="L998" s="38">
        <f>dataset_A!O998</f>
        <v>1</v>
      </c>
      <c r="M998" s="38">
        <f>dataset_A!P998</f>
        <v>1</v>
      </c>
      <c r="N998" s="38" t="str">
        <f t="shared" si="3"/>
        <v>Ok</v>
      </c>
      <c r="O998" s="38" t="str">
        <f>IF(M998&gt;Analysis!$B$3*1.5,"High",IF(M998&lt;Analysis!$B$3*0.5,"Low","Medium"))</f>
        <v>Low</v>
      </c>
      <c r="P998" s="38" t="str">
        <f>VLOOKUP(dataset_A!C998,$Q$2:$R$5,2,0)</f>
        <v>Spring</v>
      </c>
      <c r="S998" s="38" t="str">
        <f t="array" ref="S998">INDEX($R$2:$R$5,MATCH(dataset_A!C998,$Q$2:$Q$5,0))</f>
        <v>Spring</v>
      </c>
      <c r="T998" s="38" t="str">
        <f t="shared" si="4"/>
        <v>Match</v>
      </c>
    </row>
    <row r="999" ht="12.75" customHeight="1">
      <c r="A999" s="38">
        <f>dataset_A!A999</f>
        <v>857</v>
      </c>
      <c r="B999" s="39">
        <f>dataset_A!B999</f>
        <v>40582</v>
      </c>
      <c r="C999" s="38">
        <f>dataset_A!F999</f>
        <v>3</v>
      </c>
      <c r="D999" s="38">
        <f>dataset_A!H999</f>
        <v>2</v>
      </c>
      <c r="E999" s="38" t="b">
        <f>dataset_A!G999</f>
        <v>0</v>
      </c>
      <c r="F999" s="38" t="b">
        <f>dataset_A!G999</f>
        <v>0</v>
      </c>
      <c r="G999" s="38" t="str">
        <f t="shared" si="1"/>
        <v>Weekday</v>
      </c>
      <c r="H999" s="38" t="str">
        <f t="shared" si="2"/>
        <v>Night</v>
      </c>
      <c r="I999" s="38" t="str">
        <f>IF(dataset_A!C999=1,"Spring",IF(dataset_A!C999=2,"Summer",IF(dataset_A!C999=3,"Fail","Winter")))</f>
        <v>Spring</v>
      </c>
      <c r="J999" s="38" t="str">
        <f>IF(dataset_A!I999=1,"Clear",IF(dataset_A!I999,"Mist/Cloudy",IF(dataset_A!I999=3,"Light Rain/Snow","Heavy Rain/Snow")))</f>
        <v>Mist/Cloudy</v>
      </c>
      <c r="K999" s="38">
        <f>dataset_A!N999</f>
        <v>0</v>
      </c>
      <c r="L999" s="38">
        <f>dataset_A!O999</f>
        <v>1</v>
      </c>
      <c r="M999" s="38">
        <f>dataset_A!P999</f>
        <v>1</v>
      </c>
      <c r="N999" s="38" t="str">
        <f t="shared" si="3"/>
        <v>Ok</v>
      </c>
      <c r="O999" s="38" t="str">
        <f>IF(M999&gt;Analysis!$B$3*1.5,"High",IF(M999&lt;Analysis!$B$3*0.5,"Low","Medium"))</f>
        <v>Low</v>
      </c>
      <c r="P999" s="38" t="str">
        <f>VLOOKUP(dataset_A!C999,$Q$2:$R$5,2,0)</f>
        <v>Spring</v>
      </c>
      <c r="S999" s="38" t="str">
        <f t="array" ref="S999">INDEX($R$2:$R$5,MATCH(dataset_A!C999,$Q$2:$Q$5,0))</f>
        <v>Spring</v>
      </c>
      <c r="T999" s="38" t="str">
        <f t="shared" si="4"/>
        <v>Match</v>
      </c>
    </row>
    <row r="1000" ht="12.75" customHeight="1">
      <c r="A1000" s="38">
        <f>dataset_A!A1000</f>
        <v>904</v>
      </c>
      <c r="B1000" s="39">
        <f>dataset_A!B1000</f>
        <v>40584</v>
      </c>
      <c r="C1000" s="38">
        <f>dataset_A!F1000</f>
        <v>4</v>
      </c>
      <c r="D1000" s="38">
        <f>dataset_A!H1000</f>
        <v>4</v>
      </c>
      <c r="E1000" s="38" t="b">
        <f>dataset_A!G1000</f>
        <v>0</v>
      </c>
      <c r="F1000" s="38" t="b">
        <f>dataset_A!G1000</f>
        <v>0</v>
      </c>
      <c r="G1000" s="38" t="str">
        <f t="shared" si="1"/>
        <v>Weekday</v>
      </c>
      <c r="H1000" s="38" t="str">
        <f t="shared" si="2"/>
        <v>Night</v>
      </c>
      <c r="I1000" s="38" t="str">
        <f>IF(dataset_A!C1000=1,"Spring",IF(dataset_A!C1000=2,"Summer",IF(dataset_A!C1000=3,"Fail","Winter")))</f>
        <v>Spring</v>
      </c>
      <c r="J1000" s="38" t="str">
        <f>IF(dataset_A!I1000=1,"Clear",IF(dataset_A!I1000,"Mist/Cloudy",IF(dataset_A!I1000=3,"Light Rain/Snow","Heavy Rain/Snow")))</f>
        <v>Mist/Cloudy</v>
      </c>
      <c r="K1000" s="38">
        <f>dataset_A!N1000</f>
        <v>0</v>
      </c>
      <c r="L1000" s="38">
        <f>dataset_A!O1000</f>
        <v>1</v>
      </c>
      <c r="M1000" s="38">
        <f>dataset_A!P1000</f>
        <v>1</v>
      </c>
      <c r="N1000" s="38" t="str">
        <f t="shared" si="3"/>
        <v>Ok</v>
      </c>
      <c r="O1000" s="38" t="str">
        <f>IF(M1000&gt;Analysis!$B$3*1.5,"High",IF(M1000&lt;Analysis!$B$3*0.5,"Low","Medium"))</f>
        <v>Low</v>
      </c>
      <c r="P1000" s="38" t="str">
        <f>VLOOKUP(dataset_A!C1000,$Q$2:$R$5,2,0)</f>
        <v>Spring</v>
      </c>
      <c r="S1000" s="38" t="str">
        <f t="array" ref="S1000">INDEX($R$2:$R$5,MATCH(dataset_A!C1000,$Q$2:$Q$5,0))</f>
        <v>Spring</v>
      </c>
      <c r="T1000" s="38" t="str">
        <f t="shared" si="4"/>
        <v>Match</v>
      </c>
    </row>
    <row r="1001" ht="12.75" customHeight="1">
      <c r="A1001" s="38">
        <f>dataset_A!A1001</f>
        <v>951</v>
      </c>
      <c r="B1001" s="39">
        <f>dataset_A!B1001</f>
        <v>40586</v>
      </c>
      <c r="C1001" s="38">
        <f>dataset_A!F1001</f>
        <v>5</v>
      </c>
      <c r="D1001" s="38">
        <f>dataset_A!H1001</f>
        <v>6</v>
      </c>
      <c r="E1001" s="38" t="b">
        <f>dataset_A!G1001</f>
        <v>0</v>
      </c>
      <c r="F1001" s="38" t="b">
        <f>dataset_A!G1001</f>
        <v>0</v>
      </c>
      <c r="G1001" s="38" t="str">
        <f t="shared" si="1"/>
        <v>Weekend</v>
      </c>
      <c r="H1001" s="38" t="str">
        <f t="shared" si="2"/>
        <v>Night</v>
      </c>
      <c r="I1001" s="38" t="str">
        <f>IF(dataset_A!C1001=1,"Spring",IF(dataset_A!C1001=2,"Summer",IF(dataset_A!C1001=3,"Fail","Winter")))</f>
        <v>Spring</v>
      </c>
      <c r="J1001" s="38" t="str">
        <f>IF(dataset_A!I1001=1,"Clear",IF(dataset_A!I1001,"Mist/Cloudy",IF(dataset_A!I1001=3,"Light Rain/Snow","Heavy Rain/Snow")))</f>
        <v>Clear</v>
      </c>
      <c r="K1001" s="38">
        <f>dataset_A!N1001</f>
        <v>0</v>
      </c>
      <c r="L1001" s="38">
        <f>dataset_A!O1001</f>
        <v>1</v>
      </c>
      <c r="M1001" s="38">
        <f>dataset_A!P1001</f>
        <v>1</v>
      </c>
      <c r="N1001" s="38" t="str">
        <f t="shared" si="3"/>
        <v>Ok</v>
      </c>
      <c r="O1001" s="38" t="str">
        <f>IF(M1001&gt;Analysis!$B$3*1.5,"High",IF(M1001&lt;Analysis!$B$3*0.5,"Low","Medium"))</f>
        <v>Low</v>
      </c>
      <c r="P1001" s="38" t="str">
        <f>VLOOKUP(dataset_A!C1001,$Q$2:$R$5,2,0)</f>
        <v>Spring</v>
      </c>
      <c r="S1001" s="38" t="str">
        <f t="array" ref="S1001">INDEX($R$2:$R$5,MATCH(dataset_A!C1001,$Q$2:$Q$5,0))</f>
        <v>Spring</v>
      </c>
      <c r="T1001" s="38" t="str">
        <f t="shared" si="4"/>
        <v>Match</v>
      </c>
    </row>
    <row r="1002" ht="12.75" customHeight="1">
      <c r="B1002" s="39"/>
    </row>
    <row r="1003" ht="12.75" customHeight="1">
      <c r="B1003" s="39"/>
    </row>
    <row r="1004" ht="12.75" customHeight="1">
      <c r="B1004" s="39"/>
    </row>
    <row r="1005" ht="12.75" customHeight="1">
      <c r="B1005" s="39"/>
    </row>
    <row r="1006" ht="12.75" customHeight="1">
      <c r="B1006" s="39"/>
    </row>
    <row r="1007" ht="12.75" customHeight="1">
      <c r="B1007" s="39"/>
    </row>
    <row r="1008" ht="12.75" customHeight="1">
      <c r="B1008" s="39"/>
    </row>
    <row r="1009" ht="12.75" customHeight="1">
      <c r="B1009" s="39"/>
    </row>
    <row r="1010" ht="12.75" customHeight="1">
      <c r="B1010" s="39"/>
    </row>
    <row r="1011" ht="12.75" customHeight="1">
      <c r="B1011" s="39"/>
    </row>
    <row r="1012" ht="12.75" customHeight="1">
      <c r="B1012" s="39"/>
    </row>
    <row r="1013" ht="12.75" customHeight="1">
      <c r="B1013" s="39"/>
    </row>
    <row r="1014" ht="12.75" customHeight="1">
      <c r="B1014" s="39"/>
    </row>
    <row r="1015" ht="12.75" customHeight="1">
      <c r="B1015" s="39"/>
    </row>
    <row r="1016" ht="12.75" customHeight="1">
      <c r="B1016" s="39"/>
    </row>
    <row r="1017" ht="12.75" customHeight="1">
      <c r="B1017" s="39"/>
    </row>
    <row r="1018" ht="12.75" customHeight="1">
      <c r="B1018" s="39"/>
    </row>
    <row r="1019" ht="12.75" customHeight="1">
      <c r="B1019" s="39"/>
    </row>
    <row r="1020" ht="12.75" customHeight="1">
      <c r="B1020" s="39"/>
    </row>
    <row r="1021" ht="12.75" customHeight="1">
      <c r="B1021" s="39"/>
    </row>
    <row r="1022" ht="12.75" customHeight="1">
      <c r="B1022" s="39"/>
    </row>
    <row r="1023" ht="12.75" customHeight="1">
      <c r="B1023" s="39"/>
    </row>
    <row r="1024" ht="12.75" customHeight="1">
      <c r="B1024" s="39"/>
    </row>
    <row r="1025" ht="12.75" customHeight="1">
      <c r="B1025" s="39"/>
    </row>
    <row r="1026" ht="12.75" customHeight="1">
      <c r="B1026" s="39"/>
    </row>
    <row r="1027" ht="12.75" customHeight="1">
      <c r="B1027" s="39"/>
    </row>
    <row r="1028" ht="12.75" customHeight="1">
      <c r="B1028" s="39"/>
    </row>
    <row r="1029" ht="12.75" customHeight="1">
      <c r="B1029" s="39"/>
    </row>
    <row r="1030" ht="12.75" customHeight="1">
      <c r="B1030" s="39"/>
    </row>
    <row r="1031" ht="12.75" customHeight="1">
      <c r="B1031" s="39"/>
    </row>
    <row r="1032" ht="12.75" customHeight="1">
      <c r="B1032" s="39"/>
    </row>
    <row r="1033" ht="12.75" customHeight="1">
      <c r="B1033" s="39"/>
    </row>
    <row r="1034" ht="12.75" customHeight="1">
      <c r="B1034" s="39"/>
    </row>
    <row r="1035" ht="12.75" customHeight="1">
      <c r="B1035" s="39"/>
    </row>
    <row r="1036" ht="12.75" customHeight="1">
      <c r="B1036" s="39"/>
    </row>
    <row r="1037" ht="12.75" customHeight="1">
      <c r="B1037" s="39"/>
    </row>
    <row r="1038" ht="12.75" customHeight="1">
      <c r="B1038" s="39"/>
    </row>
    <row r="1039" ht="12.75" customHeight="1">
      <c r="B1039" s="39"/>
    </row>
    <row r="1040" ht="12.75" customHeight="1">
      <c r="B1040" s="39"/>
    </row>
    <row r="1041" ht="12.75" customHeight="1">
      <c r="B1041" s="39"/>
    </row>
    <row r="1042" ht="12.75" customHeight="1">
      <c r="B1042" s="39"/>
    </row>
    <row r="1043" ht="12.75" customHeight="1">
      <c r="B1043" s="39"/>
    </row>
    <row r="1044" ht="12.75" customHeight="1">
      <c r="B1044" s="39"/>
    </row>
    <row r="1045" ht="12.75" customHeight="1">
      <c r="B1045" s="39"/>
    </row>
    <row r="1046" ht="12.75" customHeight="1">
      <c r="B1046" s="39"/>
    </row>
    <row r="1047" ht="12.75" customHeight="1">
      <c r="B1047" s="39"/>
    </row>
    <row r="1048" ht="12.75" customHeight="1">
      <c r="B1048" s="39"/>
    </row>
    <row r="1049" ht="12.75" customHeight="1">
      <c r="B1049" s="39"/>
    </row>
    <row r="1050" ht="12.75" customHeight="1">
      <c r="B1050" s="39"/>
    </row>
    <row r="1051" ht="12.75" customHeight="1">
      <c r="B1051" s="39"/>
    </row>
    <row r="1052" ht="12.75" customHeight="1">
      <c r="B1052" s="39"/>
    </row>
    <row r="1053" ht="12.75" customHeight="1">
      <c r="B1053" s="39"/>
    </row>
    <row r="1054" ht="12.75" customHeight="1">
      <c r="B1054" s="39"/>
    </row>
    <row r="1055" ht="12.75" customHeight="1">
      <c r="B1055" s="39"/>
    </row>
    <row r="1056" ht="12.75" customHeight="1">
      <c r="B1056" s="39"/>
    </row>
    <row r="1057" ht="12.75" customHeight="1">
      <c r="B1057" s="39"/>
    </row>
    <row r="1058" ht="12.75" customHeight="1">
      <c r="B1058" s="39"/>
    </row>
    <row r="1059" ht="12.75" customHeight="1">
      <c r="B1059" s="39"/>
    </row>
    <row r="1060" ht="12.75" customHeight="1">
      <c r="B1060" s="39"/>
    </row>
    <row r="1061" ht="12.75" customHeight="1">
      <c r="B1061" s="39"/>
    </row>
    <row r="1062" ht="12.75" customHeight="1">
      <c r="B1062" s="39"/>
    </row>
    <row r="1063" ht="12.75" customHeight="1">
      <c r="B1063" s="39"/>
    </row>
    <row r="1064" ht="12.75" customHeight="1">
      <c r="B1064" s="39"/>
    </row>
    <row r="1065" ht="12.75" customHeight="1">
      <c r="B1065" s="39"/>
    </row>
    <row r="1066" ht="12.75" customHeight="1">
      <c r="B1066" s="39"/>
    </row>
    <row r="1067" ht="12.75" customHeight="1">
      <c r="B1067" s="39"/>
    </row>
    <row r="1068" ht="12.75" customHeight="1">
      <c r="B1068" s="39"/>
    </row>
    <row r="1069" ht="12.75" customHeight="1">
      <c r="B1069" s="39"/>
    </row>
    <row r="1070" ht="12.75" customHeight="1">
      <c r="B1070" s="39"/>
    </row>
    <row r="1071" ht="12.75" customHeight="1">
      <c r="B1071" s="39"/>
    </row>
    <row r="1072" ht="12.75" customHeight="1">
      <c r="B1072" s="39"/>
    </row>
    <row r="1073" ht="12.75" customHeight="1">
      <c r="B1073" s="39"/>
    </row>
    <row r="1074" ht="12.75" customHeight="1">
      <c r="B1074" s="39"/>
    </row>
    <row r="1075" ht="12.75" customHeight="1">
      <c r="B1075" s="39"/>
    </row>
    <row r="1076" ht="12.75" customHeight="1">
      <c r="B1076" s="39"/>
    </row>
    <row r="1077" ht="12.75" customHeight="1">
      <c r="B1077" s="39"/>
    </row>
    <row r="1078" ht="12.75" customHeight="1">
      <c r="B1078" s="39"/>
    </row>
    <row r="1079" ht="12.75" customHeight="1">
      <c r="B1079" s="39"/>
    </row>
    <row r="1080" ht="12.75" customHeight="1">
      <c r="B1080" s="39"/>
    </row>
    <row r="1081" ht="12.75" customHeight="1">
      <c r="B1081" s="39"/>
    </row>
    <row r="1082" ht="12.75" customHeight="1">
      <c r="B1082" s="39"/>
    </row>
    <row r="1083" ht="12.75" customHeight="1">
      <c r="B1083" s="39"/>
    </row>
    <row r="1084" ht="12.75" customHeight="1">
      <c r="B1084" s="39"/>
    </row>
    <row r="1085" ht="12.75" customHeight="1">
      <c r="B1085" s="39"/>
    </row>
    <row r="1086" ht="12.75" customHeight="1">
      <c r="B1086" s="39"/>
    </row>
    <row r="1087" ht="12.75" customHeight="1">
      <c r="B1087" s="39"/>
    </row>
    <row r="1088" ht="12.75" customHeight="1">
      <c r="B1088" s="39"/>
    </row>
    <row r="1089" ht="12.75" customHeight="1">
      <c r="B1089" s="39"/>
    </row>
    <row r="1090" ht="12.75" customHeight="1">
      <c r="B1090" s="39"/>
    </row>
    <row r="1091" ht="12.75" customHeight="1">
      <c r="B1091" s="39"/>
    </row>
    <row r="1092" ht="12.75" customHeight="1">
      <c r="B1092" s="39"/>
    </row>
    <row r="1093" ht="12.75" customHeight="1">
      <c r="B1093" s="39"/>
    </row>
    <row r="1094" ht="12.75" customHeight="1">
      <c r="B1094" s="39"/>
    </row>
    <row r="1095" ht="12.75" customHeight="1">
      <c r="B1095" s="39"/>
    </row>
    <row r="1096" ht="12.75" customHeight="1">
      <c r="B1096" s="39"/>
    </row>
    <row r="1097" ht="12.75" customHeight="1">
      <c r="B1097" s="39"/>
    </row>
    <row r="1098" ht="12.75" customHeight="1">
      <c r="B1098" s="39"/>
    </row>
    <row r="1099" ht="12.75" customHeight="1">
      <c r="B1099" s="39"/>
    </row>
    <row r="1100" ht="12.75" customHeight="1">
      <c r="B1100" s="39"/>
    </row>
    <row r="1101" ht="12.75" customHeight="1">
      <c r="B1101" s="39"/>
    </row>
    <row r="1102" ht="12.75" customHeight="1">
      <c r="B1102" s="39"/>
    </row>
    <row r="1103" ht="12.75" customHeight="1">
      <c r="B1103" s="39"/>
    </row>
    <row r="1104" ht="12.75" customHeight="1">
      <c r="B1104" s="39"/>
    </row>
    <row r="1105" ht="12.75" customHeight="1">
      <c r="B1105" s="39"/>
    </row>
    <row r="1106" ht="12.75" customHeight="1">
      <c r="B1106" s="39"/>
    </row>
    <row r="1107" ht="12.75" customHeight="1">
      <c r="B1107" s="39"/>
    </row>
    <row r="1108" ht="12.75" customHeight="1">
      <c r="B1108" s="39"/>
    </row>
    <row r="1109" ht="12.75" customHeight="1">
      <c r="B1109" s="39"/>
    </row>
    <row r="1110" ht="12.75" customHeight="1">
      <c r="B1110" s="39"/>
    </row>
    <row r="1111" ht="12.75" customHeight="1">
      <c r="B1111" s="39"/>
    </row>
    <row r="1112" ht="12.75" customHeight="1">
      <c r="B1112" s="39"/>
    </row>
    <row r="1113" ht="12.75" customHeight="1">
      <c r="B1113" s="39"/>
    </row>
    <row r="1114" ht="12.75" customHeight="1">
      <c r="B1114" s="39"/>
    </row>
    <row r="1115" ht="12.75" customHeight="1">
      <c r="B1115" s="39"/>
    </row>
    <row r="1116" ht="12.75" customHeight="1">
      <c r="B1116" s="39"/>
    </row>
    <row r="1117" ht="12.75" customHeight="1">
      <c r="B1117" s="39"/>
    </row>
    <row r="1118" ht="12.75" customHeight="1">
      <c r="B1118" s="39"/>
    </row>
    <row r="1119" ht="12.75" customHeight="1">
      <c r="B1119" s="39"/>
    </row>
    <row r="1120" ht="12.75" customHeight="1">
      <c r="B1120" s="39"/>
    </row>
    <row r="1121" ht="12.75" customHeight="1">
      <c r="B1121" s="39"/>
    </row>
    <row r="1122" ht="12.75" customHeight="1">
      <c r="B1122" s="39"/>
    </row>
    <row r="1123" ht="12.75" customHeight="1">
      <c r="B1123" s="39"/>
    </row>
    <row r="1124" ht="12.75" customHeight="1">
      <c r="B1124" s="39"/>
    </row>
    <row r="1125" ht="12.75" customHeight="1">
      <c r="B1125" s="39"/>
    </row>
    <row r="1126" ht="12.75" customHeight="1">
      <c r="B1126" s="39"/>
    </row>
    <row r="1127" ht="12.75" customHeight="1">
      <c r="B1127" s="39"/>
    </row>
    <row r="1128" ht="12.75" customHeight="1">
      <c r="B1128" s="39"/>
    </row>
    <row r="1129" ht="12.75" customHeight="1">
      <c r="B1129" s="39"/>
    </row>
    <row r="1130" ht="12.75" customHeight="1">
      <c r="B1130" s="39"/>
    </row>
    <row r="1131" ht="12.75" customHeight="1">
      <c r="B1131" s="39"/>
    </row>
    <row r="1132" ht="12.75" customHeight="1">
      <c r="B1132" s="39"/>
    </row>
    <row r="1133" ht="12.75" customHeight="1">
      <c r="B1133" s="39"/>
    </row>
    <row r="1134" ht="12.75" customHeight="1">
      <c r="B1134" s="39"/>
    </row>
    <row r="1135" ht="12.75" customHeight="1">
      <c r="B1135" s="39"/>
    </row>
    <row r="1136" ht="12.75" customHeight="1">
      <c r="B1136" s="39"/>
    </row>
    <row r="1137" ht="12.75" customHeight="1">
      <c r="B1137" s="39"/>
    </row>
    <row r="1138" ht="12.75" customHeight="1">
      <c r="B1138" s="39"/>
    </row>
    <row r="1139" ht="12.75" customHeight="1">
      <c r="B1139" s="39"/>
    </row>
    <row r="1140" ht="12.75" customHeight="1">
      <c r="B1140" s="39"/>
    </row>
    <row r="1141" ht="12.75" customHeight="1">
      <c r="B1141" s="39"/>
    </row>
    <row r="1142" ht="12.75" customHeight="1">
      <c r="B1142" s="39"/>
    </row>
    <row r="1143" ht="12.75" customHeight="1">
      <c r="B1143" s="39"/>
    </row>
    <row r="1144" ht="12.75" customHeight="1">
      <c r="B1144" s="39"/>
    </row>
    <row r="1145" ht="12.75" customHeight="1">
      <c r="B1145" s="39"/>
    </row>
    <row r="1146" ht="12.75" customHeight="1">
      <c r="B1146" s="39"/>
    </row>
    <row r="1147" ht="12.75" customHeight="1">
      <c r="B1147" s="39"/>
    </row>
    <row r="1148" ht="12.75" customHeight="1">
      <c r="B1148" s="39"/>
    </row>
    <row r="1149" ht="12.75" customHeight="1">
      <c r="B1149" s="39"/>
    </row>
    <row r="1150" ht="12.75" customHeight="1">
      <c r="B1150" s="39"/>
    </row>
    <row r="1151" ht="12.75" customHeight="1">
      <c r="B1151" s="39"/>
    </row>
    <row r="1152" ht="12.75" customHeight="1">
      <c r="B1152" s="39"/>
    </row>
    <row r="1153" ht="12.75" customHeight="1">
      <c r="B1153" s="39"/>
    </row>
    <row r="1154" ht="12.75" customHeight="1">
      <c r="B1154" s="39"/>
    </row>
    <row r="1155" ht="12.75" customHeight="1">
      <c r="B1155" s="39"/>
    </row>
    <row r="1156" ht="12.75" customHeight="1">
      <c r="B1156" s="39"/>
    </row>
    <row r="1157" ht="12.75" customHeight="1">
      <c r="B1157" s="39"/>
    </row>
    <row r="1158" ht="12.75" customHeight="1">
      <c r="B1158" s="39"/>
    </row>
    <row r="1159" ht="12.75" customHeight="1">
      <c r="B1159" s="39"/>
    </row>
    <row r="1160" ht="12.75" customHeight="1">
      <c r="B1160" s="39"/>
    </row>
    <row r="1161" ht="12.75" customHeight="1">
      <c r="B1161" s="39"/>
    </row>
    <row r="1162" ht="12.75" customHeight="1">
      <c r="B1162" s="39"/>
    </row>
    <row r="1163" ht="12.75" customHeight="1">
      <c r="B1163" s="39"/>
    </row>
    <row r="1164" ht="12.75" customHeight="1">
      <c r="B1164" s="39"/>
    </row>
    <row r="1165" ht="12.75" customHeight="1">
      <c r="B1165" s="39"/>
    </row>
    <row r="1166" ht="12.75" customHeight="1">
      <c r="B1166" s="39"/>
    </row>
    <row r="1167" ht="12.75" customHeight="1">
      <c r="B1167" s="39"/>
    </row>
    <row r="1168" ht="12.75" customHeight="1">
      <c r="B1168" s="39"/>
    </row>
    <row r="1169" ht="12.75" customHeight="1">
      <c r="B1169" s="39"/>
    </row>
    <row r="1170" ht="12.75" customHeight="1">
      <c r="B1170" s="39"/>
    </row>
    <row r="1171" ht="12.75" customHeight="1">
      <c r="B1171" s="39"/>
    </row>
    <row r="1172" ht="12.75" customHeight="1">
      <c r="B1172" s="39"/>
    </row>
    <row r="1173" ht="12.75" customHeight="1">
      <c r="B1173" s="39"/>
    </row>
    <row r="1174" ht="12.75" customHeight="1">
      <c r="B1174" s="39"/>
    </row>
    <row r="1175" ht="12.75" customHeight="1">
      <c r="B1175" s="39"/>
    </row>
    <row r="1176" ht="12.75" customHeight="1">
      <c r="B1176" s="39"/>
    </row>
    <row r="1177" ht="12.75" customHeight="1">
      <c r="B1177" s="39"/>
    </row>
    <row r="1178" ht="12.75" customHeight="1">
      <c r="B1178" s="39"/>
    </row>
    <row r="1179" ht="12.75" customHeight="1">
      <c r="B1179" s="39"/>
    </row>
    <row r="1180" ht="12.75" customHeight="1">
      <c r="B1180" s="39"/>
    </row>
    <row r="1181" ht="12.75" customHeight="1">
      <c r="B1181" s="39"/>
    </row>
    <row r="1182" ht="12.75" customHeight="1">
      <c r="B1182" s="39"/>
    </row>
    <row r="1183" ht="12.75" customHeight="1">
      <c r="B1183" s="39"/>
    </row>
    <row r="1184" ht="12.75" customHeight="1">
      <c r="B1184" s="39"/>
    </row>
    <row r="1185" ht="12.75" customHeight="1">
      <c r="B1185" s="39"/>
    </row>
  </sheetData>
  <autoFilter ref="$A$1:$P$1001"/>
  <conditionalFormatting sqref="O1:O1185">
    <cfRule type="colorScale" priority="1">
      <colorScale>
        <cfvo type="formula" val="0"/>
        <cfvo type="formula" val="0"/>
        <cfvo type="formula" val="0"/>
        <color rgb="FFFF0000"/>
        <color rgb="FFFFFF00"/>
        <color rgb="FF00A933"/>
      </colorScale>
    </cfRule>
  </conditionalFormatting>
  <conditionalFormatting sqref="M1:M1185">
    <cfRule type="colorScale" priority="2">
      <colorScale>
        <cfvo type="formula" val="0"/>
        <cfvo type="formula" val="100"/>
        <cfvo type="formula" val="300"/>
        <color rgb="FF8E86AE"/>
        <color rgb="FFDEE6EF"/>
        <color rgb="FFFFD7D7"/>
      </colorScale>
    </cfRule>
  </conditionalFormatting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7" width="11.5"/>
    <col customWidth="1" min="8" max="8" width="14.5"/>
    <col customWidth="1" min="9" max="9" width="16.13"/>
    <col customWidth="1" min="10" max="10" width="11.5"/>
    <col customWidth="1" min="11" max="11" width="16.25"/>
    <col customWidth="1" min="12" max="12" width="19.5"/>
    <col customWidth="1" min="13" max="13" width="11.5"/>
    <col customWidth="1" min="14" max="14" width="20.88"/>
    <col customWidth="1" min="15" max="15" width="18.63"/>
    <col customWidth="1" min="16" max="26" width="11.5"/>
  </cols>
  <sheetData>
    <row r="1" ht="13.5" customHeight="1">
      <c r="A1" s="40" t="s">
        <v>84</v>
      </c>
      <c r="B1" s="41"/>
      <c r="C1" s="10"/>
      <c r="D1" s="40" t="s">
        <v>85</v>
      </c>
      <c r="E1" s="41"/>
      <c r="F1" s="10"/>
      <c r="G1" s="40" t="s">
        <v>86</v>
      </c>
      <c r="H1" s="42"/>
      <c r="I1" s="41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3.5" customHeight="1">
      <c r="C2" s="10"/>
      <c r="F2" s="10"/>
      <c r="J2" s="10"/>
      <c r="K2" s="40" t="s">
        <v>90</v>
      </c>
      <c r="L2" s="41"/>
      <c r="M2" s="10"/>
      <c r="N2" s="47" t="s">
        <v>91</v>
      </c>
      <c r="O2" s="41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3.5" customHeight="1">
      <c r="C3" s="10"/>
      <c r="F3" s="10"/>
      <c r="J3" s="10"/>
      <c r="M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3.5" customHeight="1">
      <c r="C4" s="10"/>
      <c r="F4" s="10"/>
      <c r="J4" s="10"/>
      <c r="M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3.5" customHeight="1">
      <c r="C5" s="10"/>
      <c r="F5" s="10"/>
      <c r="J5" s="10"/>
      <c r="M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3.5" customHeight="1">
      <c r="C6" s="10"/>
      <c r="F6" s="10"/>
      <c r="J6" s="10"/>
      <c r="M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3.5" customHeight="1">
      <c r="C7" s="10"/>
      <c r="F7" s="10"/>
      <c r="J7" s="10"/>
      <c r="M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3.5" customHeight="1">
      <c r="C8" s="10"/>
      <c r="F8" s="10"/>
      <c r="J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3.5" customHeight="1">
      <c r="C9" s="10"/>
      <c r="F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3.5" customHeight="1">
      <c r="C10" s="10"/>
      <c r="F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3.5" customHeight="1">
      <c r="C11" s="10"/>
      <c r="D11" s="10"/>
      <c r="E11" s="10"/>
      <c r="F11" s="10"/>
      <c r="J11" s="10"/>
      <c r="K11" s="40" t="s">
        <v>101</v>
      </c>
      <c r="L11" s="41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3.5" customHeight="1">
      <c r="C12" s="10"/>
      <c r="D12" s="10"/>
      <c r="E12" s="10"/>
      <c r="F12" s="10"/>
      <c r="J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3.5" customHeight="1">
      <c r="C13" s="10"/>
      <c r="D13" s="40" t="s">
        <v>102</v>
      </c>
      <c r="E13" s="41"/>
      <c r="F13" s="10"/>
      <c r="J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3.5" customHeight="1">
      <c r="C14" s="10"/>
      <c r="F14" s="10"/>
      <c r="J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3.5" customHeight="1">
      <c r="C15" s="10"/>
      <c r="F15" s="10"/>
      <c r="J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3.5" customHeight="1">
      <c r="C16" s="10"/>
      <c r="F16" s="10"/>
      <c r="J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3.5" customHeight="1">
      <c r="C17" s="10"/>
      <c r="D17" s="10"/>
      <c r="E17" s="10"/>
      <c r="F17" s="10"/>
      <c r="J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3.5" customHeight="1">
      <c r="C18" s="10"/>
      <c r="D18" s="10"/>
      <c r="E18" s="10"/>
      <c r="F18" s="10"/>
      <c r="J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3.5" customHeight="1">
      <c r="C19" s="10"/>
      <c r="D19" s="10"/>
      <c r="E19" s="10"/>
      <c r="F19" s="10"/>
      <c r="J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26.25" customHeight="1">
      <c r="C20" s="10"/>
      <c r="D20" s="40" t="s">
        <v>103</v>
      </c>
      <c r="E20" s="41"/>
      <c r="F20" s="10"/>
      <c r="J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3.5" customHeight="1">
      <c r="C21" s="10"/>
      <c r="F21" s="10"/>
      <c r="J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3.5" customHeight="1">
      <c r="C22" s="10"/>
      <c r="F22" s="10"/>
      <c r="J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3.5" customHeight="1">
      <c r="C23" s="10"/>
      <c r="F23" s="10"/>
      <c r="J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3.5" customHeight="1">
      <c r="C24" s="10"/>
      <c r="F24" s="10"/>
      <c r="J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3.5" customHeight="1">
      <c r="C25" s="10"/>
      <c r="D25" s="10"/>
      <c r="E25" s="10"/>
      <c r="F25" s="10"/>
      <c r="J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3.5" customHeight="1">
      <c r="C26" s="10"/>
      <c r="D26" s="10"/>
      <c r="E26" s="10"/>
      <c r="F26" s="10"/>
      <c r="J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3.5" customHeight="1">
      <c r="C27" s="10"/>
      <c r="D27" s="10"/>
      <c r="E27" s="10"/>
      <c r="F27" s="10"/>
      <c r="J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3.5" customHeight="1">
      <c r="A28" s="10"/>
      <c r="B28" s="10"/>
      <c r="C28" s="10"/>
      <c r="D28" s="10"/>
      <c r="E28" s="10"/>
      <c r="F28" s="10"/>
      <c r="G28" s="52"/>
      <c r="H28" s="58"/>
      <c r="I28" s="53"/>
      <c r="J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3.5" customHeight="1">
      <c r="A29" s="40" t="s">
        <v>104</v>
      </c>
      <c r="B29" s="41"/>
      <c r="C29" s="10"/>
      <c r="D29" s="10"/>
      <c r="E29" s="10"/>
      <c r="F29" s="10"/>
      <c r="G29" s="10"/>
      <c r="H29" s="10"/>
      <c r="I29" s="10"/>
      <c r="J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3.5" customHeight="1">
      <c r="C30" s="10"/>
      <c r="D30" s="10"/>
      <c r="E30" s="10"/>
      <c r="F30" s="10"/>
      <c r="G30" s="10"/>
      <c r="H30" s="10"/>
      <c r="I30" s="10"/>
      <c r="J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3.5" customHeight="1">
      <c r="C31" s="10"/>
      <c r="D31" s="10"/>
      <c r="E31" s="10"/>
      <c r="F31" s="10"/>
      <c r="G31" s="10"/>
      <c r="H31" s="10"/>
      <c r="I31" s="10"/>
      <c r="J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3.5" customHeight="1">
      <c r="C32" s="10"/>
      <c r="D32" s="10"/>
      <c r="E32" s="10"/>
      <c r="F32" s="10"/>
      <c r="G32" s="10"/>
      <c r="H32" s="10"/>
      <c r="I32" s="10"/>
      <c r="J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3.5" customHeight="1">
      <c r="C33" s="10"/>
      <c r="D33" s="10"/>
      <c r="E33" s="10"/>
      <c r="F33" s="10"/>
      <c r="G33" s="10"/>
      <c r="H33" s="10"/>
      <c r="I33" s="10"/>
      <c r="J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3.5" customHeight="1">
      <c r="C34" s="10"/>
      <c r="D34" s="10"/>
      <c r="E34" s="10"/>
      <c r="F34" s="10"/>
      <c r="G34" s="10"/>
      <c r="H34" s="10"/>
      <c r="I34" s="10"/>
      <c r="J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3.5" customHeight="1">
      <c r="C35" s="10"/>
      <c r="D35" s="10"/>
      <c r="E35" s="10"/>
      <c r="F35" s="10"/>
      <c r="G35" s="10"/>
      <c r="H35" s="10"/>
      <c r="I35" s="10"/>
      <c r="J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3.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3.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3.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3.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3.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3.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3.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3.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3.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3.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3.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3.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3.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3.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3.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3.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3.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26.25" customHeight="1">
      <c r="A53" s="10"/>
      <c r="B53" s="10"/>
      <c r="C53" s="10"/>
      <c r="D53" s="10"/>
      <c r="E53" s="10"/>
      <c r="F53" s="10"/>
      <c r="G53" s="10"/>
      <c r="H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3.5" customHeight="1">
      <c r="A54" s="10"/>
      <c r="B54" s="10"/>
      <c r="C54" s="10"/>
      <c r="D54" s="10"/>
      <c r="E54" s="10"/>
      <c r="F54" s="10"/>
      <c r="G54" s="10"/>
      <c r="H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3.5" customHeight="1">
      <c r="A55" s="10"/>
      <c r="B55" s="10"/>
      <c r="C55" s="10"/>
      <c r="D55" s="10"/>
      <c r="E55" s="10"/>
      <c r="F55" s="10"/>
      <c r="G55" s="10"/>
      <c r="H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3.5" customHeight="1">
      <c r="A56" s="10"/>
      <c r="B56" s="10"/>
      <c r="C56" s="10"/>
      <c r="D56" s="10"/>
      <c r="E56" s="10"/>
      <c r="F56" s="10"/>
      <c r="G56" s="10"/>
      <c r="H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3.5" customHeight="1">
      <c r="A57" s="10"/>
      <c r="B57" s="10"/>
      <c r="C57" s="10"/>
      <c r="D57" s="10"/>
      <c r="E57" s="10"/>
      <c r="F57" s="10"/>
      <c r="G57" s="10"/>
      <c r="H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3.5" customHeight="1">
      <c r="A58" s="10"/>
      <c r="B58" s="10"/>
      <c r="C58" s="10"/>
      <c r="D58" s="10"/>
      <c r="E58" s="10"/>
      <c r="F58" s="10"/>
      <c r="G58" s="10"/>
      <c r="H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3.5" customHeight="1">
      <c r="A59" s="10"/>
      <c r="B59" s="10"/>
      <c r="C59" s="10"/>
      <c r="D59" s="10"/>
      <c r="E59" s="10"/>
      <c r="F59" s="10"/>
      <c r="G59" s="10"/>
      <c r="H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3.5" customHeight="1">
      <c r="A60" s="10"/>
      <c r="B60" s="10"/>
      <c r="C60" s="10"/>
      <c r="D60" s="10"/>
      <c r="E60" s="10"/>
      <c r="F60" s="10"/>
      <c r="G60" s="10"/>
      <c r="H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3.5" customHeight="1">
      <c r="A61" s="10"/>
      <c r="B61" s="10"/>
      <c r="C61" s="10"/>
      <c r="D61" s="10"/>
      <c r="E61" s="10"/>
      <c r="F61" s="10"/>
      <c r="G61" s="10"/>
      <c r="H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3.5" customHeight="1">
      <c r="A62" s="10"/>
      <c r="B62" s="10"/>
      <c r="C62" s="10"/>
      <c r="D62" s="10"/>
      <c r="E62" s="10"/>
      <c r="F62" s="10"/>
      <c r="G62" s="10"/>
      <c r="H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3.5" customHeight="1">
      <c r="A63" s="10"/>
      <c r="B63" s="10"/>
      <c r="C63" s="10"/>
      <c r="D63" s="10"/>
      <c r="E63" s="10"/>
      <c r="F63" s="10"/>
      <c r="G63" s="10"/>
      <c r="H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3.5" customHeight="1">
      <c r="A64" s="10"/>
      <c r="B64" s="10"/>
      <c r="C64" s="10"/>
      <c r="D64" s="10"/>
      <c r="E64" s="10"/>
      <c r="F64" s="10"/>
      <c r="G64" s="10"/>
      <c r="H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3.5" customHeight="1">
      <c r="A65" s="10"/>
      <c r="B65" s="10"/>
      <c r="C65" s="10"/>
      <c r="D65" s="10"/>
      <c r="E65" s="10"/>
      <c r="F65" s="10"/>
      <c r="G65" s="10"/>
      <c r="H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3.5" customHeight="1">
      <c r="A66" s="10"/>
      <c r="B66" s="10"/>
      <c r="C66" s="10"/>
      <c r="D66" s="10"/>
      <c r="E66" s="10"/>
      <c r="F66" s="10"/>
      <c r="G66" s="10"/>
      <c r="H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3.5" customHeight="1">
      <c r="A67" s="10"/>
      <c r="B67" s="10"/>
      <c r="C67" s="10"/>
      <c r="D67" s="10"/>
      <c r="E67" s="10"/>
      <c r="F67" s="10"/>
      <c r="G67" s="10"/>
      <c r="H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3.5" customHeight="1">
      <c r="A68" s="10"/>
      <c r="B68" s="10"/>
      <c r="C68" s="10"/>
      <c r="D68" s="10"/>
      <c r="E68" s="10"/>
      <c r="F68" s="10"/>
      <c r="G68" s="10"/>
      <c r="H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3.5" customHeight="1">
      <c r="A69" s="10"/>
      <c r="B69" s="10"/>
      <c r="C69" s="10"/>
      <c r="D69" s="10"/>
      <c r="E69" s="10"/>
      <c r="F69" s="10"/>
      <c r="G69" s="10"/>
      <c r="H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3.5" customHeight="1">
      <c r="A70" s="10"/>
      <c r="B70" s="10"/>
      <c r="C70" s="10"/>
      <c r="D70" s="10"/>
      <c r="E70" s="10"/>
      <c r="F70" s="10"/>
      <c r="G70" s="10"/>
      <c r="H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3.5" customHeight="1">
      <c r="A71" s="10"/>
      <c r="B71" s="10"/>
      <c r="C71" s="10"/>
      <c r="D71" s="10"/>
      <c r="E71" s="10"/>
      <c r="F71" s="10"/>
      <c r="G71" s="10"/>
      <c r="H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3.5" customHeight="1">
      <c r="A72" s="10"/>
      <c r="B72" s="10"/>
      <c r="C72" s="10"/>
      <c r="D72" s="10"/>
      <c r="E72" s="10"/>
      <c r="F72" s="10"/>
      <c r="G72" s="10"/>
      <c r="H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3.5" customHeight="1">
      <c r="A73" s="10"/>
      <c r="B73" s="10"/>
      <c r="C73" s="10"/>
      <c r="D73" s="10"/>
      <c r="E73" s="10"/>
      <c r="F73" s="10"/>
      <c r="G73" s="10"/>
      <c r="H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3.5" customHeight="1">
      <c r="A74" s="10"/>
      <c r="B74" s="10"/>
      <c r="C74" s="10"/>
      <c r="D74" s="10"/>
      <c r="E74" s="10"/>
      <c r="F74" s="10"/>
      <c r="G74" s="10"/>
      <c r="H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3.5" customHeight="1">
      <c r="A75" s="10"/>
      <c r="B75" s="10"/>
      <c r="C75" s="10"/>
      <c r="D75" s="10"/>
      <c r="E75" s="10"/>
      <c r="F75" s="10"/>
      <c r="G75" s="10"/>
      <c r="H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3.5" customHeight="1">
      <c r="A76" s="10"/>
      <c r="B76" s="10"/>
      <c r="C76" s="10"/>
      <c r="D76" s="10"/>
      <c r="E76" s="10"/>
      <c r="F76" s="10"/>
      <c r="G76" s="10"/>
      <c r="H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3.5" customHeight="1">
      <c r="A77" s="10"/>
      <c r="B77" s="10"/>
      <c r="C77" s="10"/>
      <c r="D77" s="10"/>
      <c r="E77" s="10"/>
      <c r="F77" s="10"/>
      <c r="G77" s="10"/>
      <c r="H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3.5" customHeight="1">
      <c r="A78" s="10"/>
      <c r="B78" s="10"/>
      <c r="C78" s="10"/>
      <c r="D78" s="10"/>
      <c r="E78" s="10"/>
      <c r="F78" s="10"/>
      <c r="G78" s="10"/>
      <c r="H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3.5" customHeight="1">
      <c r="A79" s="10"/>
      <c r="B79" s="10"/>
      <c r="C79" s="10"/>
      <c r="D79" s="10"/>
      <c r="E79" s="10"/>
      <c r="F79" s="10"/>
      <c r="G79" s="10"/>
      <c r="H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3.5" customHeight="1">
      <c r="A80" s="10"/>
      <c r="B80" s="10"/>
      <c r="C80" s="10"/>
      <c r="D80" s="10"/>
      <c r="E80" s="10"/>
      <c r="F80" s="10"/>
      <c r="G80" s="10"/>
      <c r="H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3.5" customHeight="1">
      <c r="A81" s="10"/>
      <c r="B81" s="10"/>
      <c r="C81" s="10"/>
      <c r="D81" s="10"/>
      <c r="E81" s="10"/>
      <c r="F81" s="10"/>
      <c r="G81" s="10"/>
      <c r="H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3.5" customHeight="1">
      <c r="A82" s="10"/>
      <c r="B82" s="10"/>
      <c r="C82" s="10"/>
      <c r="D82" s="10"/>
      <c r="E82" s="10"/>
      <c r="F82" s="10"/>
      <c r="G82" s="10"/>
      <c r="H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3.5" customHeight="1">
      <c r="A83" s="10"/>
      <c r="B83" s="10"/>
      <c r="C83" s="10"/>
      <c r="D83" s="10"/>
      <c r="E83" s="10"/>
      <c r="F83" s="10"/>
      <c r="G83" s="10"/>
      <c r="H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3.5" customHeight="1">
      <c r="A84" s="10"/>
      <c r="B84" s="10"/>
      <c r="C84" s="10"/>
      <c r="D84" s="10"/>
      <c r="E84" s="10"/>
      <c r="F84" s="10"/>
      <c r="G84" s="10"/>
      <c r="H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3.5" customHeight="1">
      <c r="A85" s="10"/>
      <c r="B85" s="10"/>
      <c r="C85" s="10"/>
      <c r="D85" s="10"/>
      <c r="E85" s="10"/>
      <c r="F85" s="10"/>
      <c r="G85" s="10"/>
      <c r="H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3.5" customHeight="1">
      <c r="A86" s="10"/>
      <c r="B86" s="10"/>
      <c r="C86" s="10"/>
      <c r="D86" s="10"/>
      <c r="E86" s="10"/>
      <c r="F86" s="10"/>
      <c r="G86" s="10"/>
      <c r="H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3.5" customHeight="1">
      <c r="A87" s="10"/>
      <c r="B87" s="10"/>
      <c r="C87" s="10"/>
      <c r="D87" s="10"/>
      <c r="E87" s="10"/>
      <c r="F87" s="10"/>
      <c r="G87" s="10"/>
      <c r="H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3.5" customHeight="1">
      <c r="A88" s="10"/>
      <c r="B88" s="10"/>
      <c r="C88" s="10"/>
      <c r="D88" s="10"/>
      <c r="E88" s="10"/>
      <c r="F88" s="10"/>
      <c r="G88" s="10"/>
      <c r="H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3.5" customHeight="1">
      <c r="A89" s="10"/>
      <c r="B89" s="10"/>
      <c r="C89" s="10"/>
      <c r="D89" s="10"/>
      <c r="E89" s="10"/>
      <c r="F89" s="10"/>
      <c r="G89" s="10"/>
      <c r="H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3.5" customHeight="1">
      <c r="A90" s="10"/>
      <c r="B90" s="10"/>
      <c r="C90" s="10"/>
      <c r="D90" s="10"/>
      <c r="E90" s="10"/>
      <c r="F90" s="10"/>
      <c r="G90" s="10"/>
      <c r="H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3.5" customHeight="1">
      <c r="A91" s="10"/>
      <c r="B91" s="10"/>
      <c r="C91" s="10"/>
      <c r="D91" s="10"/>
      <c r="E91" s="10"/>
      <c r="F91" s="10"/>
      <c r="G91" s="10"/>
      <c r="H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3.5" customHeight="1">
      <c r="A92" s="10"/>
      <c r="B92" s="10"/>
      <c r="C92" s="10"/>
      <c r="D92" s="10"/>
      <c r="E92" s="10"/>
      <c r="F92" s="10"/>
      <c r="G92" s="10"/>
      <c r="H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3.5" customHeight="1">
      <c r="A93" s="10"/>
      <c r="B93" s="10"/>
      <c r="C93" s="10"/>
      <c r="D93" s="10"/>
      <c r="E93" s="10"/>
      <c r="F93" s="10"/>
      <c r="G93" s="10"/>
      <c r="H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3.5" customHeight="1">
      <c r="A94" s="10"/>
      <c r="B94" s="10"/>
      <c r="C94" s="10"/>
      <c r="D94" s="10"/>
      <c r="E94" s="10"/>
      <c r="F94" s="10"/>
      <c r="G94" s="10"/>
      <c r="H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3.5" customHeight="1">
      <c r="A95" s="10"/>
      <c r="B95" s="10"/>
      <c r="C95" s="10"/>
      <c r="D95" s="10"/>
      <c r="E95" s="10"/>
      <c r="F95" s="10"/>
      <c r="G95" s="10"/>
      <c r="H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3.5" customHeight="1">
      <c r="A96" s="10"/>
      <c r="B96" s="10"/>
      <c r="C96" s="10"/>
      <c r="D96" s="10"/>
      <c r="E96" s="10"/>
      <c r="F96" s="10"/>
      <c r="G96" s="10"/>
      <c r="H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3.5" customHeight="1">
      <c r="A97" s="10"/>
      <c r="B97" s="10"/>
      <c r="C97" s="10"/>
      <c r="D97" s="10"/>
      <c r="E97" s="10"/>
      <c r="F97" s="10"/>
      <c r="G97" s="10"/>
      <c r="H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3.5" customHeight="1">
      <c r="A98" s="10"/>
      <c r="B98" s="10"/>
      <c r="C98" s="10"/>
      <c r="D98" s="10"/>
      <c r="E98" s="10"/>
      <c r="F98" s="10"/>
      <c r="G98" s="10"/>
      <c r="H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3.5" customHeight="1">
      <c r="A99" s="10"/>
      <c r="B99" s="10"/>
      <c r="C99" s="10"/>
      <c r="D99" s="10"/>
      <c r="E99" s="10"/>
      <c r="F99" s="10"/>
      <c r="G99" s="10"/>
      <c r="H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3.5" customHeight="1">
      <c r="A100" s="10"/>
      <c r="B100" s="10"/>
      <c r="C100" s="10"/>
      <c r="D100" s="10"/>
      <c r="E100" s="10"/>
      <c r="F100" s="10"/>
      <c r="G100" s="10"/>
      <c r="H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3.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3.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3.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3.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3.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3.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3.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3.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3.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3.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3.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3.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3.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3.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3.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3.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3.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3.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3.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3.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3.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3.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3.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3.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3.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3.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3.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3.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3.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3.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3.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3.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3.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3.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3.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3.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3.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3.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3.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3.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3.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3.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3.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3.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3.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3.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3.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3.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3.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3.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3.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3.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3.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3.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3.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3.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3.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3.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3.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3.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3.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3.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3.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3.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3.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3.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3.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3.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3.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3.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3.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3.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3.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3.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3.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3.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3.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3.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3.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3.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3.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3.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3.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3.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3.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3.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3.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3.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3.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3.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3.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3.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3.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3.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3.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3.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3.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3.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3.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3.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3.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3.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3.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3.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3.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3.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3.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3.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3.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3.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3.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3.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3.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3.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3.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3.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3.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3.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3.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3.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3.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3.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3.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3.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3.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3.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3.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3.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3.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3.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3.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3.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3.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3.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3.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3.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3.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3.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3.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3.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3.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3.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3.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3.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3.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3.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3.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3.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3.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3.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3.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3.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3.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3.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3.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3.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3.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3.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3.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3.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3.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3.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3.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3.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3.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3.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3.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3.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3.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3.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3.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3.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3.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3.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3.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3.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3.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3.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3.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3.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3.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3.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3.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3.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3.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3.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3.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3.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3.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3.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3.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3.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3.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3.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3.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3.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3.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3.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3.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3.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3.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3.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3.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3.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3.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3.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3.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3.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3.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3.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3.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3.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3.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3.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3.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3.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3.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3.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3.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3.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3.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3.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3.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3.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3.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3.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3.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3.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3.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3.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3.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3.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3.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3.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3.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3.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3.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3.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3.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3.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3.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3.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3.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3.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3.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3.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3.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3.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3.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3.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3.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3.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3.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3.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3.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3.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3.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3.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3.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3.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3.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3.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3.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3.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3.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3.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3.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3.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3.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3.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3.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3.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3.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3.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3.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3.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3.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3.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3.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3.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3.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3.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3.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3.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3.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3.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3.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3.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3.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3.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3.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3.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3.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3.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3.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3.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3.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3.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3.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3.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3.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3.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3.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3.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3.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3.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3.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3.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3.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3.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3.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3.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3.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3.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3.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3.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3.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3.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3.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3.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3.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3.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3.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3.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3.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3.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3.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3.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3.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3.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3.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3.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3.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3.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3.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3.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3.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3.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3.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3.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3.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3.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3.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3.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3.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3.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3.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3.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3.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3.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3.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3.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3.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3.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3.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3.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3.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3.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3.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3.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3.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3.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3.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3.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3.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3.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3.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3.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3.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3.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3.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3.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3.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3.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3.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3.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3.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3.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3.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3.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3.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3.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3.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3.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3.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3.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3.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3.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3.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3.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3.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3.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3.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3.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3.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3.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3.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3.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3.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3.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3.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3.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3.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3.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3.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3.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3.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3.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3.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3.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3.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3.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3.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3.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3.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3.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3.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3.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3.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3.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3.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3.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3.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3.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3.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3.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3.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3.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3.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3.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3.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3.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3.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3.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3.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3.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3.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3.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3.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3.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3.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3.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3.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3.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3.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3.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3.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3.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3.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3.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3.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3.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3.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3.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3.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3.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3.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3.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3.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3.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3.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3.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3.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3.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3.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3.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3.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3.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3.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3.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3.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3.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3.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3.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3.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3.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3.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3.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3.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3.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3.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3.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3.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3.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3.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3.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3.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3.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3.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3.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3.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3.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3.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3.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3.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3.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3.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3.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3.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3.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3.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3.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3.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3.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3.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3.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3.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3.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3.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3.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3.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3.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3.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3.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3.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3.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3.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3.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3.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3.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3.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3.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3.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3.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3.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3.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3.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3.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3.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3.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3.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3.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3.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3.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3.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3.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3.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3.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3.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3.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3.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3.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3.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3.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3.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3.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3.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3.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3.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3.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3.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3.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3.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3.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3.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3.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3.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3.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3.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3.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3.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3.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3.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3.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3.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3.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3.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3.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3.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3.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3.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3.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3.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3.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3.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3.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3.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3.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3.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3.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3.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3.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3.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3.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3.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3.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3.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3.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3.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3.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3.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3.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3.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3.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3.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3.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3.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3.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3.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3.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3.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3.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3.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3.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3.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3.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3.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3.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3.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3.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3.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3.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3.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3.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3.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3.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3.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3.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3.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3.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3.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3.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3.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3.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3.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3.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3.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3.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3.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3.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3.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3.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3.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3.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3.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3.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3.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3.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3.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3.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3.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3.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3.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3.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3.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3.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3.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3.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3.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3.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3.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3.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3.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3.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3.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3.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3.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3.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3.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3.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3.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3.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3.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3.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3.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3.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3.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3.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3.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3.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3.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3.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3.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3.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3.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3.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3.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3.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3.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3.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3.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3.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3.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3.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3.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3.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3.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3.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3.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3.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3.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3.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3.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3.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3.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3.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3.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3.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3.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3.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3.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3.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3.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3.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3.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3.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3.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3.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3.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3.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3.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3.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3.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3.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3.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3.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3.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3.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3.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3.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3.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3.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3.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3.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3.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3.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3.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3.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3.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3.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3.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3.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3.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3.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3.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3.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3.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3.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3.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3.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3.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3.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3.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3.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3.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3.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3.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3.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3.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3.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3.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3.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3.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3.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3.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3.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3.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3.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3.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3.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3.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3.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3.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3.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3.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3.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3.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3.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3.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3.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3.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3.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3.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3.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3.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3.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3.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3.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3.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3.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3.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3.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3.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3.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3.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3.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3.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3.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3.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3.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3.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3.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3.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3.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3.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3.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3.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3.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3.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3.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3.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3.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3.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3.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3.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3.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3.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3.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3.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3.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3.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3.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3.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3.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3.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3.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3.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3.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3.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3.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3.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3.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3.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3.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3.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3.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3.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3.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3.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3.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3.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3.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3.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3.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3.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3.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3.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3.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3.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3.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3.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3.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3.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3.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3.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3.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3.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3.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3.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3.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3.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3.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3.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3.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3.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3.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3.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3.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3.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3.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3.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3.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3.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3.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3.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3.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3.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3.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3.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3.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3.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3.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3.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3.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3.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3.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3.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3.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3.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3.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3.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3.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3.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3.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3.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3.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3.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3.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3.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3.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3.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3.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3.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3.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3.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3.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3.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3.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3.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3.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9">
    <mergeCell ref="D20:E20"/>
    <mergeCell ref="A29:B29"/>
    <mergeCell ref="A1:B1"/>
    <mergeCell ref="D1:E1"/>
    <mergeCell ref="G1:I1"/>
    <mergeCell ref="K2:L2"/>
    <mergeCell ref="N2:O2"/>
    <mergeCell ref="K11:L11"/>
    <mergeCell ref="D13:E13"/>
  </mergeCells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10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9" width="11.5"/>
    <col customWidth="1" min="30" max="30" width="14.5"/>
    <col customWidth="1" min="31" max="31" width="16.13"/>
    <col customWidth="1" min="32" max="32" width="11.5"/>
    <col customWidth="1" min="33" max="33" width="16.25"/>
    <col customWidth="1" min="34" max="34" width="19.5"/>
    <col customWidth="1" min="35" max="35" width="11.5"/>
    <col customWidth="1" min="36" max="36" width="20.88"/>
    <col customWidth="1" min="37" max="37" width="18.63"/>
    <col customWidth="1" min="38" max="48" width="11.5"/>
  </cols>
  <sheetData>
    <row r="1" ht="12.75" customHeight="1">
      <c r="A1" s="61" t="s">
        <v>105</v>
      </c>
      <c r="T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</row>
    <row r="2" ht="12.75" customHeight="1"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</row>
    <row r="3" ht="12.75" customHeight="1"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</row>
    <row r="4" ht="12.75" customHeight="1">
      <c r="A4" s="62" t="s">
        <v>29</v>
      </c>
      <c r="B4" s="63"/>
      <c r="C4" s="63"/>
      <c r="D4" s="64"/>
      <c r="E4" s="62" t="s">
        <v>31</v>
      </c>
      <c r="F4" s="63"/>
      <c r="G4" s="63"/>
      <c r="H4" s="64"/>
      <c r="I4" s="62" t="s">
        <v>34</v>
      </c>
      <c r="J4" s="63"/>
      <c r="K4" s="63"/>
      <c r="L4" s="64"/>
      <c r="M4" s="65" t="s">
        <v>106</v>
      </c>
      <c r="N4" s="66"/>
      <c r="O4" s="66"/>
      <c r="P4" s="67"/>
      <c r="Q4" s="68" t="s">
        <v>107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</row>
    <row r="5" ht="12.75" customHeight="1">
      <c r="A5" s="69">
        <f>Analysis!K2</f>
        <v>58304</v>
      </c>
      <c r="D5" s="70"/>
      <c r="E5" s="69">
        <f>Analysis!K3</f>
        <v>58.304</v>
      </c>
      <c r="H5" s="70"/>
      <c r="I5" s="69">
        <f>Analysis!K5</f>
        <v>249</v>
      </c>
      <c r="L5" s="70"/>
      <c r="M5" s="71">
        <f>Analysis!K7</f>
        <v>0.2292915539</v>
      </c>
      <c r="P5" s="72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</row>
    <row r="6" ht="12.75" customHeight="1">
      <c r="A6" s="73"/>
      <c r="B6" s="74"/>
      <c r="C6" s="74"/>
      <c r="D6" s="75"/>
      <c r="E6" s="73"/>
      <c r="F6" s="74"/>
      <c r="G6" s="74"/>
      <c r="H6" s="75"/>
      <c r="I6" s="73"/>
      <c r="J6" s="74"/>
      <c r="K6" s="74"/>
      <c r="L6" s="75"/>
      <c r="M6" s="76"/>
      <c r="N6" s="77"/>
      <c r="O6" s="77"/>
      <c r="P6" s="7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</row>
    <row r="7" ht="12.75" customHeight="1">
      <c r="A7" s="79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</row>
    <row r="8" ht="12.75" customHeight="1"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</row>
    <row r="9" ht="12.75" customHeight="1"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</row>
    <row r="10" ht="12.75" customHeight="1"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</row>
    <row r="11" ht="12.75" customHeight="1"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</row>
    <row r="12" ht="12.75" customHeight="1"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</row>
    <row r="13" ht="12.75" customHeight="1"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</row>
    <row r="14" ht="12.75" customHeight="1"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</row>
    <row r="15" ht="12.75" customHeight="1"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</row>
    <row r="16" ht="12.75" customHeight="1"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</row>
    <row r="17" ht="12.75" customHeight="1"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</row>
    <row r="18" ht="12.75" customHeight="1"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</row>
    <row r="19" ht="12.75" customHeight="1"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</row>
    <row r="20" ht="12.75" customHeight="1"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</row>
    <row r="21" ht="12.75" customHeight="1"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</row>
    <row r="22" ht="12.75" customHeight="1"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</row>
    <row r="23" ht="12.75" customHeight="1"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</row>
    <row r="24" ht="12.75" customHeight="1"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</row>
    <row r="25" ht="12.75" customHeight="1"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</row>
    <row r="26" ht="12.75" customHeight="1"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</row>
    <row r="27" ht="12.75" customHeight="1"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</row>
    <row r="28" ht="12.75" customHeight="1"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</row>
    <row r="29" ht="12.75" customHeight="1"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</row>
    <row r="30" ht="12.75" customHeight="1"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</row>
    <row r="31" ht="12.75" customHeight="1"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</row>
    <row r="32" ht="12.75" customHeight="1"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</row>
    <row r="33" ht="12.75" customHeight="1"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</row>
    <row r="34" ht="12.75" customHeight="1"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</row>
    <row r="35" ht="12.75" customHeight="1"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</row>
    <row r="36" ht="12.75" customHeight="1"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</row>
    <row r="37" ht="12.75" customHeight="1"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</row>
    <row r="38" ht="12.75" customHeight="1"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</row>
    <row r="39" ht="12.75" customHeight="1"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</row>
    <row r="40" ht="12.75" customHeight="1"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</row>
    <row r="41" ht="12.75" customHeight="1"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</row>
    <row r="42" ht="12.75" customHeight="1"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</row>
    <row r="43" ht="12.75" customHeight="1"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</row>
    <row r="44" ht="12.75" customHeight="1"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</row>
    <row r="45" ht="12.75" customHeight="1"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</row>
    <row r="46" ht="12.75" customHeight="1"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</row>
    <row r="47" ht="12.75" customHeight="1"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</row>
    <row r="48" ht="12.75" customHeight="1"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</row>
    <row r="49" ht="12.75" customHeight="1"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</row>
    <row r="50" ht="12.75" customHeight="1"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</row>
    <row r="51" ht="12.75" customHeight="1"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</row>
    <row r="52" ht="12.75" customHeight="1"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</row>
    <row r="53" ht="12.75" customHeight="1"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</row>
    <row r="54" ht="12.75" customHeight="1"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</row>
    <row r="55" ht="12.75" customHeight="1"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</row>
    <row r="56" ht="12.75" customHeight="1"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</row>
    <row r="57" ht="12.75" customHeight="1"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</row>
    <row r="58" ht="12.75" customHeight="1"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</row>
    <row r="59" ht="12.75" customHeight="1"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</row>
    <row r="60" ht="12.75" customHeight="1"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</row>
    <row r="61" ht="12.75" customHeight="1"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</row>
    <row r="62" ht="12.75" customHeight="1"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</row>
    <row r="63" ht="12.75" customHeight="1"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</row>
    <row r="64" ht="12.75" customHeight="1"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</row>
    <row r="65" ht="12.75" customHeight="1"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</row>
    <row r="66" ht="12.75" customHeight="1"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</row>
    <row r="67" ht="12.75" customHeight="1"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</row>
    <row r="68" ht="12.75" customHeight="1"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</row>
    <row r="69" ht="12.75" customHeight="1"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</row>
    <row r="70" ht="12.75" customHeight="1"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</row>
    <row r="71" ht="12.75" customHeight="1"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</row>
    <row r="72" ht="12.75" customHeight="1"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</row>
    <row r="73" ht="12.75" customHeight="1"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</row>
    <row r="74" ht="12.75" customHeight="1"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</row>
    <row r="75" ht="12.75" customHeight="1"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</row>
    <row r="76" ht="12.75" customHeight="1"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</row>
    <row r="77" ht="12.75" customHeight="1"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</row>
    <row r="78" ht="12.75" customHeight="1"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</row>
    <row r="79" ht="12.75" customHeight="1"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</row>
    <row r="80" ht="12.75" customHeight="1"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</row>
    <row r="81" ht="12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</row>
    <row r="82" ht="12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</row>
    <row r="83" ht="12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</row>
    <row r="84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</row>
    <row r="85" ht="12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</row>
    <row r="86" ht="12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</row>
    <row r="87" ht="12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</row>
    <row r="88" ht="12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</row>
    <row r="89" ht="12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</row>
    <row r="90" ht="12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</row>
    <row r="91" ht="12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</row>
    <row r="92" ht="12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</row>
    <row r="93" ht="12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</row>
    <row r="94" ht="12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</row>
    <row r="95" ht="12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</row>
    <row r="96" ht="12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</row>
    <row r="97" ht="12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</row>
    <row r="98" ht="12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</row>
    <row r="99" ht="12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</row>
    <row r="100" ht="12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</row>
    <row r="101" ht="12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</row>
    <row r="102" ht="12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</row>
    <row r="103" ht="12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</row>
    <row r="104" ht="12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</row>
    <row r="105" ht="12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</row>
    <row r="106" ht="12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</row>
    <row r="107" ht="12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</row>
    <row r="108" ht="12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</row>
    <row r="109" ht="12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</row>
    <row r="110" ht="12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</row>
    <row r="111" ht="12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</row>
    <row r="112" ht="12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</row>
    <row r="113" ht="12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</row>
    <row r="114" ht="12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</row>
    <row r="115" ht="12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</row>
    <row r="116" ht="12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</row>
    <row r="117" ht="12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</row>
    <row r="118" ht="12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</row>
    <row r="119" ht="12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</row>
    <row r="120" ht="13.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40" t="s">
        <v>84</v>
      </c>
      <c r="X120" s="41"/>
      <c r="Y120" s="10"/>
      <c r="Z120" s="40" t="s">
        <v>85</v>
      </c>
      <c r="AA120" s="41"/>
      <c r="AB120" s="10"/>
      <c r="AC120" s="40" t="s">
        <v>86</v>
      </c>
      <c r="AD120" s="42"/>
      <c r="AE120" s="41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</row>
    <row r="121" ht="13.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Y121" s="10"/>
      <c r="AB121" s="10"/>
      <c r="AF121" s="10"/>
      <c r="AG121" s="40" t="s">
        <v>90</v>
      </c>
      <c r="AH121" s="41"/>
      <c r="AI121" s="10"/>
      <c r="AJ121" s="47" t="s">
        <v>91</v>
      </c>
      <c r="AK121" s="41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</row>
    <row r="122" ht="13.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Y122" s="10"/>
      <c r="AB122" s="10"/>
      <c r="AF122" s="10"/>
      <c r="AI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</row>
    <row r="123" ht="13.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Y123" s="10"/>
      <c r="AB123" s="10"/>
      <c r="AF123" s="10"/>
      <c r="AI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</row>
    <row r="124" ht="13.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Y124" s="10"/>
      <c r="AB124" s="10"/>
      <c r="AF124" s="10"/>
      <c r="AI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</row>
    <row r="125" ht="13.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Y125" s="10"/>
      <c r="AB125" s="10"/>
      <c r="AF125" s="10"/>
      <c r="AI125" s="10"/>
      <c r="AL125" s="10"/>
      <c r="AM125" s="80" t="s">
        <v>71</v>
      </c>
      <c r="AN125" s="81" t="s">
        <v>108</v>
      </c>
      <c r="AO125" s="10"/>
      <c r="AP125" s="10"/>
      <c r="AQ125" s="10"/>
      <c r="AR125" s="10"/>
      <c r="AS125" s="10"/>
      <c r="AT125" s="10"/>
      <c r="AU125" s="10"/>
      <c r="AV125" s="10"/>
    </row>
    <row r="126" ht="13.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Y126" s="10"/>
      <c r="AB126" s="10"/>
      <c r="AF126" s="10"/>
      <c r="AI126" s="10"/>
      <c r="AL126" s="10"/>
      <c r="AM126" s="82" t="s">
        <v>109</v>
      </c>
      <c r="AN126" s="83" t="str">
        <f t="shared" ref="AN126:AN129" si="1">B2</f>
        <v/>
      </c>
      <c r="AO126" s="10"/>
      <c r="AP126" s="10"/>
      <c r="AQ126" s="10"/>
      <c r="AR126" s="10"/>
      <c r="AS126" s="10"/>
      <c r="AT126" s="10"/>
      <c r="AU126" s="10"/>
      <c r="AV126" s="10"/>
    </row>
    <row r="127" ht="13.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Y127" s="10"/>
      <c r="AB127" s="10"/>
      <c r="AF127" s="10"/>
      <c r="AI127" s="10"/>
      <c r="AJ127" s="10"/>
      <c r="AK127" s="10"/>
      <c r="AL127" s="10"/>
      <c r="AM127" s="82" t="s">
        <v>110</v>
      </c>
      <c r="AN127" s="83" t="str">
        <f t="shared" si="1"/>
        <v/>
      </c>
      <c r="AO127" s="10"/>
      <c r="AP127" s="10"/>
      <c r="AQ127" s="10"/>
      <c r="AR127" s="10"/>
      <c r="AS127" s="10"/>
      <c r="AT127" s="10"/>
      <c r="AU127" s="10"/>
      <c r="AV127" s="10"/>
    </row>
    <row r="128" ht="13.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Y128" s="10"/>
      <c r="AB128" s="10"/>
      <c r="AF128" s="10"/>
      <c r="AG128" s="10"/>
      <c r="AH128" s="10"/>
      <c r="AI128" s="10"/>
      <c r="AJ128" s="10"/>
      <c r="AK128" s="10"/>
      <c r="AL128" s="10"/>
      <c r="AM128" s="82" t="s">
        <v>111</v>
      </c>
      <c r="AN128" s="83" t="str">
        <f t="shared" si="1"/>
        <v/>
      </c>
      <c r="AO128" s="10"/>
      <c r="AP128" s="10"/>
      <c r="AQ128" s="10"/>
      <c r="AR128" s="10"/>
      <c r="AS128" s="10"/>
      <c r="AT128" s="10"/>
      <c r="AU128" s="10"/>
      <c r="AV128" s="10"/>
    </row>
    <row r="129" ht="13.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Y129" s="10"/>
      <c r="AB129" s="10"/>
      <c r="AF129" s="10"/>
      <c r="AG129" s="10"/>
      <c r="AH129" s="10"/>
      <c r="AI129" s="10"/>
      <c r="AJ129" s="10"/>
      <c r="AK129" s="10"/>
      <c r="AL129" s="10"/>
      <c r="AM129" s="82" t="s">
        <v>112</v>
      </c>
      <c r="AN129" s="83" t="str">
        <f t="shared" si="1"/>
        <v/>
      </c>
      <c r="AO129" s="10"/>
      <c r="AP129" s="10"/>
      <c r="AQ129" s="10"/>
      <c r="AR129" s="10"/>
      <c r="AS129" s="10"/>
      <c r="AT129" s="10"/>
      <c r="AU129" s="10"/>
      <c r="AV129" s="10"/>
    </row>
    <row r="130" ht="13.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Y130" s="10"/>
      <c r="Z130" s="10"/>
      <c r="AA130" s="10"/>
      <c r="AB130" s="10"/>
      <c r="AF130" s="10"/>
      <c r="AG130" s="40" t="s">
        <v>101</v>
      </c>
      <c r="AH130" s="41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</row>
    <row r="131" ht="13.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Y131" s="10"/>
      <c r="Z131" s="10"/>
      <c r="AA131" s="10"/>
      <c r="AB131" s="10"/>
      <c r="AF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</row>
    <row r="132" ht="13.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Y132" s="10"/>
      <c r="Z132" s="40" t="s">
        <v>102</v>
      </c>
      <c r="AA132" s="41"/>
      <c r="AB132" s="10"/>
      <c r="AF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</row>
    <row r="133" ht="13.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Y133" s="10"/>
      <c r="AB133" s="10"/>
      <c r="AF133" s="10"/>
      <c r="AI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</row>
    <row r="134" ht="13.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Y134" s="10"/>
      <c r="AB134" s="10"/>
      <c r="AF134" s="10"/>
      <c r="AI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</row>
    <row r="135" ht="13.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Y135" s="10"/>
      <c r="AB135" s="10"/>
      <c r="AF135" s="10"/>
      <c r="AI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</row>
    <row r="136" ht="13.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Y136" s="10"/>
      <c r="Z136" s="10"/>
      <c r="AA136" s="10"/>
      <c r="AB136" s="10"/>
      <c r="AF136" s="10"/>
      <c r="AI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</row>
    <row r="137" ht="13.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Y137" s="10"/>
      <c r="Z137" s="10"/>
      <c r="AA137" s="10"/>
      <c r="AB137" s="10"/>
      <c r="AF137" s="10"/>
      <c r="AI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</row>
    <row r="138" ht="13.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Y138" s="10"/>
      <c r="Z138" s="10"/>
      <c r="AA138" s="10"/>
      <c r="AB138" s="10"/>
      <c r="AF138" s="10"/>
      <c r="AI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</row>
    <row r="139" ht="26.2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Y139" s="10"/>
      <c r="Z139" s="40" t="s">
        <v>103</v>
      </c>
      <c r="AA139" s="41"/>
      <c r="AB139" s="10"/>
      <c r="AF139" s="10"/>
      <c r="AI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</row>
    <row r="140" ht="13.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Y140" s="10"/>
      <c r="AB140" s="10"/>
      <c r="AF140" s="10"/>
      <c r="AI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</row>
    <row r="141" ht="13.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Y141" s="10"/>
      <c r="AB141" s="10"/>
      <c r="AF141" s="10"/>
      <c r="AI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</row>
    <row r="142" ht="13.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Y142" s="10"/>
      <c r="AB142" s="10"/>
      <c r="AF142" s="10"/>
      <c r="AI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</row>
    <row r="143" ht="13.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Y143" s="10"/>
      <c r="AB143" s="10"/>
      <c r="AF143" s="10"/>
      <c r="AI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</row>
    <row r="144" ht="13.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Y144" s="10"/>
      <c r="Z144" s="10"/>
      <c r="AA144" s="10"/>
      <c r="AB144" s="10"/>
      <c r="AF144" s="10"/>
      <c r="AI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</row>
    <row r="145" ht="13.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Y145" s="10"/>
      <c r="Z145" s="10"/>
      <c r="AA145" s="10"/>
      <c r="AB145" s="10"/>
      <c r="AF145" s="10"/>
      <c r="AI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</row>
    <row r="146" ht="13.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Y146" s="10"/>
      <c r="Z146" s="10"/>
      <c r="AA146" s="10"/>
      <c r="AB146" s="10"/>
      <c r="AF146" s="10"/>
      <c r="AI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</row>
    <row r="147" ht="13.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10"/>
      <c r="X147" s="10"/>
      <c r="Y147" s="10"/>
      <c r="Z147" s="10"/>
      <c r="AA147" s="10"/>
      <c r="AB147" s="10"/>
      <c r="AC147" s="52"/>
      <c r="AD147" s="58"/>
      <c r="AE147" s="53"/>
      <c r="AF147" s="10"/>
      <c r="AI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</row>
    <row r="148" ht="13.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40" t="s">
        <v>104</v>
      </c>
      <c r="X148" s="41"/>
      <c r="Y148" s="10"/>
      <c r="Z148" s="10"/>
      <c r="AA148" s="10"/>
      <c r="AB148" s="10"/>
      <c r="AC148" s="10"/>
      <c r="AD148" s="10"/>
      <c r="AE148" s="10"/>
      <c r="AF148" s="10"/>
      <c r="AI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</row>
    <row r="149" ht="13.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Y149" s="10"/>
      <c r="Z149" s="10"/>
      <c r="AA149" s="10"/>
      <c r="AB149" s="10"/>
      <c r="AC149" s="10"/>
      <c r="AD149" s="10"/>
      <c r="AE149" s="10"/>
      <c r="AF149" s="10"/>
      <c r="AI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</row>
    <row r="150" ht="13.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Y150" s="10"/>
      <c r="Z150" s="10"/>
      <c r="AA150" s="10"/>
      <c r="AB150" s="10"/>
      <c r="AC150" s="10"/>
      <c r="AD150" s="10"/>
      <c r="AE150" s="10"/>
      <c r="AF150" s="10"/>
      <c r="AI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</row>
    <row r="151" ht="13.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Y151" s="10"/>
      <c r="Z151" s="10"/>
      <c r="AA151" s="10"/>
      <c r="AB151" s="10"/>
      <c r="AC151" s="10"/>
      <c r="AD151" s="10"/>
      <c r="AE151" s="10"/>
      <c r="AF151" s="10"/>
      <c r="AI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</row>
    <row r="152" ht="13.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Y152" s="10"/>
      <c r="Z152" s="10"/>
      <c r="AA152" s="10"/>
      <c r="AB152" s="10"/>
      <c r="AC152" s="10"/>
      <c r="AD152" s="10"/>
      <c r="AE152" s="10"/>
      <c r="AF152" s="10"/>
      <c r="AI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</row>
    <row r="153" ht="13.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Y153" s="10"/>
      <c r="Z153" s="10"/>
      <c r="AA153" s="10"/>
      <c r="AB153" s="10"/>
      <c r="AC153" s="10"/>
      <c r="AD153" s="10"/>
      <c r="AE153" s="10"/>
      <c r="AF153" s="10"/>
      <c r="AI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</row>
    <row r="154" ht="13.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Y154" s="10"/>
      <c r="Z154" s="10"/>
      <c r="AA154" s="10"/>
      <c r="AB154" s="10"/>
      <c r="AC154" s="10"/>
      <c r="AD154" s="10"/>
      <c r="AE154" s="10"/>
      <c r="AF154" s="10"/>
      <c r="AI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</row>
    <row r="155" ht="13.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10"/>
      <c r="X155" s="10"/>
      <c r="Y155" s="10"/>
      <c r="AB155" s="10"/>
      <c r="AC155" s="10"/>
      <c r="AD155" s="10"/>
      <c r="AE155" s="10"/>
      <c r="AF155" s="10"/>
      <c r="AI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</row>
    <row r="156" ht="13.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10"/>
      <c r="X156" s="10"/>
      <c r="Y156" s="10"/>
      <c r="AB156" s="10"/>
      <c r="AC156" s="10"/>
      <c r="AD156" s="10"/>
      <c r="AE156" s="10"/>
      <c r="AF156" s="10"/>
      <c r="AI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</row>
    <row r="157" ht="13.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10"/>
      <c r="X157" s="10"/>
      <c r="Y157" s="10"/>
      <c r="AB157" s="10"/>
      <c r="AC157" s="10"/>
      <c r="AD157" s="10"/>
      <c r="AE157" s="10"/>
      <c r="AF157" s="10"/>
      <c r="AI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</row>
    <row r="158" ht="13.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10"/>
      <c r="X158" s="10"/>
      <c r="Y158" s="10"/>
      <c r="AB158" s="10"/>
      <c r="AC158" s="10"/>
      <c r="AD158" s="10"/>
      <c r="AE158" s="10"/>
      <c r="AF158" s="10"/>
      <c r="AI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</row>
    <row r="159" ht="13.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10"/>
      <c r="X159" s="10"/>
      <c r="Y159" s="10"/>
      <c r="AB159" s="10"/>
      <c r="AC159" s="10"/>
      <c r="AD159" s="10"/>
      <c r="AE159" s="10"/>
      <c r="AF159" s="10"/>
      <c r="AI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</row>
    <row r="160" ht="13.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10"/>
      <c r="X160" s="10"/>
      <c r="Y160" s="10"/>
      <c r="AB160" s="10"/>
      <c r="AC160" s="10"/>
      <c r="AD160" s="10"/>
      <c r="AE160" s="10"/>
      <c r="AF160" s="10"/>
      <c r="AI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</row>
    <row r="161" ht="13.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10"/>
      <c r="X161" s="10"/>
      <c r="Y161" s="10"/>
      <c r="AB161" s="10"/>
      <c r="AC161" s="10"/>
      <c r="AD161" s="10"/>
      <c r="AE161" s="10"/>
      <c r="AF161" s="10"/>
      <c r="AI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</row>
    <row r="162" ht="13.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10"/>
      <c r="X162" s="10"/>
      <c r="Y162" s="10"/>
      <c r="AB162" s="10"/>
      <c r="AC162" s="10"/>
      <c r="AD162" s="10"/>
      <c r="AE162" s="10"/>
      <c r="AF162" s="10"/>
      <c r="AI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</row>
    <row r="163" ht="13.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10"/>
      <c r="X163" s="10"/>
      <c r="Y163" s="10"/>
      <c r="AB163" s="10"/>
      <c r="AC163" s="10"/>
      <c r="AD163" s="10"/>
      <c r="AE163" s="10"/>
      <c r="AF163" s="10"/>
      <c r="AI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</row>
    <row r="164" ht="13.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10"/>
      <c r="X164" s="10"/>
      <c r="Y164" s="10"/>
      <c r="AB164" s="10"/>
      <c r="AC164" s="10"/>
      <c r="AD164" s="10"/>
      <c r="AE164" s="10"/>
      <c r="AF164" s="10"/>
      <c r="AI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</row>
    <row r="165" ht="13.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10"/>
      <c r="X165" s="10"/>
      <c r="Y165" s="10"/>
      <c r="AB165" s="10"/>
      <c r="AC165" s="10"/>
      <c r="AD165" s="10"/>
      <c r="AE165" s="10"/>
      <c r="AF165" s="10"/>
      <c r="AI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</row>
    <row r="166" ht="13.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10"/>
      <c r="X166" s="10"/>
      <c r="Y166" s="10"/>
      <c r="AB166" s="10"/>
      <c r="AC166" s="10"/>
      <c r="AD166" s="10"/>
      <c r="AE166" s="10"/>
      <c r="AF166" s="10"/>
      <c r="AI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</row>
    <row r="167" ht="13.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10"/>
      <c r="X167" s="10"/>
      <c r="Y167" s="10"/>
      <c r="AB167" s="10"/>
      <c r="AC167" s="10"/>
      <c r="AD167" s="10"/>
      <c r="AE167" s="10"/>
      <c r="AF167" s="10"/>
      <c r="AI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</row>
    <row r="168" ht="13.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10"/>
      <c r="X168" s="10"/>
      <c r="Y168" s="10"/>
      <c r="AB168" s="10"/>
      <c r="AC168" s="10"/>
      <c r="AD168" s="10"/>
      <c r="AE168" s="10"/>
      <c r="AF168" s="10"/>
      <c r="AI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</row>
    <row r="169" ht="13.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10"/>
      <c r="X169" s="10"/>
      <c r="Y169" s="10"/>
      <c r="AB169" s="10"/>
      <c r="AC169" s="10"/>
      <c r="AD169" s="10"/>
      <c r="AE169" s="10"/>
      <c r="AF169" s="10"/>
      <c r="AI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</row>
    <row r="170" ht="13.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10"/>
      <c r="X170" s="10"/>
      <c r="Y170" s="10"/>
      <c r="AB170" s="10"/>
      <c r="AC170" s="10"/>
      <c r="AD170" s="10"/>
      <c r="AE170" s="10"/>
      <c r="AF170" s="10"/>
      <c r="AI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</row>
    <row r="171" ht="13.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10"/>
      <c r="X171" s="10"/>
      <c r="Y171" s="10"/>
      <c r="AB171" s="10"/>
      <c r="AC171" s="10"/>
      <c r="AD171" s="10"/>
      <c r="AE171" s="10"/>
      <c r="AF171" s="10"/>
      <c r="AI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</row>
    <row r="172" ht="26.2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10"/>
      <c r="X172" s="10"/>
      <c r="Y172" s="10"/>
      <c r="AB172" s="10"/>
      <c r="AC172" s="10"/>
      <c r="AD172" s="10"/>
      <c r="AI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</row>
    <row r="173" ht="13.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10"/>
      <c r="X173" s="10"/>
      <c r="Y173" s="10"/>
      <c r="AB173" s="10"/>
      <c r="AC173" s="10"/>
      <c r="AD173" s="10"/>
      <c r="AI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</row>
    <row r="174" ht="13.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10"/>
      <c r="X174" s="10"/>
      <c r="Y174" s="10"/>
      <c r="AB174" s="10"/>
      <c r="AC174" s="10"/>
      <c r="AD174" s="10"/>
      <c r="AI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</row>
    <row r="175" ht="13.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10"/>
      <c r="X175" s="10"/>
      <c r="Y175" s="10"/>
      <c r="AB175" s="10"/>
      <c r="AC175" s="10"/>
      <c r="AD175" s="10"/>
      <c r="AI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</row>
    <row r="176" ht="13.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10"/>
      <c r="X176" s="10"/>
      <c r="Y176" s="10"/>
      <c r="AB176" s="10"/>
      <c r="AC176" s="10"/>
      <c r="AD176" s="10"/>
      <c r="AI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</row>
    <row r="177" ht="13.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10"/>
      <c r="X177" s="10"/>
      <c r="Y177" s="10"/>
      <c r="AB177" s="10"/>
      <c r="AC177" s="10"/>
      <c r="AD177" s="10"/>
      <c r="AI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</row>
    <row r="178" ht="13.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10"/>
      <c r="X178" s="10"/>
      <c r="Y178" s="10"/>
      <c r="AB178" s="10"/>
      <c r="AC178" s="10"/>
      <c r="AD178" s="10"/>
      <c r="AG178" s="10"/>
      <c r="AH178" s="10"/>
      <c r="AI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</row>
    <row r="179" ht="13.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10"/>
      <c r="X179" s="10"/>
      <c r="Y179" s="10"/>
      <c r="AB179" s="10"/>
      <c r="AC179" s="10"/>
      <c r="AD179" s="10"/>
      <c r="AG179" s="10"/>
      <c r="AH179" s="10"/>
      <c r="AI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</row>
    <row r="180" ht="13.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10"/>
      <c r="X180" s="10"/>
      <c r="Y180" s="10"/>
      <c r="Z180" s="10"/>
      <c r="AA180" s="10"/>
      <c r="AB180" s="10"/>
      <c r="AC180" s="10"/>
      <c r="AD180" s="10"/>
      <c r="AG180" s="10"/>
      <c r="AH180" s="10"/>
      <c r="AI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</row>
    <row r="181" ht="13.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10"/>
      <c r="X181" s="10"/>
      <c r="Y181" s="10"/>
      <c r="Z181" s="10"/>
      <c r="AA181" s="10"/>
      <c r="AB181" s="10"/>
      <c r="AC181" s="10"/>
      <c r="AD181" s="10"/>
      <c r="AG181" s="10"/>
      <c r="AH181" s="10"/>
      <c r="AI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</row>
    <row r="182" ht="13.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10"/>
      <c r="X182" s="10"/>
      <c r="Y182" s="10"/>
      <c r="Z182" s="10"/>
      <c r="AA182" s="10"/>
      <c r="AB182" s="10"/>
      <c r="AC182" s="10"/>
      <c r="AD182" s="10"/>
      <c r="AG182" s="10"/>
      <c r="AH182" s="10"/>
      <c r="AI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</row>
    <row r="183" ht="13.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10"/>
      <c r="X183" s="10"/>
      <c r="Y183" s="10"/>
      <c r="Z183" s="10"/>
      <c r="AA183" s="10"/>
      <c r="AB183" s="10"/>
      <c r="AC183" s="10"/>
      <c r="AD183" s="10"/>
      <c r="AG183" s="10"/>
      <c r="AH183" s="10"/>
      <c r="AI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</row>
    <row r="184" ht="13.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10"/>
      <c r="X184" s="10"/>
      <c r="Y184" s="10"/>
      <c r="Z184" s="10"/>
      <c r="AA184" s="10"/>
      <c r="AB184" s="10"/>
      <c r="AC184" s="10"/>
      <c r="AD184" s="10"/>
      <c r="AG184" s="10"/>
      <c r="AH184" s="10"/>
      <c r="AI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</row>
    <row r="185" ht="13.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10"/>
      <c r="X185" s="10"/>
      <c r="Y185" s="10"/>
      <c r="Z185" s="10"/>
      <c r="AA185" s="10"/>
      <c r="AB185" s="10"/>
      <c r="AC185" s="10"/>
      <c r="AD185" s="10"/>
      <c r="AG185" s="10"/>
      <c r="AH185" s="10"/>
      <c r="AI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</row>
    <row r="186" ht="13.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10"/>
      <c r="X186" s="10"/>
      <c r="Y186" s="10"/>
      <c r="Z186" s="10"/>
      <c r="AA186" s="10"/>
      <c r="AB186" s="10"/>
      <c r="AC186" s="10"/>
      <c r="AD186" s="10"/>
      <c r="AG186" s="10"/>
      <c r="AH186" s="10"/>
      <c r="AI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</row>
    <row r="187" ht="13.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10"/>
      <c r="X187" s="10"/>
      <c r="Y187" s="10"/>
      <c r="Z187" s="10"/>
      <c r="AA187" s="10"/>
      <c r="AB187" s="10"/>
      <c r="AC187" s="10"/>
      <c r="AD187" s="10"/>
      <c r="AG187" s="10"/>
      <c r="AH187" s="10"/>
      <c r="AI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</row>
    <row r="188" ht="13.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10"/>
      <c r="X188" s="10"/>
      <c r="Y188" s="10"/>
      <c r="Z188" s="10"/>
      <c r="AA188" s="10"/>
      <c r="AB188" s="10"/>
      <c r="AC188" s="10"/>
      <c r="AD188" s="10"/>
      <c r="AG188" s="10"/>
      <c r="AH188" s="10"/>
      <c r="AI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</row>
    <row r="189" ht="13.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10"/>
      <c r="X189" s="10"/>
      <c r="Y189" s="10"/>
      <c r="Z189" s="10"/>
      <c r="AA189" s="10"/>
      <c r="AB189" s="10"/>
      <c r="AC189" s="10"/>
      <c r="AD189" s="10"/>
      <c r="AG189" s="10"/>
      <c r="AH189" s="10"/>
      <c r="AI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</row>
    <row r="190" ht="13.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10"/>
      <c r="X190" s="10"/>
      <c r="Y190" s="10"/>
      <c r="Z190" s="10"/>
      <c r="AA190" s="10"/>
      <c r="AB190" s="10"/>
      <c r="AC190" s="10"/>
      <c r="AD190" s="10"/>
      <c r="AG190" s="10"/>
      <c r="AH190" s="10"/>
      <c r="AI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</row>
    <row r="191" ht="13.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10"/>
      <c r="X191" s="10"/>
      <c r="Y191" s="10"/>
      <c r="Z191" s="10"/>
      <c r="AA191" s="10"/>
      <c r="AB191" s="10"/>
      <c r="AC191" s="10"/>
      <c r="AD191" s="10"/>
      <c r="AG191" s="10"/>
      <c r="AH191" s="10"/>
      <c r="AI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</row>
    <row r="192" ht="13.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10"/>
      <c r="X192" s="10"/>
      <c r="Y192" s="10"/>
      <c r="Z192" s="10"/>
      <c r="AA192" s="10"/>
      <c r="AB192" s="10"/>
      <c r="AC192" s="10"/>
      <c r="AD192" s="10"/>
      <c r="AG192" s="10"/>
      <c r="AH192" s="10"/>
      <c r="AI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</row>
    <row r="193" ht="13.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10"/>
      <c r="X193" s="10"/>
      <c r="Y193" s="10"/>
      <c r="Z193" s="10"/>
      <c r="AA193" s="10"/>
      <c r="AB193" s="10"/>
      <c r="AC193" s="10"/>
      <c r="AD193" s="10"/>
      <c r="AG193" s="10"/>
      <c r="AH193" s="10"/>
      <c r="AI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</row>
    <row r="194" ht="13.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10"/>
      <c r="X194" s="10"/>
      <c r="Y194" s="10"/>
      <c r="Z194" s="10"/>
      <c r="AA194" s="10"/>
      <c r="AB194" s="10"/>
      <c r="AC194" s="10"/>
      <c r="AD194" s="10"/>
      <c r="AG194" s="10"/>
      <c r="AH194" s="10"/>
      <c r="AI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</row>
    <row r="195" ht="13.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10"/>
      <c r="X195" s="10"/>
      <c r="Y195" s="10"/>
      <c r="Z195" s="10"/>
      <c r="AA195" s="10"/>
      <c r="AB195" s="10"/>
      <c r="AC195" s="10"/>
      <c r="AD195" s="10"/>
      <c r="AG195" s="10"/>
      <c r="AH195" s="10"/>
      <c r="AI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</row>
    <row r="196" ht="13.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10"/>
      <c r="X196" s="10"/>
      <c r="Y196" s="10"/>
      <c r="Z196" s="10"/>
      <c r="AA196" s="10"/>
      <c r="AB196" s="10"/>
      <c r="AC196" s="10"/>
      <c r="AD196" s="10"/>
      <c r="AG196" s="10"/>
      <c r="AH196" s="10"/>
      <c r="AI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</row>
    <row r="197" ht="13.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10"/>
      <c r="X197" s="10"/>
      <c r="Y197" s="10"/>
      <c r="Z197" s="10"/>
      <c r="AA197" s="10"/>
      <c r="AB197" s="10"/>
      <c r="AC197" s="10"/>
      <c r="AD197" s="10"/>
      <c r="AG197" s="10"/>
      <c r="AH197" s="10"/>
      <c r="AI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</row>
    <row r="198" ht="13.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10"/>
      <c r="X198" s="10"/>
      <c r="Y198" s="10"/>
      <c r="Z198" s="10"/>
      <c r="AA198" s="10"/>
      <c r="AB198" s="10"/>
      <c r="AC198" s="10"/>
      <c r="AD198" s="10"/>
      <c r="AG198" s="10"/>
      <c r="AH198" s="10"/>
      <c r="AI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</row>
    <row r="199" ht="13.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10"/>
      <c r="X199" s="10"/>
      <c r="Y199" s="10"/>
      <c r="Z199" s="10"/>
      <c r="AA199" s="10"/>
      <c r="AB199" s="10"/>
      <c r="AC199" s="10"/>
      <c r="AD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</row>
    <row r="200" ht="13.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10"/>
      <c r="X200" s="10"/>
      <c r="Y200" s="10"/>
      <c r="Z200" s="10"/>
      <c r="AA200" s="10"/>
      <c r="AB200" s="10"/>
      <c r="AC200" s="10"/>
      <c r="AD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</row>
    <row r="201" ht="13.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10"/>
      <c r="X201" s="10"/>
      <c r="Y201" s="10"/>
      <c r="Z201" s="10"/>
      <c r="AA201" s="10"/>
      <c r="AB201" s="10"/>
      <c r="AC201" s="10"/>
      <c r="AD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</row>
    <row r="202" ht="13.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10"/>
      <c r="X202" s="10"/>
      <c r="Y202" s="10"/>
      <c r="Z202" s="10"/>
      <c r="AA202" s="10"/>
      <c r="AB202" s="10"/>
      <c r="AC202" s="10"/>
      <c r="AD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</row>
    <row r="203" ht="13.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10"/>
      <c r="X203" s="10"/>
      <c r="Y203" s="10"/>
      <c r="Z203" s="10"/>
      <c r="AA203" s="10"/>
      <c r="AB203" s="10"/>
      <c r="AC203" s="10"/>
      <c r="AD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</row>
    <row r="204" ht="13.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10"/>
      <c r="X204" s="10"/>
      <c r="Y204" s="10"/>
      <c r="Z204" s="10"/>
      <c r="AA204" s="10"/>
      <c r="AB204" s="10"/>
      <c r="AC204" s="10"/>
      <c r="AD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</row>
    <row r="205" ht="13.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10"/>
      <c r="X205" s="10"/>
      <c r="Y205" s="10"/>
      <c r="Z205" s="10"/>
      <c r="AA205" s="10"/>
      <c r="AB205" s="10"/>
      <c r="AC205" s="10"/>
      <c r="AD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</row>
    <row r="206" ht="13.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10"/>
      <c r="X206" s="10"/>
      <c r="Y206" s="10"/>
      <c r="Z206" s="10"/>
      <c r="AA206" s="10"/>
      <c r="AB206" s="10"/>
      <c r="AC206" s="10"/>
      <c r="AD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</row>
    <row r="207" ht="13.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10"/>
      <c r="X207" s="10"/>
      <c r="Y207" s="10"/>
      <c r="Z207" s="10"/>
      <c r="AA207" s="10"/>
      <c r="AB207" s="10"/>
      <c r="AC207" s="10"/>
      <c r="AD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</row>
    <row r="208" ht="13.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10"/>
      <c r="X208" s="10"/>
      <c r="Y208" s="10"/>
      <c r="Z208" s="10"/>
      <c r="AA208" s="10"/>
      <c r="AB208" s="10"/>
      <c r="AC208" s="10"/>
      <c r="AD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</row>
    <row r="209" ht="13.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10"/>
      <c r="X209" s="10"/>
      <c r="Y209" s="10"/>
      <c r="Z209" s="10"/>
      <c r="AA209" s="10"/>
      <c r="AB209" s="10"/>
      <c r="AC209" s="10"/>
      <c r="AD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</row>
    <row r="210" ht="13.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10"/>
      <c r="X210" s="10"/>
      <c r="Y210" s="10"/>
      <c r="Z210" s="10"/>
      <c r="AA210" s="10"/>
      <c r="AB210" s="10"/>
      <c r="AC210" s="10"/>
      <c r="AD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</row>
    <row r="211" ht="13.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10"/>
      <c r="X211" s="10"/>
      <c r="Y211" s="10"/>
      <c r="Z211" s="10"/>
      <c r="AA211" s="10"/>
      <c r="AB211" s="10"/>
      <c r="AC211" s="10"/>
      <c r="AD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</row>
    <row r="212" ht="13.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10"/>
      <c r="X212" s="10"/>
      <c r="Y212" s="10"/>
      <c r="Z212" s="10"/>
      <c r="AA212" s="10"/>
      <c r="AB212" s="10"/>
      <c r="AC212" s="10"/>
      <c r="AD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</row>
    <row r="213" ht="13.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10"/>
      <c r="X213" s="10"/>
      <c r="Y213" s="10"/>
      <c r="Z213" s="10"/>
      <c r="AA213" s="10"/>
      <c r="AB213" s="10"/>
      <c r="AC213" s="10"/>
      <c r="AD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</row>
    <row r="214" ht="13.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10"/>
      <c r="X214" s="10"/>
      <c r="Y214" s="10"/>
      <c r="Z214" s="10"/>
      <c r="AA214" s="10"/>
      <c r="AB214" s="10"/>
      <c r="AC214" s="10"/>
      <c r="AD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</row>
    <row r="215" ht="13.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10"/>
      <c r="X215" s="10"/>
      <c r="Y215" s="10"/>
      <c r="Z215" s="10"/>
      <c r="AA215" s="10"/>
      <c r="AB215" s="10"/>
      <c r="AC215" s="10"/>
      <c r="AD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</row>
    <row r="216" ht="13.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10"/>
      <c r="X216" s="10"/>
      <c r="Y216" s="10"/>
      <c r="Z216" s="10"/>
      <c r="AA216" s="10"/>
      <c r="AB216" s="10"/>
      <c r="AC216" s="10"/>
      <c r="AD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</row>
    <row r="217" ht="13.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10"/>
      <c r="X217" s="10"/>
      <c r="Y217" s="10"/>
      <c r="Z217" s="10"/>
      <c r="AA217" s="10"/>
      <c r="AB217" s="10"/>
      <c r="AC217" s="10"/>
      <c r="AD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</row>
    <row r="218" ht="13.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10"/>
      <c r="X218" s="10"/>
      <c r="Y218" s="10"/>
      <c r="Z218" s="10"/>
      <c r="AA218" s="10"/>
      <c r="AB218" s="10"/>
      <c r="AC218" s="10"/>
      <c r="AD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</row>
    <row r="219" ht="13.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10"/>
      <c r="X219" s="10"/>
      <c r="Y219" s="10"/>
      <c r="Z219" s="10"/>
      <c r="AA219" s="10"/>
      <c r="AB219" s="10"/>
      <c r="AC219" s="10"/>
      <c r="AD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</row>
    <row r="220" ht="13.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</row>
    <row r="221" ht="13.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</row>
    <row r="222" ht="13.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</row>
    <row r="223" ht="13.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</row>
    <row r="224" ht="13.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</row>
    <row r="225" ht="13.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</row>
    <row r="226" ht="13.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</row>
    <row r="227" ht="13.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</row>
    <row r="228" ht="13.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</row>
    <row r="229" ht="13.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</row>
    <row r="230" ht="13.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</row>
    <row r="231" ht="13.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</row>
    <row r="232" ht="13.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</row>
    <row r="233" ht="13.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</row>
    <row r="234" ht="13.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</row>
    <row r="235" ht="13.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</row>
    <row r="236" ht="13.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</row>
    <row r="237" ht="13.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</row>
    <row r="238" ht="13.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</row>
    <row r="239" ht="13.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</row>
    <row r="240" ht="13.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</row>
    <row r="241" ht="13.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</row>
    <row r="242" ht="13.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</row>
    <row r="243" ht="13.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</row>
    <row r="244" ht="13.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</row>
    <row r="245" ht="13.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</row>
    <row r="246" ht="13.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</row>
    <row r="247" ht="13.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</row>
    <row r="248" ht="13.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</row>
    <row r="249" ht="13.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</row>
    <row r="250" ht="13.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</row>
    <row r="251" ht="13.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</row>
    <row r="252" ht="13.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</row>
    <row r="253" ht="13.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</row>
    <row r="254" ht="13.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</row>
    <row r="255" ht="13.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</row>
    <row r="256" ht="13.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</row>
    <row r="257" ht="13.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</row>
    <row r="258" ht="13.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</row>
    <row r="259" ht="13.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</row>
    <row r="260" ht="13.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</row>
    <row r="261" ht="13.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</row>
    <row r="262" ht="13.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</row>
    <row r="263" ht="13.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</row>
    <row r="264" ht="13.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</row>
    <row r="265" ht="13.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</row>
    <row r="266" ht="13.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</row>
    <row r="267" ht="13.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</row>
    <row r="268" ht="13.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</row>
    <row r="269" ht="13.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</row>
    <row r="270" ht="13.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</row>
    <row r="271" ht="13.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</row>
    <row r="272" ht="13.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</row>
    <row r="273" ht="13.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</row>
    <row r="274" ht="13.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</row>
    <row r="275" ht="13.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</row>
    <row r="276" ht="13.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</row>
    <row r="277" ht="13.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</row>
    <row r="278" ht="13.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</row>
    <row r="279" ht="13.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</row>
    <row r="280" ht="13.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</row>
    <row r="281" ht="13.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</row>
    <row r="282" ht="13.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</row>
    <row r="283" ht="13.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</row>
    <row r="284" ht="13.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</row>
    <row r="285" ht="13.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</row>
    <row r="286" ht="13.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</row>
    <row r="287" ht="13.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</row>
    <row r="288" ht="13.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</row>
    <row r="289" ht="13.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</row>
    <row r="290" ht="13.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</row>
    <row r="291" ht="13.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</row>
    <row r="292" ht="13.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</row>
    <row r="293" ht="13.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</row>
    <row r="294" ht="13.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</row>
    <row r="295" ht="13.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</row>
    <row r="296" ht="13.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</row>
    <row r="297" ht="13.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</row>
    <row r="298" ht="13.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</row>
    <row r="299" ht="13.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</row>
    <row r="300" ht="13.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</row>
    <row r="301" ht="13.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</row>
    <row r="302" ht="13.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</row>
    <row r="303" ht="13.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</row>
    <row r="304" ht="13.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</row>
    <row r="305" ht="13.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</row>
    <row r="306" ht="13.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</row>
    <row r="307" ht="13.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</row>
    <row r="308" ht="13.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</row>
    <row r="309" ht="13.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</row>
    <row r="310" ht="13.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</row>
    <row r="311" ht="13.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</row>
    <row r="312" ht="13.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</row>
    <row r="313" ht="13.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</row>
    <row r="314" ht="13.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</row>
    <row r="315" ht="13.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</row>
    <row r="316" ht="13.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</row>
    <row r="317" ht="13.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</row>
    <row r="318" ht="13.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</row>
    <row r="319" ht="13.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</row>
    <row r="320" ht="13.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</row>
    <row r="321" ht="13.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</row>
    <row r="322" ht="13.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</row>
    <row r="323" ht="13.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</row>
    <row r="324" ht="13.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</row>
    <row r="325" ht="13.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</row>
    <row r="326" ht="13.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</row>
    <row r="327" ht="13.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</row>
    <row r="328" ht="13.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</row>
    <row r="329" ht="13.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</row>
    <row r="330" ht="13.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</row>
    <row r="331" ht="13.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</row>
    <row r="332" ht="13.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</row>
    <row r="333" ht="13.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</row>
    <row r="334" ht="13.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</row>
    <row r="335" ht="13.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</row>
    <row r="336" ht="13.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</row>
    <row r="337" ht="13.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</row>
    <row r="338" ht="13.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</row>
    <row r="339" ht="13.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</row>
    <row r="340" ht="13.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</row>
    <row r="341" ht="13.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</row>
    <row r="342" ht="13.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</row>
    <row r="343" ht="13.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</row>
    <row r="344" ht="13.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</row>
    <row r="345" ht="13.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</row>
    <row r="346" ht="13.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</row>
    <row r="347" ht="13.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</row>
    <row r="348" ht="13.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</row>
    <row r="349" ht="13.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</row>
    <row r="350" ht="13.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</row>
    <row r="351" ht="13.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</row>
    <row r="352" ht="13.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</row>
    <row r="353" ht="13.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</row>
    <row r="354" ht="13.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</row>
    <row r="355" ht="13.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</row>
    <row r="356" ht="13.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</row>
    <row r="357" ht="13.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</row>
    <row r="358" ht="13.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</row>
    <row r="359" ht="13.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</row>
    <row r="360" ht="13.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</row>
    <row r="361" ht="13.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</row>
    <row r="362" ht="13.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</row>
    <row r="363" ht="13.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</row>
    <row r="364" ht="13.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</row>
    <row r="365" ht="13.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</row>
    <row r="366" ht="13.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</row>
    <row r="367" ht="13.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</row>
    <row r="368" ht="13.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</row>
    <row r="369" ht="13.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</row>
    <row r="370" ht="13.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</row>
    <row r="371" ht="13.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</row>
    <row r="372" ht="13.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</row>
    <row r="373" ht="13.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</row>
    <row r="374" ht="13.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</row>
    <row r="375" ht="13.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</row>
    <row r="376" ht="13.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</row>
    <row r="377" ht="13.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</row>
    <row r="378" ht="13.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</row>
    <row r="379" ht="13.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</row>
    <row r="380" ht="13.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</row>
    <row r="381" ht="13.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</row>
    <row r="382" ht="13.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</row>
    <row r="383" ht="13.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</row>
    <row r="384" ht="13.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</row>
    <row r="385" ht="13.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</row>
    <row r="386" ht="13.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</row>
    <row r="387" ht="13.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</row>
    <row r="388" ht="13.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</row>
    <row r="389" ht="13.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</row>
    <row r="390" ht="13.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</row>
    <row r="391" ht="13.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</row>
    <row r="392" ht="13.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</row>
    <row r="393" ht="13.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</row>
    <row r="394" ht="13.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</row>
    <row r="395" ht="13.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</row>
    <row r="396" ht="13.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</row>
    <row r="397" ht="13.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</row>
    <row r="398" ht="13.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</row>
    <row r="399" ht="13.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</row>
    <row r="400" ht="13.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</row>
    <row r="401" ht="13.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</row>
    <row r="402" ht="13.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</row>
    <row r="403" ht="13.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</row>
    <row r="404" ht="13.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</row>
    <row r="405" ht="13.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</row>
    <row r="406" ht="13.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</row>
    <row r="407" ht="13.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</row>
    <row r="408" ht="13.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</row>
    <row r="409" ht="13.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</row>
    <row r="410" ht="13.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</row>
    <row r="411" ht="13.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</row>
    <row r="412" ht="13.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</row>
    <row r="413" ht="13.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</row>
    <row r="414" ht="13.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</row>
    <row r="415" ht="13.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</row>
    <row r="416" ht="13.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</row>
    <row r="417" ht="13.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</row>
    <row r="418" ht="13.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</row>
    <row r="419" ht="13.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</row>
    <row r="420" ht="13.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</row>
    <row r="421" ht="13.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</row>
    <row r="422" ht="13.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</row>
    <row r="423" ht="13.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</row>
    <row r="424" ht="13.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</row>
    <row r="425" ht="13.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</row>
    <row r="426" ht="13.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</row>
    <row r="427" ht="13.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</row>
    <row r="428" ht="13.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</row>
    <row r="429" ht="13.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</row>
    <row r="430" ht="13.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</row>
    <row r="431" ht="13.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</row>
    <row r="432" ht="13.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</row>
    <row r="433" ht="13.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</row>
    <row r="434" ht="13.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</row>
    <row r="435" ht="13.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</row>
    <row r="436" ht="13.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</row>
    <row r="437" ht="13.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</row>
    <row r="438" ht="13.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</row>
    <row r="439" ht="13.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</row>
    <row r="440" ht="13.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</row>
    <row r="441" ht="13.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</row>
    <row r="442" ht="13.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</row>
    <row r="443" ht="13.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</row>
    <row r="444" ht="13.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</row>
    <row r="445" ht="13.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</row>
    <row r="446" ht="13.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</row>
    <row r="447" ht="13.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</row>
    <row r="448" ht="13.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</row>
    <row r="449" ht="13.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</row>
    <row r="450" ht="13.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</row>
    <row r="451" ht="13.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</row>
    <row r="452" ht="13.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</row>
    <row r="453" ht="13.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</row>
    <row r="454" ht="13.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</row>
    <row r="455" ht="13.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</row>
    <row r="456" ht="13.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</row>
    <row r="457" ht="13.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</row>
    <row r="458" ht="13.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</row>
    <row r="459" ht="13.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</row>
    <row r="460" ht="13.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</row>
    <row r="461" ht="13.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</row>
    <row r="462" ht="13.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</row>
    <row r="463" ht="13.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</row>
    <row r="464" ht="13.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</row>
    <row r="465" ht="13.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</row>
    <row r="466" ht="13.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</row>
    <row r="467" ht="13.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</row>
    <row r="468" ht="13.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</row>
    <row r="469" ht="13.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</row>
    <row r="470" ht="13.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</row>
    <row r="471" ht="13.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</row>
    <row r="472" ht="13.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</row>
    <row r="473" ht="13.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</row>
    <row r="474" ht="13.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</row>
    <row r="475" ht="13.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</row>
    <row r="476" ht="13.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</row>
    <row r="477" ht="13.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</row>
    <row r="478" ht="13.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</row>
    <row r="479" ht="13.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</row>
    <row r="480" ht="13.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</row>
    <row r="481" ht="13.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</row>
    <row r="482" ht="13.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</row>
    <row r="483" ht="13.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</row>
    <row r="484" ht="13.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</row>
    <row r="485" ht="13.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</row>
    <row r="486" ht="13.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</row>
    <row r="487" ht="13.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</row>
    <row r="488" ht="13.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</row>
    <row r="489" ht="13.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</row>
    <row r="490" ht="13.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</row>
    <row r="491" ht="13.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</row>
    <row r="492" ht="13.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</row>
    <row r="493" ht="13.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</row>
    <row r="494" ht="13.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</row>
    <row r="495" ht="13.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</row>
    <row r="496" ht="13.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</row>
    <row r="497" ht="13.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</row>
    <row r="498" ht="13.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</row>
    <row r="499" ht="13.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</row>
    <row r="500" ht="13.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</row>
    <row r="501" ht="13.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</row>
    <row r="502" ht="13.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</row>
    <row r="503" ht="13.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</row>
    <row r="504" ht="13.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</row>
    <row r="505" ht="13.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</row>
    <row r="506" ht="13.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</row>
    <row r="507" ht="13.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</row>
    <row r="508" ht="13.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</row>
    <row r="509" ht="13.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</row>
    <row r="510" ht="13.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</row>
    <row r="511" ht="13.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</row>
    <row r="512" ht="13.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</row>
    <row r="513" ht="13.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</row>
    <row r="514" ht="13.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</row>
    <row r="515" ht="13.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</row>
    <row r="516" ht="13.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</row>
    <row r="517" ht="13.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</row>
    <row r="518" ht="13.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</row>
    <row r="519" ht="13.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</row>
    <row r="520" ht="13.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</row>
    <row r="521" ht="13.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</row>
    <row r="522" ht="13.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</row>
    <row r="523" ht="13.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</row>
    <row r="524" ht="13.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</row>
    <row r="525" ht="13.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</row>
    <row r="526" ht="13.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</row>
    <row r="527" ht="13.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</row>
    <row r="528" ht="13.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</row>
    <row r="529" ht="13.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</row>
    <row r="530" ht="13.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</row>
    <row r="531" ht="13.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</row>
    <row r="532" ht="13.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</row>
    <row r="533" ht="13.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</row>
    <row r="534" ht="13.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</row>
    <row r="535" ht="13.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</row>
    <row r="536" ht="13.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</row>
    <row r="537" ht="13.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</row>
    <row r="538" ht="13.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</row>
    <row r="539" ht="13.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</row>
    <row r="540" ht="13.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</row>
    <row r="541" ht="13.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</row>
    <row r="542" ht="13.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</row>
    <row r="543" ht="13.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</row>
    <row r="544" ht="13.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</row>
    <row r="545" ht="13.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</row>
    <row r="546" ht="13.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</row>
    <row r="547" ht="13.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</row>
    <row r="548" ht="13.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</row>
    <row r="549" ht="13.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</row>
    <row r="550" ht="13.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</row>
    <row r="551" ht="13.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</row>
    <row r="552" ht="13.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</row>
    <row r="553" ht="13.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</row>
    <row r="554" ht="13.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</row>
    <row r="555" ht="13.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</row>
    <row r="556" ht="13.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</row>
    <row r="557" ht="13.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</row>
    <row r="558" ht="13.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</row>
    <row r="559" ht="13.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</row>
    <row r="560" ht="13.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</row>
    <row r="561" ht="13.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</row>
    <row r="562" ht="13.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</row>
    <row r="563" ht="13.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</row>
    <row r="564" ht="13.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</row>
    <row r="565" ht="13.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</row>
    <row r="566" ht="13.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</row>
    <row r="567" ht="13.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</row>
    <row r="568" ht="13.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</row>
    <row r="569" ht="13.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</row>
    <row r="570" ht="13.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</row>
    <row r="571" ht="13.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</row>
    <row r="572" ht="13.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</row>
    <row r="573" ht="13.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</row>
    <row r="574" ht="13.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</row>
    <row r="575" ht="13.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</row>
    <row r="576" ht="13.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</row>
    <row r="577" ht="13.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</row>
    <row r="578" ht="13.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</row>
    <row r="579" ht="13.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</row>
    <row r="580" ht="13.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</row>
    <row r="581" ht="13.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</row>
    <row r="582" ht="13.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</row>
    <row r="583" ht="13.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</row>
    <row r="584" ht="13.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</row>
    <row r="585" ht="13.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</row>
    <row r="586" ht="13.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</row>
    <row r="587" ht="13.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</row>
    <row r="588" ht="13.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</row>
    <row r="589" ht="13.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</row>
    <row r="590" ht="13.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</row>
    <row r="591" ht="13.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</row>
    <row r="592" ht="13.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</row>
    <row r="593" ht="13.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</row>
    <row r="594" ht="13.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</row>
    <row r="595" ht="13.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</row>
    <row r="596" ht="13.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</row>
    <row r="597" ht="13.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</row>
    <row r="598" ht="13.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</row>
    <row r="599" ht="13.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</row>
    <row r="600" ht="13.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</row>
    <row r="601" ht="13.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</row>
    <row r="602" ht="13.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</row>
    <row r="603" ht="13.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</row>
    <row r="604" ht="13.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</row>
    <row r="605" ht="13.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</row>
    <row r="606" ht="13.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</row>
    <row r="607" ht="13.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</row>
    <row r="608" ht="13.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</row>
    <row r="609" ht="13.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</row>
    <row r="610" ht="13.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</row>
    <row r="611" ht="13.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</row>
    <row r="612" ht="13.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</row>
    <row r="613" ht="13.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</row>
    <row r="614" ht="13.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</row>
    <row r="615" ht="13.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</row>
    <row r="616" ht="13.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</row>
    <row r="617" ht="13.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</row>
    <row r="618" ht="13.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</row>
    <row r="619" ht="13.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</row>
    <row r="620" ht="13.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</row>
    <row r="621" ht="13.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</row>
    <row r="622" ht="13.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</row>
    <row r="623" ht="13.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</row>
    <row r="624" ht="13.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</row>
    <row r="625" ht="13.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</row>
    <row r="626" ht="13.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</row>
    <row r="627" ht="13.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</row>
    <row r="628" ht="13.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</row>
    <row r="629" ht="13.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</row>
    <row r="630" ht="13.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</row>
    <row r="631" ht="13.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</row>
    <row r="632" ht="13.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</row>
    <row r="633" ht="13.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</row>
    <row r="634" ht="13.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</row>
    <row r="635" ht="13.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</row>
    <row r="636" ht="13.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</row>
    <row r="637" ht="13.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</row>
    <row r="638" ht="13.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</row>
    <row r="639" ht="13.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</row>
    <row r="640" ht="13.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</row>
    <row r="641" ht="13.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</row>
    <row r="642" ht="13.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</row>
    <row r="643" ht="13.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</row>
    <row r="644" ht="13.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</row>
    <row r="645" ht="13.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</row>
    <row r="646" ht="13.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</row>
    <row r="647" ht="13.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</row>
    <row r="648" ht="13.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</row>
    <row r="649" ht="13.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</row>
    <row r="650" ht="13.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</row>
    <row r="651" ht="13.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</row>
    <row r="652" ht="13.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</row>
    <row r="653" ht="13.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</row>
    <row r="654" ht="13.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</row>
    <row r="655" ht="13.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</row>
    <row r="656" ht="13.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</row>
    <row r="657" ht="13.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</row>
    <row r="658" ht="13.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</row>
    <row r="659" ht="13.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</row>
    <row r="660" ht="13.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</row>
    <row r="661" ht="13.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</row>
    <row r="662" ht="13.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</row>
    <row r="663" ht="13.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</row>
    <row r="664" ht="13.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</row>
    <row r="665" ht="13.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</row>
    <row r="666" ht="13.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</row>
    <row r="667" ht="13.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</row>
    <row r="668" ht="13.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</row>
    <row r="669" ht="13.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</row>
    <row r="670" ht="13.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</row>
    <row r="671" ht="13.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</row>
    <row r="672" ht="13.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</row>
    <row r="673" ht="13.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</row>
    <row r="674" ht="13.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</row>
    <row r="675" ht="13.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</row>
    <row r="676" ht="13.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</row>
    <row r="677" ht="13.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</row>
    <row r="678" ht="13.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</row>
    <row r="679" ht="13.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</row>
    <row r="680" ht="13.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</row>
    <row r="681" ht="13.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</row>
    <row r="682" ht="13.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</row>
    <row r="683" ht="13.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</row>
    <row r="684" ht="13.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</row>
    <row r="685" ht="13.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</row>
    <row r="686" ht="13.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</row>
    <row r="687" ht="13.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</row>
    <row r="688" ht="13.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</row>
    <row r="689" ht="13.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</row>
    <row r="690" ht="13.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</row>
    <row r="691" ht="13.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</row>
    <row r="692" ht="13.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</row>
    <row r="693" ht="13.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</row>
    <row r="694" ht="13.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</row>
    <row r="695" ht="13.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</row>
    <row r="696" ht="13.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</row>
    <row r="697" ht="13.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</row>
    <row r="698" ht="13.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</row>
    <row r="699" ht="13.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</row>
    <row r="700" ht="13.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</row>
    <row r="701" ht="13.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</row>
    <row r="702" ht="13.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</row>
    <row r="703" ht="13.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</row>
    <row r="704" ht="13.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</row>
    <row r="705" ht="13.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</row>
    <row r="706" ht="13.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</row>
    <row r="707" ht="13.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</row>
    <row r="708" ht="13.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</row>
    <row r="709" ht="13.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</row>
    <row r="710" ht="13.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</row>
    <row r="711" ht="13.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</row>
    <row r="712" ht="13.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</row>
    <row r="713" ht="13.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</row>
    <row r="714" ht="13.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</row>
    <row r="715" ht="13.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</row>
    <row r="716" ht="13.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</row>
    <row r="717" ht="13.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</row>
    <row r="718" ht="13.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</row>
    <row r="719" ht="13.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</row>
    <row r="720" ht="13.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</row>
    <row r="721" ht="13.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</row>
    <row r="722" ht="13.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</row>
    <row r="723" ht="13.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</row>
    <row r="724" ht="13.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</row>
    <row r="725" ht="13.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</row>
    <row r="726" ht="13.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</row>
    <row r="727" ht="13.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</row>
    <row r="728" ht="13.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</row>
    <row r="729" ht="13.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</row>
    <row r="730" ht="13.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</row>
    <row r="731" ht="13.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</row>
    <row r="732" ht="13.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</row>
    <row r="733" ht="13.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</row>
    <row r="734" ht="13.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</row>
    <row r="735" ht="13.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</row>
    <row r="736" ht="13.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</row>
    <row r="737" ht="13.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</row>
    <row r="738" ht="13.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</row>
    <row r="739" ht="13.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</row>
    <row r="740" ht="13.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</row>
    <row r="741" ht="13.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</row>
    <row r="742" ht="13.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</row>
    <row r="743" ht="13.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</row>
    <row r="744" ht="13.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</row>
    <row r="745" ht="13.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</row>
    <row r="746" ht="13.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</row>
    <row r="747" ht="13.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</row>
    <row r="748" ht="13.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</row>
    <row r="749" ht="13.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</row>
    <row r="750" ht="13.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</row>
    <row r="751" ht="13.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</row>
    <row r="752" ht="13.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</row>
    <row r="753" ht="13.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</row>
    <row r="754" ht="13.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</row>
    <row r="755" ht="13.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</row>
    <row r="756" ht="13.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</row>
    <row r="757" ht="13.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</row>
    <row r="758" ht="13.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</row>
    <row r="759" ht="13.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</row>
    <row r="760" ht="13.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</row>
    <row r="761" ht="13.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</row>
    <row r="762" ht="13.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</row>
    <row r="763" ht="13.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</row>
    <row r="764" ht="13.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</row>
    <row r="765" ht="13.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</row>
    <row r="766" ht="13.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</row>
    <row r="767" ht="13.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</row>
    <row r="768" ht="13.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</row>
    <row r="769" ht="13.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</row>
    <row r="770" ht="13.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</row>
    <row r="771" ht="13.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</row>
    <row r="772" ht="13.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</row>
    <row r="773" ht="13.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</row>
    <row r="774" ht="13.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</row>
    <row r="775" ht="13.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</row>
    <row r="776" ht="13.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</row>
    <row r="777" ht="13.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</row>
    <row r="778" ht="13.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</row>
    <row r="779" ht="13.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</row>
    <row r="780" ht="13.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</row>
    <row r="781" ht="13.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</row>
    <row r="782" ht="13.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</row>
    <row r="783" ht="13.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</row>
    <row r="784" ht="13.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</row>
    <row r="785" ht="13.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</row>
    <row r="786" ht="13.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</row>
    <row r="787" ht="13.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</row>
    <row r="788" ht="13.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</row>
    <row r="789" ht="13.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</row>
    <row r="790" ht="13.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</row>
    <row r="791" ht="13.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</row>
    <row r="792" ht="13.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</row>
    <row r="793" ht="13.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</row>
    <row r="794" ht="13.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</row>
    <row r="795" ht="13.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</row>
    <row r="796" ht="13.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</row>
    <row r="797" ht="13.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</row>
    <row r="798" ht="13.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</row>
    <row r="799" ht="13.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</row>
    <row r="800" ht="13.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</row>
    <row r="801" ht="13.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</row>
    <row r="802" ht="13.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</row>
    <row r="803" ht="13.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</row>
    <row r="804" ht="13.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</row>
    <row r="805" ht="13.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</row>
    <row r="806" ht="13.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</row>
    <row r="807" ht="13.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</row>
    <row r="808" ht="13.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</row>
    <row r="809" ht="13.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</row>
    <row r="810" ht="13.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</row>
    <row r="811" ht="13.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</row>
    <row r="812" ht="13.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</row>
    <row r="813" ht="13.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</row>
    <row r="814" ht="13.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</row>
    <row r="815" ht="13.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</row>
    <row r="816" ht="13.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</row>
    <row r="817" ht="13.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</row>
    <row r="818" ht="13.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</row>
    <row r="819" ht="13.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</row>
    <row r="820" ht="13.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</row>
    <row r="821" ht="13.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</row>
    <row r="822" ht="13.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</row>
    <row r="823" ht="13.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</row>
    <row r="824" ht="13.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</row>
    <row r="825" ht="13.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</row>
    <row r="826" ht="13.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</row>
    <row r="827" ht="13.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</row>
    <row r="828" ht="13.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</row>
    <row r="829" ht="13.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</row>
    <row r="830" ht="13.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</row>
    <row r="831" ht="13.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</row>
    <row r="832" ht="13.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</row>
    <row r="833" ht="13.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</row>
    <row r="834" ht="13.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</row>
    <row r="835" ht="13.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</row>
    <row r="836" ht="13.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</row>
    <row r="837" ht="13.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</row>
    <row r="838" ht="13.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</row>
    <row r="839" ht="13.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</row>
    <row r="840" ht="13.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</row>
    <row r="841" ht="13.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</row>
    <row r="842" ht="13.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</row>
    <row r="843" ht="13.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</row>
    <row r="844" ht="13.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</row>
    <row r="845" ht="13.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</row>
    <row r="846" ht="13.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</row>
    <row r="847" ht="13.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</row>
    <row r="848" ht="13.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</row>
    <row r="849" ht="13.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</row>
    <row r="850" ht="13.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</row>
    <row r="851" ht="13.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</row>
    <row r="852" ht="13.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</row>
    <row r="853" ht="13.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</row>
    <row r="854" ht="13.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</row>
    <row r="855" ht="13.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</row>
    <row r="856" ht="13.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</row>
    <row r="857" ht="13.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</row>
    <row r="858" ht="13.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</row>
    <row r="859" ht="13.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</row>
    <row r="860" ht="13.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</row>
    <row r="861" ht="13.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</row>
    <row r="862" ht="13.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</row>
    <row r="863" ht="13.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</row>
    <row r="864" ht="13.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</row>
    <row r="865" ht="13.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</row>
    <row r="866" ht="13.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</row>
    <row r="867" ht="13.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</row>
    <row r="868" ht="13.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</row>
    <row r="869" ht="13.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</row>
    <row r="870" ht="13.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</row>
    <row r="871" ht="13.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</row>
    <row r="872" ht="13.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</row>
    <row r="873" ht="13.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</row>
    <row r="874" ht="13.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</row>
    <row r="875" ht="13.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</row>
    <row r="876" ht="13.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</row>
    <row r="877" ht="13.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</row>
    <row r="878" ht="13.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</row>
    <row r="879" ht="13.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</row>
    <row r="880" ht="13.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</row>
    <row r="881" ht="13.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</row>
    <row r="882" ht="13.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</row>
    <row r="883" ht="13.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</row>
    <row r="884" ht="13.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</row>
    <row r="885" ht="13.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</row>
    <row r="886" ht="13.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</row>
    <row r="887" ht="13.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</row>
    <row r="888" ht="13.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</row>
    <row r="889" ht="13.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</row>
    <row r="890" ht="13.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</row>
    <row r="891" ht="13.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</row>
    <row r="892" ht="13.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</row>
    <row r="893" ht="13.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</row>
    <row r="894" ht="13.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</row>
    <row r="895" ht="13.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</row>
    <row r="896" ht="13.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</row>
    <row r="897" ht="13.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</row>
    <row r="898" ht="13.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</row>
    <row r="899" ht="13.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</row>
    <row r="900" ht="13.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</row>
    <row r="901" ht="13.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</row>
    <row r="902" ht="13.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</row>
    <row r="903" ht="13.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</row>
    <row r="904" ht="13.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</row>
    <row r="905" ht="13.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</row>
    <row r="906" ht="13.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</row>
    <row r="907" ht="13.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</row>
    <row r="908" ht="13.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</row>
    <row r="909" ht="13.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</row>
    <row r="910" ht="13.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</row>
    <row r="911" ht="13.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</row>
    <row r="912" ht="13.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</row>
    <row r="913" ht="13.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</row>
    <row r="914" ht="13.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</row>
    <row r="915" ht="13.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</row>
    <row r="916" ht="13.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</row>
    <row r="917" ht="13.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</row>
    <row r="918" ht="13.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</row>
    <row r="919" ht="13.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</row>
    <row r="920" ht="13.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</row>
    <row r="921" ht="13.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</row>
    <row r="922" ht="13.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</row>
    <row r="923" ht="13.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</row>
    <row r="924" ht="13.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</row>
    <row r="925" ht="13.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</row>
    <row r="926" ht="13.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</row>
    <row r="927" ht="13.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</row>
    <row r="928" ht="13.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</row>
    <row r="929" ht="13.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</row>
    <row r="930" ht="13.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</row>
    <row r="931" ht="13.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</row>
    <row r="932" ht="13.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</row>
    <row r="933" ht="13.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</row>
    <row r="934" ht="13.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</row>
    <row r="935" ht="13.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</row>
    <row r="936" ht="13.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</row>
    <row r="937" ht="13.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</row>
    <row r="938" ht="13.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</row>
    <row r="939" ht="13.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</row>
    <row r="940" ht="13.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</row>
    <row r="941" ht="13.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</row>
    <row r="942" ht="13.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</row>
    <row r="943" ht="13.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</row>
    <row r="944" ht="13.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</row>
    <row r="945" ht="13.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</row>
    <row r="946" ht="13.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</row>
    <row r="947" ht="13.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</row>
    <row r="948" ht="13.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</row>
    <row r="949" ht="13.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</row>
    <row r="950" ht="13.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</row>
    <row r="951" ht="13.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</row>
    <row r="952" ht="13.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</row>
    <row r="953" ht="13.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</row>
    <row r="954" ht="13.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</row>
    <row r="955" ht="13.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</row>
    <row r="956" ht="13.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</row>
    <row r="957" ht="13.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</row>
    <row r="958" ht="13.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</row>
    <row r="959" ht="13.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</row>
    <row r="960" ht="13.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</row>
    <row r="961" ht="13.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</row>
    <row r="962" ht="13.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</row>
    <row r="963" ht="13.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</row>
    <row r="964" ht="13.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</row>
    <row r="965" ht="13.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</row>
    <row r="966" ht="13.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</row>
    <row r="967" ht="13.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</row>
    <row r="968" ht="13.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</row>
    <row r="969" ht="13.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</row>
    <row r="970" ht="13.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</row>
    <row r="971" ht="13.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</row>
    <row r="972" ht="13.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</row>
    <row r="973" ht="13.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</row>
    <row r="974" ht="13.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</row>
    <row r="975" ht="13.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</row>
    <row r="976" ht="13.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</row>
    <row r="977" ht="13.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</row>
    <row r="978" ht="13.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</row>
    <row r="979" ht="13.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</row>
    <row r="980" ht="13.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</row>
    <row r="981" ht="13.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</row>
    <row r="982" ht="13.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</row>
    <row r="983" ht="13.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</row>
    <row r="984" ht="13.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</row>
    <row r="985" ht="13.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</row>
    <row r="986" ht="13.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</row>
    <row r="987" ht="13.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</row>
    <row r="988" ht="13.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</row>
    <row r="989" ht="13.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</row>
    <row r="990" ht="13.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</row>
    <row r="991" ht="13.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</row>
    <row r="992" ht="13.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</row>
    <row r="993" ht="13.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</row>
    <row r="994" ht="13.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</row>
    <row r="995" ht="13.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</row>
    <row r="996" ht="13.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</row>
    <row r="997" ht="13.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</row>
    <row r="998" ht="13.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</row>
    <row r="999" ht="13.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</row>
    <row r="1000" ht="13.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</row>
    <row r="1001" ht="13.5" customHeight="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  <c r="AO1001" s="10"/>
      <c r="AP1001" s="10"/>
      <c r="AQ1001" s="10"/>
      <c r="AR1001" s="10"/>
      <c r="AS1001" s="10"/>
      <c r="AT1001" s="10"/>
      <c r="AU1001" s="10"/>
      <c r="AV1001" s="10"/>
    </row>
    <row r="1002" ht="13.5" customHeight="1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/>
      <c r="AM1002" s="10"/>
      <c r="AN1002" s="10"/>
      <c r="AO1002" s="10"/>
      <c r="AP1002" s="10"/>
      <c r="AQ1002" s="10"/>
      <c r="AR1002" s="10"/>
      <c r="AS1002" s="10"/>
      <c r="AT1002" s="10"/>
      <c r="AU1002" s="10"/>
      <c r="AV1002" s="10"/>
    </row>
    <row r="1003" ht="13.5" customHeight="1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  <c r="AJ1003" s="10"/>
      <c r="AK1003" s="10"/>
      <c r="AL1003" s="10"/>
      <c r="AM1003" s="10"/>
      <c r="AN1003" s="10"/>
      <c r="AO1003" s="10"/>
      <c r="AP1003" s="10"/>
      <c r="AQ1003" s="10"/>
      <c r="AR1003" s="10"/>
      <c r="AS1003" s="10"/>
      <c r="AT1003" s="10"/>
      <c r="AU1003" s="10"/>
      <c r="AV1003" s="10"/>
    </row>
    <row r="1004" ht="13.5" customHeight="1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  <c r="AJ1004" s="10"/>
      <c r="AK1004" s="10"/>
      <c r="AL1004" s="10"/>
      <c r="AM1004" s="10"/>
      <c r="AN1004" s="10"/>
      <c r="AO1004" s="10"/>
      <c r="AP1004" s="10"/>
      <c r="AQ1004" s="10"/>
      <c r="AR1004" s="10"/>
      <c r="AS1004" s="10"/>
      <c r="AT1004" s="10"/>
      <c r="AU1004" s="10"/>
      <c r="AV1004" s="10"/>
    </row>
    <row r="1005" ht="13.5" customHeight="1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  <c r="AJ1005" s="10"/>
      <c r="AK1005" s="10"/>
      <c r="AL1005" s="10"/>
      <c r="AM1005" s="10"/>
      <c r="AN1005" s="10"/>
      <c r="AO1005" s="10"/>
      <c r="AP1005" s="10"/>
      <c r="AQ1005" s="10"/>
      <c r="AR1005" s="10"/>
      <c r="AS1005" s="10"/>
      <c r="AT1005" s="10"/>
      <c r="AU1005" s="10"/>
      <c r="AV1005" s="10"/>
    </row>
    <row r="1006" ht="13.5" customHeight="1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  <c r="AJ1006" s="10"/>
      <c r="AK1006" s="10"/>
      <c r="AL1006" s="10"/>
      <c r="AM1006" s="10"/>
      <c r="AN1006" s="10"/>
      <c r="AO1006" s="10"/>
      <c r="AP1006" s="10"/>
      <c r="AQ1006" s="10"/>
      <c r="AR1006" s="10"/>
      <c r="AS1006" s="10"/>
      <c r="AT1006" s="10"/>
      <c r="AU1006" s="10"/>
      <c r="AV1006" s="10"/>
    </row>
    <row r="1007" ht="13.5" customHeight="1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  <c r="AJ1007" s="10"/>
      <c r="AK1007" s="10"/>
      <c r="AL1007" s="10"/>
      <c r="AM1007" s="10"/>
      <c r="AN1007" s="10"/>
      <c r="AO1007" s="10"/>
      <c r="AP1007" s="10"/>
      <c r="AQ1007" s="10"/>
      <c r="AR1007" s="10"/>
      <c r="AS1007" s="10"/>
      <c r="AT1007" s="10"/>
      <c r="AU1007" s="10"/>
      <c r="AV1007" s="10"/>
    </row>
    <row r="1008" ht="13.5" customHeight="1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  <c r="AJ1008" s="10"/>
      <c r="AK1008" s="10"/>
      <c r="AL1008" s="10"/>
      <c r="AM1008" s="10"/>
      <c r="AN1008" s="10"/>
      <c r="AO1008" s="10"/>
      <c r="AP1008" s="10"/>
      <c r="AQ1008" s="10"/>
      <c r="AR1008" s="10"/>
      <c r="AS1008" s="10"/>
      <c r="AT1008" s="10"/>
      <c r="AU1008" s="10"/>
      <c r="AV1008" s="10"/>
    </row>
    <row r="1009" ht="13.5" customHeight="1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  <c r="AJ1009" s="10"/>
      <c r="AK1009" s="10"/>
      <c r="AL1009" s="10"/>
      <c r="AM1009" s="10"/>
      <c r="AN1009" s="10"/>
      <c r="AO1009" s="10"/>
      <c r="AP1009" s="10"/>
      <c r="AQ1009" s="10"/>
      <c r="AR1009" s="10"/>
      <c r="AS1009" s="10"/>
      <c r="AT1009" s="10"/>
      <c r="AU1009" s="10"/>
      <c r="AV1009" s="10"/>
    </row>
    <row r="1010" ht="13.5" customHeight="1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  <c r="AJ1010" s="10"/>
      <c r="AK1010" s="10"/>
      <c r="AL1010" s="10"/>
      <c r="AM1010" s="10"/>
      <c r="AN1010" s="10"/>
      <c r="AO1010" s="10"/>
      <c r="AP1010" s="10"/>
      <c r="AQ1010" s="10"/>
      <c r="AR1010" s="10"/>
      <c r="AS1010" s="10"/>
      <c r="AT1010" s="10"/>
      <c r="AU1010" s="10"/>
      <c r="AV1010" s="10"/>
    </row>
    <row r="1011" ht="13.5" customHeight="1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  <c r="AJ1011" s="10"/>
      <c r="AK1011" s="10"/>
      <c r="AL1011" s="10"/>
      <c r="AM1011" s="10"/>
      <c r="AN1011" s="10"/>
      <c r="AO1011" s="10"/>
      <c r="AP1011" s="10"/>
      <c r="AQ1011" s="10"/>
      <c r="AR1011" s="10"/>
      <c r="AS1011" s="10"/>
      <c r="AT1011" s="10"/>
      <c r="AU1011" s="10"/>
      <c r="AV1011" s="10"/>
    </row>
    <row r="1012" ht="13.5" customHeight="1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  <c r="AJ1012" s="10"/>
      <c r="AK1012" s="10"/>
      <c r="AL1012" s="10"/>
      <c r="AM1012" s="10"/>
      <c r="AN1012" s="10"/>
      <c r="AO1012" s="10"/>
      <c r="AP1012" s="10"/>
      <c r="AQ1012" s="10"/>
      <c r="AR1012" s="10"/>
      <c r="AS1012" s="10"/>
      <c r="AT1012" s="10"/>
      <c r="AU1012" s="10"/>
      <c r="AV1012" s="10"/>
    </row>
    <row r="1013" ht="13.5" customHeight="1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  <c r="AJ1013" s="10"/>
      <c r="AK1013" s="10"/>
      <c r="AL1013" s="10"/>
      <c r="AM1013" s="10"/>
      <c r="AN1013" s="10"/>
      <c r="AO1013" s="10"/>
      <c r="AP1013" s="10"/>
      <c r="AQ1013" s="10"/>
      <c r="AR1013" s="10"/>
      <c r="AS1013" s="10"/>
      <c r="AT1013" s="10"/>
      <c r="AU1013" s="10"/>
      <c r="AV1013" s="10"/>
    </row>
    <row r="1014" ht="13.5" customHeight="1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  <c r="AJ1014" s="10"/>
      <c r="AK1014" s="10"/>
      <c r="AL1014" s="10"/>
      <c r="AM1014" s="10"/>
      <c r="AN1014" s="10"/>
      <c r="AO1014" s="10"/>
      <c r="AP1014" s="10"/>
      <c r="AQ1014" s="10"/>
      <c r="AR1014" s="10"/>
      <c r="AS1014" s="10"/>
      <c r="AT1014" s="10"/>
      <c r="AU1014" s="10"/>
      <c r="AV1014" s="10"/>
    </row>
    <row r="1015" ht="13.5" customHeight="1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/>
      <c r="AH1015" s="10"/>
      <c r="AI1015" s="10"/>
      <c r="AJ1015" s="10"/>
      <c r="AK1015" s="10"/>
      <c r="AL1015" s="10"/>
      <c r="AM1015" s="10"/>
      <c r="AN1015" s="10"/>
      <c r="AO1015" s="10"/>
      <c r="AP1015" s="10"/>
      <c r="AQ1015" s="10"/>
      <c r="AR1015" s="10"/>
      <c r="AS1015" s="10"/>
      <c r="AT1015" s="10"/>
      <c r="AU1015" s="10"/>
      <c r="AV1015" s="10"/>
    </row>
    <row r="1016" ht="13.5" customHeight="1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10"/>
      <c r="X1016" s="10"/>
      <c r="Y1016" s="10"/>
      <c r="Z1016" s="10"/>
      <c r="AA1016" s="10"/>
      <c r="AB1016" s="10"/>
      <c r="AC1016" s="10"/>
      <c r="AD1016" s="10"/>
      <c r="AE1016" s="10"/>
      <c r="AF1016" s="10"/>
      <c r="AG1016" s="10"/>
      <c r="AH1016" s="10"/>
      <c r="AI1016" s="10"/>
      <c r="AJ1016" s="10"/>
      <c r="AK1016" s="10"/>
      <c r="AL1016" s="10"/>
      <c r="AM1016" s="10"/>
      <c r="AN1016" s="10"/>
      <c r="AO1016" s="10"/>
      <c r="AP1016" s="10"/>
      <c r="AQ1016" s="10"/>
      <c r="AR1016" s="10"/>
      <c r="AS1016" s="10"/>
      <c r="AT1016" s="10"/>
      <c r="AU1016" s="10"/>
      <c r="AV1016" s="10"/>
    </row>
    <row r="1017" ht="13.5" customHeight="1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10"/>
      <c r="X1017" s="10"/>
      <c r="Y1017" s="10"/>
      <c r="Z1017" s="10"/>
      <c r="AA1017" s="10"/>
      <c r="AB1017" s="10"/>
      <c r="AC1017" s="10"/>
      <c r="AD1017" s="10"/>
      <c r="AE1017" s="10"/>
      <c r="AF1017" s="10"/>
      <c r="AG1017" s="10"/>
      <c r="AH1017" s="10"/>
      <c r="AI1017" s="10"/>
      <c r="AJ1017" s="10"/>
      <c r="AK1017" s="10"/>
      <c r="AL1017" s="10"/>
      <c r="AM1017" s="10"/>
      <c r="AN1017" s="10"/>
      <c r="AO1017" s="10"/>
      <c r="AP1017" s="10"/>
      <c r="AQ1017" s="10"/>
      <c r="AR1017" s="10"/>
      <c r="AS1017" s="10"/>
      <c r="AT1017" s="10"/>
      <c r="AU1017" s="10"/>
      <c r="AV1017" s="10"/>
    </row>
    <row r="1018" ht="13.5" customHeight="1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10"/>
      <c r="X1018" s="10"/>
      <c r="Y1018" s="10"/>
      <c r="Z1018" s="10"/>
      <c r="AA1018" s="10"/>
      <c r="AB1018" s="10"/>
      <c r="AC1018" s="10"/>
      <c r="AD1018" s="10"/>
      <c r="AE1018" s="10"/>
      <c r="AF1018" s="10"/>
      <c r="AG1018" s="10"/>
      <c r="AH1018" s="10"/>
      <c r="AI1018" s="10"/>
      <c r="AJ1018" s="10"/>
      <c r="AK1018" s="10"/>
      <c r="AL1018" s="10"/>
      <c r="AM1018" s="10"/>
      <c r="AN1018" s="10"/>
      <c r="AO1018" s="10"/>
      <c r="AP1018" s="10"/>
      <c r="AQ1018" s="10"/>
      <c r="AR1018" s="10"/>
      <c r="AS1018" s="10"/>
      <c r="AT1018" s="10"/>
      <c r="AU1018" s="10"/>
      <c r="AV1018" s="10"/>
    </row>
    <row r="1019" ht="13.5" customHeight="1">
      <c r="A1019" s="8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10"/>
      <c r="X1019" s="10"/>
      <c r="Y1019" s="10"/>
      <c r="Z1019" s="10"/>
      <c r="AA1019" s="10"/>
      <c r="AB1019" s="10"/>
      <c r="AC1019" s="10"/>
      <c r="AD1019" s="10"/>
      <c r="AE1019" s="10"/>
      <c r="AF1019" s="10"/>
      <c r="AG1019" s="10"/>
      <c r="AH1019" s="10"/>
      <c r="AI1019" s="10"/>
      <c r="AJ1019" s="10"/>
      <c r="AK1019" s="10"/>
      <c r="AL1019" s="10"/>
      <c r="AM1019" s="10"/>
      <c r="AN1019" s="10"/>
      <c r="AO1019" s="10"/>
      <c r="AP1019" s="10"/>
      <c r="AQ1019" s="10"/>
      <c r="AR1019" s="10"/>
      <c r="AS1019" s="10"/>
      <c r="AT1019" s="10"/>
      <c r="AU1019" s="10"/>
      <c r="AV1019" s="10"/>
    </row>
    <row r="1020" ht="13.5" customHeight="1">
      <c r="A1020" s="8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10"/>
      <c r="X1020" s="10"/>
      <c r="Y1020" s="10"/>
      <c r="Z1020" s="10"/>
      <c r="AA1020" s="10"/>
      <c r="AB1020" s="10"/>
      <c r="AC1020" s="10"/>
      <c r="AD1020" s="10"/>
      <c r="AE1020" s="10"/>
      <c r="AF1020" s="10"/>
      <c r="AG1020" s="10"/>
      <c r="AH1020" s="10"/>
      <c r="AI1020" s="10"/>
      <c r="AJ1020" s="10"/>
      <c r="AK1020" s="10"/>
      <c r="AL1020" s="10"/>
      <c r="AM1020" s="10"/>
      <c r="AN1020" s="10"/>
      <c r="AO1020" s="10"/>
      <c r="AP1020" s="10"/>
      <c r="AQ1020" s="10"/>
      <c r="AR1020" s="10"/>
      <c r="AS1020" s="10"/>
      <c r="AT1020" s="10"/>
      <c r="AU1020" s="10"/>
      <c r="AV1020" s="10"/>
    </row>
    <row r="1021" ht="13.5" customHeight="1">
      <c r="A1021" s="8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10"/>
      <c r="X1021" s="10"/>
      <c r="Y1021" s="10"/>
      <c r="Z1021" s="10"/>
      <c r="AA1021" s="10"/>
      <c r="AB1021" s="10"/>
      <c r="AC1021" s="10"/>
      <c r="AD1021" s="10"/>
      <c r="AE1021" s="10"/>
      <c r="AF1021" s="10"/>
      <c r="AG1021" s="10"/>
      <c r="AH1021" s="10"/>
      <c r="AI1021" s="10"/>
      <c r="AJ1021" s="10"/>
      <c r="AK1021" s="10"/>
      <c r="AL1021" s="10"/>
      <c r="AM1021" s="10"/>
      <c r="AN1021" s="10"/>
      <c r="AO1021" s="10"/>
      <c r="AP1021" s="10"/>
      <c r="AQ1021" s="10"/>
      <c r="AR1021" s="10"/>
      <c r="AS1021" s="10"/>
      <c r="AT1021" s="10"/>
      <c r="AU1021" s="10"/>
      <c r="AV1021" s="10"/>
    </row>
    <row r="1022" ht="13.5" customHeight="1">
      <c r="A1022" s="8"/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10"/>
      <c r="X1022" s="10"/>
      <c r="Y1022" s="10"/>
      <c r="Z1022" s="10"/>
      <c r="AA1022" s="10"/>
      <c r="AB1022" s="10"/>
      <c r="AC1022" s="10"/>
      <c r="AD1022" s="10"/>
      <c r="AE1022" s="10"/>
      <c r="AF1022" s="10"/>
      <c r="AG1022" s="10"/>
      <c r="AH1022" s="10"/>
      <c r="AI1022" s="10"/>
      <c r="AJ1022" s="10"/>
      <c r="AK1022" s="10"/>
      <c r="AL1022" s="10"/>
      <c r="AM1022" s="10"/>
      <c r="AN1022" s="10"/>
      <c r="AO1022" s="10"/>
      <c r="AP1022" s="10"/>
      <c r="AQ1022" s="10"/>
      <c r="AR1022" s="10"/>
      <c r="AS1022" s="10"/>
      <c r="AT1022" s="10"/>
      <c r="AU1022" s="10"/>
      <c r="AV1022" s="10"/>
    </row>
    <row r="1023" ht="13.5" customHeight="1">
      <c r="A1023" s="8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10"/>
      <c r="X1023" s="10"/>
      <c r="Y1023" s="10"/>
      <c r="Z1023" s="10"/>
      <c r="AA1023" s="10"/>
      <c r="AB1023" s="10"/>
      <c r="AC1023" s="10"/>
      <c r="AD1023" s="10"/>
      <c r="AE1023" s="10"/>
      <c r="AF1023" s="10"/>
      <c r="AG1023" s="10"/>
      <c r="AH1023" s="10"/>
      <c r="AI1023" s="10"/>
      <c r="AJ1023" s="10"/>
      <c r="AK1023" s="10"/>
      <c r="AL1023" s="10"/>
      <c r="AM1023" s="10"/>
      <c r="AN1023" s="10"/>
      <c r="AO1023" s="10"/>
      <c r="AP1023" s="10"/>
      <c r="AQ1023" s="10"/>
      <c r="AR1023" s="10"/>
      <c r="AS1023" s="10"/>
      <c r="AT1023" s="10"/>
      <c r="AU1023" s="10"/>
      <c r="AV1023" s="10"/>
    </row>
    <row r="1024" ht="13.5" customHeight="1">
      <c r="A1024" s="8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10"/>
      <c r="X1024" s="10"/>
      <c r="Y1024" s="10"/>
      <c r="Z1024" s="10"/>
      <c r="AA1024" s="10"/>
      <c r="AB1024" s="10"/>
      <c r="AC1024" s="10"/>
      <c r="AD1024" s="10"/>
      <c r="AE1024" s="10"/>
      <c r="AF1024" s="10"/>
      <c r="AG1024" s="10"/>
      <c r="AH1024" s="10"/>
      <c r="AI1024" s="10"/>
      <c r="AJ1024" s="10"/>
      <c r="AK1024" s="10"/>
      <c r="AL1024" s="10"/>
      <c r="AM1024" s="10"/>
      <c r="AN1024" s="10"/>
      <c r="AO1024" s="10"/>
      <c r="AP1024" s="10"/>
      <c r="AQ1024" s="10"/>
      <c r="AR1024" s="10"/>
      <c r="AS1024" s="10"/>
      <c r="AT1024" s="10"/>
      <c r="AU1024" s="10"/>
      <c r="AV1024" s="10"/>
    </row>
    <row r="1025" ht="13.5" customHeight="1">
      <c r="A1025" s="8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10"/>
      <c r="X1025" s="10"/>
      <c r="Y1025" s="10"/>
      <c r="Z1025" s="10"/>
      <c r="AA1025" s="10"/>
      <c r="AB1025" s="10"/>
      <c r="AC1025" s="10"/>
      <c r="AD1025" s="10"/>
      <c r="AE1025" s="10"/>
      <c r="AF1025" s="10"/>
      <c r="AG1025" s="10"/>
      <c r="AH1025" s="10"/>
      <c r="AI1025" s="10"/>
      <c r="AJ1025" s="10"/>
      <c r="AK1025" s="10"/>
      <c r="AL1025" s="10"/>
      <c r="AM1025" s="10"/>
      <c r="AN1025" s="10"/>
      <c r="AO1025" s="10"/>
      <c r="AP1025" s="10"/>
      <c r="AQ1025" s="10"/>
      <c r="AR1025" s="10"/>
      <c r="AS1025" s="10"/>
      <c r="AT1025" s="10"/>
      <c r="AU1025" s="10"/>
      <c r="AV1025" s="10"/>
    </row>
    <row r="1026" ht="13.5" customHeight="1">
      <c r="A1026" s="8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10"/>
      <c r="X1026" s="10"/>
      <c r="Y1026" s="10"/>
      <c r="Z1026" s="10"/>
      <c r="AA1026" s="10"/>
      <c r="AB1026" s="10"/>
      <c r="AC1026" s="10"/>
      <c r="AD1026" s="10"/>
      <c r="AE1026" s="10"/>
      <c r="AF1026" s="10"/>
      <c r="AG1026" s="10"/>
      <c r="AH1026" s="10"/>
      <c r="AI1026" s="10"/>
      <c r="AJ1026" s="10"/>
      <c r="AK1026" s="10"/>
      <c r="AL1026" s="10"/>
      <c r="AM1026" s="10"/>
      <c r="AN1026" s="10"/>
      <c r="AO1026" s="10"/>
      <c r="AP1026" s="10"/>
      <c r="AQ1026" s="10"/>
      <c r="AR1026" s="10"/>
      <c r="AS1026" s="10"/>
      <c r="AT1026" s="10"/>
      <c r="AU1026" s="10"/>
      <c r="AV1026" s="10"/>
    </row>
    <row r="1027" ht="13.5" customHeight="1">
      <c r="A1027" s="8"/>
      <c r="B1027" s="8"/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10"/>
      <c r="X1027" s="10"/>
      <c r="Y1027" s="10"/>
      <c r="Z1027" s="10"/>
      <c r="AA1027" s="10"/>
      <c r="AB1027" s="10"/>
      <c r="AC1027" s="10"/>
      <c r="AD1027" s="10"/>
      <c r="AE1027" s="10"/>
      <c r="AF1027" s="10"/>
      <c r="AG1027" s="10"/>
      <c r="AH1027" s="10"/>
      <c r="AI1027" s="10"/>
      <c r="AJ1027" s="10"/>
      <c r="AK1027" s="10"/>
      <c r="AL1027" s="10"/>
      <c r="AM1027" s="10"/>
      <c r="AN1027" s="10"/>
      <c r="AO1027" s="10"/>
      <c r="AP1027" s="10"/>
      <c r="AQ1027" s="10"/>
      <c r="AR1027" s="10"/>
      <c r="AS1027" s="10"/>
      <c r="AT1027" s="10"/>
      <c r="AU1027" s="10"/>
      <c r="AV1027" s="10"/>
    </row>
    <row r="1028" ht="13.5" customHeight="1">
      <c r="A1028" s="8"/>
      <c r="B1028" s="8"/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10"/>
      <c r="X1028" s="10"/>
      <c r="Y1028" s="10"/>
      <c r="Z1028" s="10"/>
      <c r="AA1028" s="10"/>
      <c r="AB1028" s="10"/>
      <c r="AC1028" s="10"/>
      <c r="AD1028" s="10"/>
      <c r="AE1028" s="10"/>
      <c r="AF1028" s="10"/>
      <c r="AG1028" s="10"/>
      <c r="AH1028" s="10"/>
      <c r="AI1028" s="10"/>
      <c r="AJ1028" s="10"/>
      <c r="AK1028" s="10"/>
      <c r="AL1028" s="10"/>
      <c r="AM1028" s="10"/>
      <c r="AN1028" s="10"/>
      <c r="AO1028" s="10"/>
      <c r="AP1028" s="10"/>
      <c r="AQ1028" s="10"/>
      <c r="AR1028" s="10"/>
      <c r="AS1028" s="10"/>
      <c r="AT1028" s="10"/>
      <c r="AU1028" s="10"/>
      <c r="AV1028" s="10"/>
    </row>
    <row r="1029" ht="13.5" customHeight="1">
      <c r="A1029" s="8"/>
      <c r="B1029" s="8"/>
      <c r="C1029" s="8"/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10"/>
      <c r="X1029" s="10"/>
      <c r="Y1029" s="10"/>
      <c r="Z1029" s="10"/>
      <c r="AA1029" s="10"/>
      <c r="AB1029" s="10"/>
      <c r="AC1029" s="10"/>
      <c r="AD1029" s="10"/>
      <c r="AE1029" s="10"/>
      <c r="AF1029" s="10"/>
      <c r="AG1029" s="10"/>
      <c r="AH1029" s="10"/>
      <c r="AI1029" s="10"/>
      <c r="AJ1029" s="10"/>
      <c r="AK1029" s="10"/>
      <c r="AL1029" s="10"/>
      <c r="AM1029" s="10"/>
      <c r="AN1029" s="10"/>
      <c r="AO1029" s="10"/>
      <c r="AP1029" s="10"/>
      <c r="AQ1029" s="10"/>
      <c r="AR1029" s="10"/>
      <c r="AS1029" s="10"/>
      <c r="AT1029" s="10"/>
      <c r="AU1029" s="10"/>
      <c r="AV1029" s="10"/>
    </row>
    <row r="1030" ht="13.5" customHeight="1">
      <c r="A1030" s="8"/>
      <c r="B1030" s="8"/>
      <c r="C1030" s="8"/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10"/>
      <c r="X1030" s="10"/>
      <c r="Y1030" s="10"/>
      <c r="Z1030" s="10"/>
      <c r="AA1030" s="10"/>
      <c r="AB1030" s="10"/>
      <c r="AC1030" s="10"/>
      <c r="AD1030" s="10"/>
      <c r="AE1030" s="10"/>
      <c r="AF1030" s="10"/>
      <c r="AG1030" s="10"/>
      <c r="AH1030" s="10"/>
      <c r="AI1030" s="10"/>
      <c r="AJ1030" s="10"/>
      <c r="AK1030" s="10"/>
      <c r="AL1030" s="10"/>
      <c r="AM1030" s="10"/>
      <c r="AN1030" s="10"/>
      <c r="AO1030" s="10"/>
      <c r="AP1030" s="10"/>
      <c r="AQ1030" s="10"/>
      <c r="AR1030" s="10"/>
      <c r="AS1030" s="10"/>
      <c r="AT1030" s="10"/>
      <c r="AU1030" s="10"/>
      <c r="AV1030" s="10"/>
    </row>
    <row r="1031" ht="13.5" customHeight="1">
      <c r="A1031" s="8"/>
      <c r="B1031" s="8"/>
      <c r="C1031" s="8"/>
      <c r="D1031" s="8"/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10"/>
      <c r="X1031" s="10"/>
      <c r="Y1031" s="10"/>
      <c r="Z1031" s="10"/>
      <c r="AA1031" s="10"/>
      <c r="AB1031" s="10"/>
      <c r="AC1031" s="10"/>
      <c r="AD1031" s="10"/>
      <c r="AE1031" s="10"/>
      <c r="AF1031" s="10"/>
      <c r="AG1031" s="10"/>
      <c r="AH1031" s="10"/>
      <c r="AI1031" s="10"/>
      <c r="AJ1031" s="10"/>
      <c r="AK1031" s="10"/>
      <c r="AL1031" s="10"/>
      <c r="AM1031" s="10"/>
      <c r="AN1031" s="10"/>
      <c r="AO1031" s="10"/>
      <c r="AP1031" s="10"/>
      <c r="AQ1031" s="10"/>
      <c r="AR1031" s="10"/>
      <c r="AS1031" s="10"/>
      <c r="AT1031" s="10"/>
      <c r="AU1031" s="10"/>
      <c r="AV1031" s="10"/>
    </row>
    <row r="1032" ht="13.5" customHeight="1">
      <c r="A1032" s="8"/>
      <c r="B1032" s="8"/>
      <c r="C1032" s="8"/>
      <c r="D1032" s="8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10"/>
      <c r="X1032" s="10"/>
      <c r="Y1032" s="10"/>
      <c r="Z1032" s="10"/>
      <c r="AA1032" s="10"/>
      <c r="AB1032" s="10"/>
      <c r="AC1032" s="10"/>
      <c r="AD1032" s="10"/>
      <c r="AE1032" s="10"/>
      <c r="AF1032" s="10"/>
      <c r="AG1032" s="10"/>
      <c r="AH1032" s="10"/>
      <c r="AI1032" s="10"/>
      <c r="AJ1032" s="10"/>
      <c r="AK1032" s="10"/>
      <c r="AL1032" s="10"/>
      <c r="AM1032" s="10"/>
      <c r="AN1032" s="10"/>
      <c r="AO1032" s="10"/>
      <c r="AP1032" s="10"/>
      <c r="AQ1032" s="10"/>
      <c r="AR1032" s="10"/>
      <c r="AS1032" s="10"/>
      <c r="AT1032" s="10"/>
      <c r="AU1032" s="10"/>
      <c r="AV1032" s="10"/>
    </row>
    <row r="1033" ht="13.5" customHeight="1">
      <c r="A1033" s="8"/>
      <c r="B1033" s="8"/>
      <c r="C1033" s="8"/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10"/>
      <c r="X1033" s="10"/>
      <c r="Y1033" s="10"/>
      <c r="Z1033" s="10"/>
      <c r="AA1033" s="10"/>
      <c r="AB1033" s="10"/>
      <c r="AC1033" s="10"/>
      <c r="AD1033" s="10"/>
      <c r="AE1033" s="10"/>
      <c r="AF1033" s="10"/>
      <c r="AG1033" s="10"/>
      <c r="AH1033" s="10"/>
      <c r="AI1033" s="10"/>
      <c r="AJ1033" s="10"/>
      <c r="AK1033" s="10"/>
      <c r="AL1033" s="10"/>
      <c r="AM1033" s="10"/>
      <c r="AN1033" s="10"/>
      <c r="AO1033" s="10"/>
      <c r="AP1033" s="10"/>
      <c r="AQ1033" s="10"/>
      <c r="AR1033" s="10"/>
      <c r="AS1033" s="10"/>
      <c r="AT1033" s="10"/>
      <c r="AU1033" s="10"/>
      <c r="AV1033" s="10"/>
    </row>
    <row r="1034" ht="13.5" customHeight="1">
      <c r="A1034" s="8"/>
      <c r="B1034" s="8"/>
      <c r="C1034" s="8"/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10"/>
      <c r="X1034" s="10"/>
      <c r="Y1034" s="10"/>
      <c r="Z1034" s="10"/>
      <c r="AA1034" s="10"/>
      <c r="AB1034" s="10"/>
      <c r="AC1034" s="10"/>
      <c r="AD1034" s="10"/>
      <c r="AE1034" s="10"/>
      <c r="AF1034" s="10"/>
      <c r="AG1034" s="10"/>
      <c r="AH1034" s="10"/>
      <c r="AI1034" s="10"/>
      <c r="AJ1034" s="10"/>
      <c r="AK1034" s="10"/>
      <c r="AL1034" s="10"/>
      <c r="AM1034" s="10"/>
      <c r="AN1034" s="10"/>
      <c r="AO1034" s="10"/>
      <c r="AP1034" s="10"/>
      <c r="AQ1034" s="10"/>
      <c r="AR1034" s="10"/>
      <c r="AS1034" s="10"/>
      <c r="AT1034" s="10"/>
      <c r="AU1034" s="10"/>
      <c r="AV1034" s="10"/>
    </row>
    <row r="1035" ht="13.5" customHeight="1">
      <c r="A1035" s="8"/>
      <c r="B1035" s="8"/>
      <c r="C1035" s="8"/>
      <c r="D1035" s="8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10"/>
      <c r="X1035" s="10"/>
      <c r="Y1035" s="10"/>
      <c r="Z1035" s="10"/>
      <c r="AA1035" s="10"/>
      <c r="AB1035" s="10"/>
      <c r="AC1035" s="10"/>
      <c r="AD1035" s="10"/>
      <c r="AE1035" s="10"/>
      <c r="AF1035" s="10"/>
      <c r="AG1035" s="10"/>
      <c r="AH1035" s="10"/>
      <c r="AI1035" s="10"/>
      <c r="AJ1035" s="10"/>
      <c r="AK1035" s="10"/>
      <c r="AL1035" s="10"/>
      <c r="AM1035" s="10"/>
      <c r="AN1035" s="10"/>
      <c r="AO1035" s="10"/>
      <c r="AP1035" s="10"/>
      <c r="AQ1035" s="10"/>
      <c r="AR1035" s="10"/>
      <c r="AS1035" s="10"/>
      <c r="AT1035" s="10"/>
      <c r="AU1035" s="10"/>
      <c r="AV1035" s="10"/>
    </row>
    <row r="1036" ht="13.5" customHeight="1">
      <c r="A1036" s="8"/>
      <c r="B1036" s="8"/>
      <c r="C1036" s="8"/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10"/>
      <c r="X1036" s="10"/>
      <c r="Y1036" s="10"/>
      <c r="Z1036" s="10"/>
      <c r="AA1036" s="10"/>
      <c r="AB1036" s="10"/>
      <c r="AC1036" s="10"/>
      <c r="AD1036" s="10"/>
      <c r="AE1036" s="10"/>
      <c r="AF1036" s="10"/>
      <c r="AG1036" s="10"/>
      <c r="AH1036" s="10"/>
      <c r="AI1036" s="10"/>
      <c r="AJ1036" s="10"/>
      <c r="AK1036" s="10"/>
      <c r="AL1036" s="10"/>
      <c r="AM1036" s="10"/>
      <c r="AN1036" s="10"/>
      <c r="AO1036" s="10"/>
      <c r="AP1036" s="10"/>
      <c r="AQ1036" s="10"/>
      <c r="AR1036" s="10"/>
      <c r="AS1036" s="10"/>
      <c r="AT1036" s="10"/>
      <c r="AU1036" s="10"/>
      <c r="AV1036" s="10"/>
    </row>
    <row r="1037" ht="13.5" customHeight="1">
      <c r="A1037" s="8"/>
      <c r="B1037" s="8"/>
      <c r="C1037" s="8"/>
      <c r="D1037" s="8"/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10"/>
      <c r="X1037" s="10"/>
      <c r="Y1037" s="10"/>
      <c r="Z1037" s="10"/>
      <c r="AA1037" s="10"/>
      <c r="AB1037" s="10"/>
      <c r="AC1037" s="10"/>
      <c r="AD1037" s="10"/>
      <c r="AE1037" s="10"/>
      <c r="AF1037" s="10"/>
      <c r="AG1037" s="10"/>
      <c r="AH1037" s="10"/>
      <c r="AI1037" s="10"/>
      <c r="AJ1037" s="10"/>
      <c r="AK1037" s="10"/>
      <c r="AL1037" s="10"/>
      <c r="AM1037" s="10"/>
      <c r="AN1037" s="10"/>
      <c r="AO1037" s="10"/>
      <c r="AP1037" s="10"/>
      <c r="AQ1037" s="10"/>
      <c r="AR1037" s="10"/>
      <c r="AS1037" s="10"/>
      <c r="AT1037" s="10"/>
      <c r="AU1037" s="10"/>
      <c r="AV1037" s="10"/>
    </row>
    <row r="1038" ht="13.5" customHeight="1">
      <c r="A1038" s="8"/>
      <c r="B1038" s="8"/>
      <c r="C1038" s="8"/>
      <c r="D1038" s="8"/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10"/>
      <c r="X1038" s="10"/>
      <c r="Y1038" s="10"/>
      <c r="Z1038" s="10"/>
      <c r="AA1038" s="10"/>
      <c r="AB1038" s="10"/>
      <c r="AC1038" s="10"/>
      <c r="AD1038" s="10"/>
      <c r="AE1038" s="10"/>
      <c r="AF1038" s="10"/>
      <c r="AG1038" s="10"/>
      <c r="AH1038" s="10"/>
      <c r="AI1038" s="10"/>
      <c r="AJ1038" s="10"/>
      <c r="AK1038" s="10"/>
      <c r="AL1038" s="10"/>
      <c r="AM1038" s="10"/>
      <c r="AN1038" s="10"/>
      <c r="AO1038" s="10"/>
      <c r="AP1038" s="10"/>
      <c r="AQ1038" s="10"/>
      <c r="AR1038" s="10"/>
      <c r="AS1038" s="10"/>
      <c r="AT1038" s="10"/>
      <c r="AU1038" s="10"/>
      <c r="AV1038" s="10"/>
    </row>
    <row r="1039" ht="13.5" customHeight="1">
      <c r="A1039" s="8"/>
      <c r="B1039" s="8"/>
      <c r="C1039" s="8"/>
      <c r="D1039" s="8"/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10"/>
      <c r="X1039" s="10"/>
      <c r="Y1039" s="10"/>
      <c r="Z1039" s="10"/>
      <c r="AA1039" s="10"/>
      <c r="AB1039" s="10"/>
      <c r="AC1039" s="10"/>
      <c r="AD1039" s="10"/>
      <c r="AE1039" s="10"/>
      <c r="AF1039" s="10"/>
      <c r="AG1039" s="10"/>
      <c r="AH1039" s="10"/>
      <c r="AI1039" s="10"/>
      <c r="AJ1039" s="10"/>
      <c r="AK1039" s="10"/>
      <c r="AL1039" s="10"/>
      <c r="AM1039" s="10"/>
      <c r="AN1039" s="10"/>
      <c r="AO1039" s="10"/>
      <c r="AP1039" s="10"/>
      <c r="AQ1039" s="10"/>
      <c r="AR1039" s="10"/>
      <c r="AS1039" s="10"/>
      <c r="AT1039" s="10"/>
      <c r="AU1039" s="10"/>
      <c r="AV1039" s="10"/>
    </row>
    <row r="1040" ht="13.5" customHeight="1">
      <c r="A1040" s="8"/>
      <c r="B1040" s="8"/>
      <c r="C1040" s="8"/>
      <c r="D1040" s="8"/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10"/>
      <c r="X1040" s="10"/>
      <c r="Y1040" s="10"/>
      <c r="Z1040" s="10"/>
      <c r="AA1040" s="10"/>
      <c r="AB1040" s="10"/>
      <c r="AC1040" s="10"/>
      <c r="AD1040" s="10"/>
      <c r="AE1040" s="10"/>
      <c r="AF1040" s="10"/>
      <c r="AG1040" s="10"/>
      <c r="AH1040" s="10"/>
      <c r="AI1040" s="10"/>
      <c r="AJ1040" s="10"/>
      <c r="AK1040" s="10"/>
      <c r="AL1040" s="10"/>
      <c r="AM1040" s="10"/>
      <c r="AN1040" s="10"/>
      <c r="AO1040" s="10"/>
      <c r="AP1040" s="10"/>
      <c r="AQ1040" s="10"/>
      <c r="AR1040" s="10"/>
      <c r="AS1040" s="10"/>
      <c r="AT1040" s="10"/>
      <c r="AU1040" s="10"/>
      <c r="AV1040" s="10"/>
    </row>
    <row r="1041" ht="13.5" customHeight="1">
      <c r="A1041" s="8"/>
      <c r="B1041" s="8"/>
      <c r="C1041" s="8"/>
      <c r="D1041" s="8"/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10"/>
      <c r="X1041" s="10"/>
      <c r="Y1041" s="10"/>
      <c r="Z1041" s="10"/>
      <c r="AA1041" s="10"/>
      <c r="AB1041" s="10"/>
      <c r="AC1041" s="10"/>
      <c r="AD1041" s="10"/>
      <c r="AE1041" s="10"/>
      <c r="AF1041" s="10"/>
      <c r="AG1041" s="10"/>
      <c r="AH1041" s="10"/>
      <c r="AI1041" s="10"/>
      <c r="AJ1041" s="10"/>
      <c r="AK1041" s="10"/>
      <c r="AL1041" s="10"/>
      <c r="AM1041" s="10"/>
      <c r="AN1041" s="10"/>
      <c r="AO1041" s="10"/>
      <c r="AP1041" s="10"/>
      <c r="AQ1041" s="10"/>
      <c r="AR1041" s="10"/>
      <c r="AS1041" s="10"/>
      <c r="AT1041" s="10"/>
      <c r="AU1041" s="10"/>
      <c r="AV1041" s="10"/>
    </row>
    <row r="1042" ht="13.5" customHeight="1">
      <c r="A1042" s="8"/>
      <c r="B1042" s="8"/>
      <c r="C1042" s="8"/>
      <c r="D1042" s="8"/>
      <c r="E1042" s="8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10"/>
      <c r="X1042" s="10"/>
      <c r="Y1042" s="10"/>
      <c r="Z1042" s="10"/>
      <c r="AA1042" s="10"/>
      <c r="AB1042" s="10"/>
      <c r="AC1042" s="10"/>
      <c r="AD1042" s="10"/>
      <c r="AE1042" s="10"/>
      <c r="AF1042" s="10"/>
      <c r="AG1042" s="10"/>
      <c r="AH1042" s="10"/>
      <c r="AI1042" s="10"/>
      <c r="AJ1042" s="10"/>
      <c r="AK1042" s="10"/>
      <c r="AL1042" s="10"/>
      <c r="AM1042" s="10"/>
      <c r="AN1042" s="10"/>
      <c r="AO1042" s="10"/>
      <c r="AP1042" s="10"/>
      <c r="AQ1042" s="10"/>
      <c r="AR1042" s="10"/>
      <c r="AS1042" s="10"/>
      <c r="AT1042" s="10"/>
      <c r="AU1042" s="10"/>
      <c r="AV1042" s="10"/>
    </row>
    <row r="1043" ht="13.5" customHeight="1">
      <c r="A1043" s="8"/>
      <c r="B1043" s="8"/>
      <c r="C1043" s="8"/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10"/>
      <c r="X1043" s="10"/>
      <c r="Y1043" s="10"/>
      <c r="Z1043" s="10"/>
      <c r="AA1043" s="10"/>
      <c r="AB1043" s="10"/>
      <c r="AC1043" s="10"/>
      <c r="AD1043" s="10"/>
      <c r="AE1043" s="10"/>
      <c r="AF1043" s="10"/>
      <c r="AG1043" s="10"/>
      <c r="AH1043" s="10"/>
      <c r="AI1043" s="10"/>
      <c r="AJ1043" s="10"/>
      <c r="AK1043" s="10"/>
      <c r="AL1043" s="10"/>
      <c r="AM1043" s="10"/>
      <c r="AN1043" s="10"/>
      <c r="AO1043" s="10"/>
      <c r="AP1043" s="10"/>
      <c r="AQ1043" s="10"/>
      <c r="AR1043" s="10"/>
      <c r="AS1043" s="10"/>
      <c r="AT1043" s="10"/>
      <c r="AU1043" s="10"/>
      <c r="AV1043" s="10"/>
    </row>
    <row r="1044" ht="13.5" customHeight="1">
      <c r="A1044" s="8"/>
      <c r="B1044" s="8"/>
      <c r="C1044" s="8"/>
      <c r="D1044" s="8"/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10"/>
      <c r="X1044" s="10"/>
      <c r="Y1044" s="10"/>
      <c r="Z1044" s="10"/>
      <c r="AA1044" s="10"/>
      <c r="AB1044" s="10"/>
      <c r="AC1044" s="10"/>
      <c r="AD1044" s="10"/>
      <c r="AE1044" s="10"/>
      <c r="AF1044" s="10"/>
      <c r="AG1044" s="10"/>
      <c r="AH1044" s="10"/>
      <c r="AI1044" s="10"/>
      <c r="AJ1044" s="10"/>
      <c r="AK1044" s="10"/>
      <c r="AL1044" s="10"/>
      <c r="AM1044" s="10"/>
      <c r="AN1044" s="10"/>
      <c r="AO1044" s="10"/>
      <c r="AP1044" s="10"/>
      <c r="AQ1044" s="10"/>
      <c r="AR1044" s="10"/>
      <c r="AS1044" s="10"/>
      <c r="AT1044" s="10"/>
      <c r="AU1044" s="10"/>
      <c r="AV1044" s="10"/>
    </row>
    <row r="1045" ht="13.5" customHeight="1">
      <c r="A1045" s="8"/>
      <c r="B1045" s="8"/>
      <c r="C1045" s="8"/>
      <c r="D1045" s="8"/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10"/>
      <c r="X1045" s="10"/>
      <c r="Y1045" s="10"/>
      <c r="Z1045" s="10"/>
      <c r="AA1045" s="10"/>
      <c r="AB1045" s="10"/>
      <c r="AC1045" s="10"/>
      <c r="AD1045" s="10"/>
      <c r="AE1045" s="10"/>
      <c r="AF1045" s="10"/>
      <c r="AG1045" s="10"/>
      <c r="AH1045" s="10"/>
      <c r="AI1045" s="10"/>
      <c r="AJ1045" s="10"/>
      <c r="AK1045" s="10"/>
      <c r="AL1045" s="10"/>
      <c r="AM1045" s="10"/>
      <c r="AN1045" s="10"/>
      <c r="AO1045" s="10"/>
      <c r="AP1045" s="10"/>
      <c r="AQ1045" s="10"/>
      <c r="AR1045" s="10"/>
      <c r="AS1045" s="10"/>
      <c r="AT1045" s="10"/>
      <c r="AU1045" s="10"/>
      <c r="AV1045" s="10"/>
    </row>
    <row r="1046" ht="13.5" customHeight="1">
      <c r="A1046" s="8"/>
      <c r="B1046" s="8"/>
      <c r="C1046" s="8"/>
      <c r="D1046" s="8"/>
      <c r="E1046" s="8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10"/>
      <c r="X1046" s="10"/>
      <c r="Y1046" s="10"/>
      <c r="Z1046" s="10"/>
      <c r="AA1046" s="10"/>
      <c r="AB1046" s="10"/>
      <c r="AC1046" s="10"/>
      <c r="AD1046" s="10"/>
      <c r="AE1046" s="10"/>
      <c r="AF1046" s="10"/>
      <c r="AG1046" s="10"/>
      <c r="AH1046" s="10"/>
      <c r="AI1046" s="10"/>
      <c r="AJ1046" s="10"/>
      <c r="AK1046" s="10"/>
      <c r="AL1046" s="10"/>
      <c r="AM1046" s="10"/>
      <c r="AN1046" s="10"/>
      <c r="AO1046" s="10"/>
      <c r="AP1046" s="10"/>
      <c r="AQ1046" s="10"/>
      <c r="AR1046" s="10"/>
      <c r="AS1046" s="10"/>
      <c r="AT1046" s="10"/>
      <c r="AU1046" s="10"/>
      <c r="AV1046" s="10"/>
    </row>
    <row r="1047" ht="13.5" customHeight="1">
      <c r="A1047" s="8"/>
      <c r="B1047" s="8"/>
      <c r="C1047" s="8"/>
      <c r="D1047" s="8"/>
      <c r="E1047" s="8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10"/>
      <c r="X1047" s="10"/>
      <c r="Y1047" s="10"/>
      <c r="Z1047" s="10"/>
      <c r="AA1047" s="10"/>
      <c r="AB1047" s="10"/>
      <c r="AC1047" s="10"/>
      <c r="AD1047" s="10"/>
      <c r="AE1047" s="10"/>
      <c r="AF1047" s="10"/>
      <c r="AG1047" s="10"/>
      <c r="AH1047" s="10"/>
      <c r="AI1047" s="10"/>
      <c r="AJ1047" s="10"/>
      <c r="AK1047" s="10"/>
      <c r="AL1047" s="10"/>
      <c r="AM1047" s="10"/>
      <c r="AN1047" s="10"/>
      <c r="AO1047" s="10"/>
      <c r="AP1047" s="10"/>
      <c r="AQ1047" s="10"/>
      <c r="AR1047" s="10"/>
      <c r="AS1047" s="10"/>
      <c r="AT1047" s="10"/>
      <c r="AU1047" s="10"/>
      <c r="AV1047" s="10"/>
    </row>
    <row r="1048" ht="13.5" customHeight="1">
      <c r="A1048" s="8"/>
      <c r="B1048" s="8"/>
      <c r="C1048" s="8"/>
      <c r="D1048" s="8"/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10"/>
      <c r="X1048" s="10"/>
      <c r="Y1048" s="10"/>
      <c r="Z1048" s="10"/>
      <c r="AA1048" s="10"/>
      <c r="AB1048" s="10"/>
      <c r="AC1048" s="10"/>
      <c r="AD1048" s="10"/>
      <c r="AE1048" s="10"/>
      <c r="AF1048" s="10"/>
      <c r="AG1048" s="10"/>
      <c r="AH1048" s="10"/>
      <c r="AI1048" s="10"/>
      <c r="AJ1048" s="10"/>
      <c r="AK1048" s="10"/>
      <c r="AL1048" s="10"/>
      <c r="AM1048" s="10"/>
      <c r="AN1048" s="10"/>
      <c r="AO1048" s="10"/>
      <c r="AP1048" s="10"/>
      <c r="AQ1048" s="10"/>
      <c r="AR1048" s="10"/>
      <c r="AS1048" s="10"/>
      <c r="AT1048" s="10"/>
      <c r="AU1048" s="10"/>
      <c r="AV1048" s="10"/>
    </row>
    <row r="1049" ht="13.5" customHeight="1">
      <c r="A1049" s="8"/>
      <c r="B1049" s="8"/>
      <c r="C1049" s="8"/>
      <c r="D1049" s="8"/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10"/>
      <c r="X1049" s="10"/>
      <c r="Y1049" s="10"/>
      <c r="Z1049" s="10"/>
      <c r="AA1049" s="10"/>
      <c r="AB1049" s="10"/>
      <c r="AC1049" s="10"/>
      <c r="AD1049" s="10"/>
      <c r="AE1049" s="10"/>
      <c r="AF1049" s="10"/>
      <c r="AG1049" s="10"/>
      <c r="AH1049" s="10"/>
      <c r="AI1049" s="10"/>
      <c r="AJ1049" s="10"/>
      <c r="AK1049" s="10"/>
      <c r="AL1049" s="10"/>
      <c r="AM1049" s="10"/>
      <c r="AN1049" s="10"/>
      <c r="AO1049" s="10"/>
      <c r="AP1049" s="10"/>
      <c r="AQ1049" s="10"/>
      <c r="AR1049" s="10"/>
      <c r="AS1049" s="10"/>
      <c r="AT1049" s="10"/>
      <c r="AU1049" s="10"/>
      <c r="AV1049" s="10"/>
    </row>
    <row r="1050" ht="13.5" customHeight="1">
      <c r="A1050" s="8"/>
      <c r="B1050" s="8"/>
      <c r="C1050" s="8"/>
      <c r="D1050" s="8"/>
      <c r="E1050" s="8"/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10"/>
      <c r="X1050" s="10"/>
      <c r="Y1050" s="10"/>
      <c r="Z1050" s="10"/>
      <c r="AA1050" s="10"/>
      <c r="AB1050" s="10"/>
      <c r="AC1050" s="10"/>
      <c r="AD1050" s="10"/>
      <c r="AE1050" s="10"/>
      <c r="AF1050" s="10"/>
      <c r="AG1050" s="10"/>
      <c r="AH1050" s="10"/>
      <c r="AI1050" s="10"/>
      <c r="AJ1050" s="10"/>
      <c r="AK1050" s="10"/>
      <c r="AL1050" s="10"/>
      <c r="AM1050" s="10"/>
      <c r="AN1050" s="10"/>
      <c r="AO1050" s="10"/>
      <c r="AP1050" s="10"/>
      <c r="AQ1050" s="10"/>
      <c r="AR1050" s="10"/>
      <c r="AS1050" s="10"/>
      <c r="AT1050" s="10"/>
      <c r="AU1050" s="10"/>
      <c r="AV1050" s="10"/>
    </row>
    <row r="1051" ht="13.5" customHeight="1">
      <c r="A1051" s="8"/>
      <c r="B1051" s="8"/>
      <c r="C1051" s="8"/>
      <c r="D1051" s="8"/>
      <c r="E1051" s="8"/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10"/>
      <c r="X1051" s="10"/>
      <c r="Y1051" s="10"/>
      <c r="Z1051" s="10"/>
      <c r="AA1051" s="10"/>
      <c r="AB1051" s="10"/>
      <c r="AC1051" s="10"/>
      <c r="AD1051" s="10"/>
      <c r="AE1051" s="10"/>
      <c r="AF1051" s="10"/>
      <c r="AG1051" s="10"/>
      <c r="AH1051" s="10"/>
      <c r="AI1051" s="10"/>
      <c r="AJ1051" s="10"/>
      <c r="AK1051" s="10"/>
      <c r="AL1051" s="10"/>
      <c r="AM1051" s="10"/>
      <c r="AN1051" s="10"/>
      <c r="AO1051" s="10"/>
      <c r="AP1051" s="10"/>
      <c r="AQ1051" s="10"/>
      <c r="AR1051" s="10"/>
      <c r="AS1051" s="10"/>
      <c r="AT1051" s="10"/>
      <c r="AU1051" s="10"/>
      <c r="AV1051" s="10"/>
    </row>
    <row r="1052" ht="13.5" customHeight="1">
      <c r="A1052" s="8"/>
      <c r="B1052" s="8"/>
      <c r="C1052" s="8"/>
      <c r="D1052" s="8"/>
      <c r="E1052" s="8"/>
      <c r="F1052" s="8"/>
      <c r="G1052" s="8"/>
      <c r="H1052" s="8"/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10"/>
      <c r="X1052" s="10"/>
      <c r="Y1052" s="10"/>
      <c r="Z1052" s="10"/>
      <c r="AA1052" s="10"/>
      <c r="AB1052" s="10"/>
      <c r="AC1052" s="10"/>
      <c r="AD1052" s="10"/>
      <c r="AE1052" s="10"/>
      <c r="AF1052" s="10"/>
      <c r="AG1052" s="10"/>
      <c r="AH1052" s="10"/>
      <c r="AI1052" s="10"/>
      <c r="AJ1052" s="10"/>
      <c r="AK1052" s="10"/>
      <c r="AL1052" s="10"/>
      <c r="AM1052" s="10"/>
      <c r="AN1052" s="10"/>
      <c r="AO1052" s="10"/>
      <c r="AP1052" s="10"/>
      <c r="AQ1052" s="10"/>
      <c r="AR1052" s="10"/>
      <c r="AS1052" s="10"/>
      <c r="AT1052" s="10"/>
      <c r="AU1052" s="10"/>
      <c r="AV1052" s="10"/>
    </row>
    <row r="1053" ht="13.5" customHeight="1">
      <c r="A1053" s="8"/>
      <c r="B1053" s="8"/>
      <c r="C1053" s="8"/>
      <c r="D1053" s="8"/>
      <c r="E1053" s="8"/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10"/>
      <c r="X1053" s="10"/>
      <c r="Y1053" s="10"/>
      <c r="Z1053" s="10"/>
      <c r="AA1053" s="10"/>
      <c r="AB1053" s="10"/>
      <c r="AC1053" s="10"/>
      <c r="AD1053" s="10"/>
      <c r="AE1053" s="10"/>
      <c r="AF1053" s="10"/>
      <c r="AG1053" s="10"/>
      <c r="AH1053" s="10"/>
      <c r="AI1053" s="10"/>
      <c r="AJ1053" s="10"/>
      <c r="AK1053" s="10"/>
      <c r="AL1053" s="10"/>
      <c r="AM1053" s="10"/>
      <c r="AN1053" s="10"/>
      <c r="AO1053" s="10"/>
      <c r="AP1053" s="10"/>
      <c r="AQ1053" s="10"/>
      <c r="AR1053" s="10"/>
      <c r="AS1053" s="10"/>
      <c r="AT1053" s="10"/>
      <c r="AU1053" s="10"/>
      <c r="AV1053" s="10"/>
    </row>
    <row r="1054" ht="13.5" customHeight="1">
      <c r="A1054" s="8"/>
      <c r="B1054" s="8"/>
      <c r="C1054" s="8"/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10"/>
      <c r="X1054" s="10"/>
      <c r="Y1054" s="10"/>
      <c r="Z1054" s="10"/>
      <c r="AA1054" s="10"/>
      <c r="AB1054" s="10"/>
      <c r="AC1054" s="10"/>
      <c r="AD1054" s="10"/>
      <c r="AE1054" s="10"/>
      <c r="AF1054" s="10"/>
      <c r="AG1054" s="10"/>
      <c r="AH1054" s="10"/>
      <c r="AI1054" s="10"/>
      <c r="AJ1054" s="10"/>
      <c r="AK1054" s="10"/>
      <c r="AL1054" s="10"/>
      <c r="AM1054" s="10"/>
      <c r="AN1054" s="10"/>
      <c r="AO1054" s="10"/>
      <c r="AP1054" s="10"/>
      <c r="AQ1054" s="10"/>
      <c r="AR1054" s="10"/>
      <c r="AS1054" s="10"/>
      <c r="AT1054" s="10"/>
      <c r="AU1054" s="10"/>
      <c r="AV1054" s="10"/>
    </row>
    <row r="1055" ht="13.5" customHeight="1">
      <c r="A1055" s="8"/>
      <c r="B1055" s="8"/>
      <c r="C1055" s="8"/>
      <c r="D1055" s="8"/>
      <c r="E1055" s="8"/>
      <c r="F1055" s="8"/>
      <c r="G1055" s="8"/>
      <c r="H1055" s="8"/>
      <c r="I1055" s="8"/>
      <c r="J1055" s="8"/>
      <c r="K1055" s="8"/>
      <c r="L1055" s="8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10"/>
      <c r="X1055" s="10"/>
      <c r="Y1055" s="10"/>
      <c r="Z1055" s="10"/>
      <c r="AA1055" s="10"/>
      <c r="AB1055" s="10"/>
      <c r="AC1055" s="10"/>
      <c r="AD1055" s="10"/>
      <c r="AE1055" s="10"/>
      <c r="AF1055" s="10"/>
      <c r="AG1055" s="10"/>
      <c r="AH1055" s="10"/>
      <c r="AI1055" s="10"/>
      <c r="AJ1055" s="10"/>
      <c r="AK1055" s="10"/>
      <c r="AL1055" s="10"/>
      <c r="AM1055" s="10"/>
      <c r="AN1055" s="10"/>
      <c r="AO1055" s="10"/>
      <c r="AP1055" s="10"/>
      <c r="AQ1055" s="10"/>
      <c r="AR1055" s="10"/>
      <c r="AS1055" s="10"/>
      <c r="AT1055" s="10"/>
      <c r="AU1055" s="10"/>
      <c r="AV1055" s="10"/>
    </row>
    <row r="1056" ht="13.5" customHeight="1">
      <c r="A1056" s="8"/>
      <c r="B1056" s="8"/>
      <c r="C1056" s="8"/>
      <c r="D1056" s="8"/>
      <c r="E1056" s="8"/>
      <c r="F1056" s="8"/>
      <c r="G1056" s="8"/>
      <c r="H1056" s="8"/>
      <c r="I1056" s="8"/>
      <c r="J1056" s="8"/>
      <c r="K1056" s="8"/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10"/>
      <c r="X1056" s="10"/>
      <c r="Y1056" s="10"/>
      <c r="Z1056" s="10"/>
      <c r="AA1056" s="10"/>
      <c r="AB1056" s="10"/>
      <c r="AC1056" s="10"/>
      <c r="AD1056" s="10"/>
      <c r="AE1056" s="10"/>
      <c r="AF1056" s="10"/>
      <c r="AG1056" s="10"/>
      <c r="AH1056" s="10"/>
      <c r="AI1056" s="10"/>
      <c r="AJ1056" s="10"/>
      <c r="AK1056" s="10"/>
      <c r="AL1056" s="10"/>
      <c r="AM1056" s="10"/>
      <c r="AN1056" s="10"/>
      <c r="AO1056" s="10"/>
      <c r="AP1056" s="10"/>
      <c r="AQ1056" s="10"/>
      <c r="AR1056" s="10"/>
      <c r="AS1056" s="10"/>
      <c r="AT1056" s="10"/>
      <c r="AU1056" s="10"/>
      <c r="AV1056" s="10"/>
    </row>
    <row r="1057" ht="13.5" customHeight="1">
      <c r="A1057" s="8"/>
      <c r="B1057" s="8"/>
      <c r="C1057" s="8"/>
      <c r="D1057" s="8"/>
      <c r="E1057" s="8"/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10"/>
      <c r="X1057" s="10"/>
      <c r="Y1057" s="10"/>
      <c r="Z1057" s="10"/>
      <c r="AA1057" s="10"/>
      <c r="AB1057" s="10"/>
      <c r="AC1057" s="10"/>
      <c r="AD1057" s="10"/>
      <c r="AE1057" s="10"/>
      <c r="AF1057" s="10"/>
      <c r="AG1057" s="10"/>
      <c r="AH1057" s="10"/>
      <c r="AI1057" s="10"/>
      <c r="AJ1057" s="10"/>
      <c r="AK1057" s="10"/>
      <c r="AL1057" s="10"/>
      <c r="AM1057" s="10"/>
      <c r="AN1057" s="10"/>
      <c r="AO1057" s="10"/>
      <c r="AP1057" s="10"/>
      <c r="AQ1057" s="10"/>
      <c r="AR1057" s="10"/>
      <c r="AS1057" s="10"/>
      <c r="AT1057" s="10"/>
      <c r="AU1057" s="10"/>
      <c r="AV1057" s="10"/>
    </row>
    <row r="1058" ht="13.5" customHeight="1">
      <c r="A1058" s="8"/>
      <c r="B1058" s="8"/>
      <c r="C1058" s="8"/>
      <c r="D1058" s="8"/>
      <c r="E1058" s="8"/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10"/>
      <c r="X1058" s="10"/>
      <c r="Y1058" s="10"/>
      <c r="Z1058" s="10"/>
      <c r="AA1058" s="10"/>
      <c r="AB1058" s="10"/>
      <c r="AC1058" s="10"/>
      <c r="AD1058" s="10"/>
      <c r="AE1058" s="10"/>
      <c r="AF1058" s="10"/>
      <c r="AG1058" s="10"/>
      <c r="AH1058" s="10"/>
      <c r="AI1058" s="10"/>
      <c r="AJ1058" s="10"/>
      <c r="AK1058" s="10"/>
      <c r="AL1058" s="10"/>
      <c r="AM1058" s="10"/>
      <c r="AN1058" s="10"/>
      <c r="AO1058" s="10"/>
      <c r="AP1058" s="10"/>
      <c r="AQ1058" s="10"/>
      <c r="AR1058" s="10"/>
      <c r="AS1058" s="10"/>
      <c r="AT1058" s="10"/>
      <c r="AU1058" s="10"/>
      <c r="AV1058" s="10"/>
    </row>
    <row r="1059" ht="13.5" customHeight="1">
      <c r="A1059" s="8"/>
      <c r="B1059" s="8"/>
      <c r="C1059" s="8"/>
      <c r="D1059" s="8"/>
      <c r="E1059" s="8"/>
      <c r="F1059" s="8"/>
      <c r="G1059" s="8"/>
      <c r="H1059" s="8"/>
      <c r="I1059" s="8"/>
      <c r="J1059" s="8"/>
      <c r="K1059" s="8"/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10"/>
      <c r="X1059" s="10"/>
      <c r="Y1059" s="10"/>
      <c r="Z1059" s="10"/>
      <c r="AA1059" s="10"/>
      <c r="AB1059" s="10"/>
      <c r="AC1059" s="10"/>
      <c r="AD1059" s="10"/>
      <c r="AE1059" s="10"/>
      <c r="AF1059" s="10"/>
      <c r="AG1059" s="10"/>
      <c r="AH1059" s="10"/>
      <c r="AI1059" s="10"/>
      <c r="AJ1059" s="10"/>
      <c r="AK1059" s="10"/>
      <c r="AL1059" s="10"/>
      <c r="AM1059" s="10"/>
      <c r="AN1059" s="10"/>
      <c r="AO1059" s="10"/>
      <c r="AP1059" s="10"/>
      <c r="AQ1059" s="10"/>
      <c r="AR1059" s="10"/>
      <c r="AS1059" s="10"/>
      <c r="AT1059" s="10"/>
      <c r="AU1059" s="10"/>
      <c r="AV1059" s="10"/>
    </row>
    <row r="1060" ht="13.5" customHeight="1">
      <c r="A1060" s="8"/>
      <c r="B1060" s="8"/>
      <c r="C1060" s="8"/>
      <c r="D1060" s="8"/>
      <c r="E1060" s="8"/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10"/>
      <c r="X1060" s="10"/>
      <c r="Y1060" s="10"/>
      <c r="Z1060" s="10"/>
      <c r="AA1060" s="10"/>
      <c r="AB1060" s="10"/>
      <c r="AC1060" s="10"/>
      <c r="AD1060" s="10"/>
      <c r="AE1060" s="10"/>
      <c r="AF1060" s="10"/>
      <c r="AG1060" s="10"/>
      <c r="AH1060" s="10"/>
      <c r="AI1060" s="10"/>
      <c r="AJ1060" s="10"/>
      <c r="AK1060" s="10"/>
      <c r="AL1060" s="10"/>
      <c r="AM1060" s="10"/>
      <c r="AN1060" s="10"/>
      <c r="AO1060" s="10"/>
      <c r="AP1060" s="10"/>
      <c r="AQ1060" s="10"/>
      <c r="AR1060" s="10"/>
      <c r="AS1060" s="10"/>
      <c r="AT1060" s="10"/>
      <c r="AU1060" s="10"/>
      <c r="AV1060" s="10"/>
    </row>
    <row r="1061" ht="13.5" customHeight="1">
      <c r="A1061" s="8"/>
      <c r="B1061" s="8"/>
      <c r="C1061" s="8"/>
      <c r="D1061" s="8"/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10"/>
      <c r="X1061" s="10"/>
      <c r="Y1061" s="10"/>
      <c r="Z1061" s="10"/>
      <c r="AA1061" s="10"/>
      <c r="AB1061" s="10"/>
      <c r="AC1061" s="10"/>
      <c r="AD1061" s="10"/>
      <c r="AE1061" s="10"/>
      <c r="AF1061" s="10"/>
      <c r="AG1061" s="10"/>
      <c r="AH1061" s="10"/>
      <c r="AI1061" s="10"/>
      <c r="AJ1061" s="10"/>
      <c r="AK1061" s="10"/>
      <c r="AL1061" s="10"/>
      <c r="AM1061" s="10"/>
      <c r="AN1061" s="10"/>
      <c r="AO1061" s="10"/>
      <c r="AP1061" s="10"/>
      <c r="AQ1061" s="10"/>
      <c r="AR1061" s="10"/>
      <c r="AS1061" s="10"/>
      <c r="AT1061" s="10"/>
      <c r="AU1061" s="10"/>
      <c r="AV1061" s="10"/>
    </row>
    <row r="1062" ht="13.5" customHeight="1">
      <c r="A1062" s="8"/>
      <c r="B1062" s="8"/>
      <c r="C1062" s="8"/>
      <c r="D1062" s="8"/>
      <c r="E1062" s="8"/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10"/>
      <c r="X1062" s="10"/>
      <c r="Y1062" s="10"/>
      <c r="Z1062" s="10"/>
      <c r="AA1062" s="10"/>
      <c r="AB1062" s="10"/>
      <c r="AC1062" s="10"/>
      <c r="AD1062" s="10"/>
      <c r="AE1062" s="10"/>
      <c r="AF1062" s="10"/>
      <c r="AG1062" s="10"/>
      <c r="AH1062" s="10"/>
      <c r="AI1062" s="10"/>
      <c r="AJ1062" s="10"/>
      <c r="AK1062" s="10"/>
      <c r="AL1062" s="10"/>
      <c r="AM1062" s="10"/>
      <c r="AN1062" s="10"/>
      <c r="AO1062" s="10"/>
      <c r="AP1062" s="10"/>
      <c r="AQ1062" s="10"/>
      <c r="AR1062" s="10"/>
      <c r="AS1062" s="10"/>
      <c r="AT1062" s="10"/>
      <c r="AU1062" s="10"/>
      <c r="AV1062" s="10"/>
    </row>
    <row r="1063" ht="13.5" customHeight="1">
      <c r="A1063" s="8"/>
      <c r="B1063" s="8"/>
      <c r="C1063" s="8"/>
      <c r="D1063" s="8"/>
      <c r="E1063" s="8"/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10"/>
      <c r="X1063" s="10"/>
      <c r="Y1063" s="10"/>
      <c r="Z1063" s="10"/>
      <c r="AA1063" s="10"/>
      <c r="AB1063" s="10"/>
      <c r="AC1063" s="10"/>
      <c r="AD1063" s="10"/>
      <c r="AE1063" s="10"/>
      <c r="AF1063" s="10"/>
      <c r="AG1063" s="10"/>
      <c r="AH1063" s="10"/>
      <c r="AI1063" s="10"/>
      <c r="AJ1063" s="10"/>
      <c r="AK1063" s="10"/>
      <c r="AL1063" s="10"/>
      <c r="AM1063" s="10"/>
      <c r="AN1063" s="10"/>
      <c r="AO1063" s="10"/>
      <c r="AP1063" s="10"/>
      <c r="AQ1063" s="10"/>
      <c r="AR1063" s="10"/>
      <c r="AS1063" s="10"/>
      <c r="AT1063" s="10"/>
      <c r="AU1063" s="10"/>
      <c r="AV1063" s="10"/>
    </row>
    <row r="1064" ht="13.5" customHeight="1">
      <c r="A1064" s="8"/>
      <c r="B1064" s="8"/>
      <c r="C1064" s="8"/>
      <c r="D1064" s="8"/>
      <c r="E1064" s="8"/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10"/>
      <c r="X1064" s="10"/>
      <c r="Y1064" s="10"/>
      <c r="Z1064" s="10"/>
      <c r="AA1064" s="10"/>
      <c r="AB1064" s="10"/>
      <c r="AC1064" s="10"/>
      <c r="AD1064" s="10"/>
      <c r="AE1064" s="10"/>
      <c r="AF1064" s="10"/>
      <c r="AG1064" s="10"/>
      <c r="AH1064" s="10"/>
      <c r="AI1064" s="10"/>
      <c r="AJ1064" s="10"/>
      <c r="AK1064" s="10"/>
      <c r="AL1064" s="10"/>
      <c r="AM1064" s="10"/>
      <c r="AN1064" s="10"/>
      <c r="AO1064" s="10"/>
      <c r="AP1064" s="10"/>
      <c r="AQ1064" s="10"/>
      <c r="AR1064" s="10"/>
      <c r="AS1064" s="10"/>
      <c r="AT1064" s="10"/>
      <c r="AU1064" s="10"/>
      <c r="AV1064" s="10"/>
    </row>
    <row r="1065" ht="13.5" customHeight="1">
      <c r="A1065" s="8"/>
      <c r="B1065" s="8"/>
      <c r="C1065" s="8"/>
      <c r="D1065" s="8"/>
      <c r="E1065" s="8"/>
      <c r="F1065" s="8"/>
      <c r="G1065" s="8"/>
      <c r="H1065" s="8"/>
      <c r="I1065" s="8"/>
      <c r="J1065" s="8"/>
      <c r="K1065" s="8"/>
      <c r="L1065" s="8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10"/>
      <c r="X1065" s="10"/>
      <c r="Y1065" s="10"/>
      <c r="Z1065" s="10"/>
      <c r="AA1065" s="10"/>
      <c r="AB1065" s="10"/>
      <c r="AC1065" s="10"/>
      <c r="AD1065" s="10"/>
      <c r="AE1065" s="10"/>
      <c r="AF1065" s="10"/>
      <c r="AG1065" s="10"/>
      <c r="AH1065" s="10"/>
      <c r="AI1065" s="10"/>
      <c r="AJ1065" s="10"/>
      <c r="AK1065" s="10"/>
      <c r="AL1065" s="10"/>
      <c r="AM1065" s="10"/>
      <c r="AN1065" s="10"/>
      <c r="AO1065" s="10"/>
      <c r="AP1065" s="10"/>
      <c r="AQ1065" s="10"/>
      <c r="AR1065" s="10"/>
      <c r="AS1065" s="10"/>
      <c r="AT1065" s="10"/>
      <c r="AU1065" s="10"/>
      <c r="AV1065" s="10"/>
    </row>
    <row r="1066" ht="13.5" customHeight="1">
      <c r="A1066" s="8"/>
      <c r="B1066" s="8"/>
      <c r="C1066" s="8"/>
      <c r="D1066" s="8"/>
      <c r="E1066" s="8"/>
      <c r="F1066" s="8"/>
      <c r="G1066" s="8"/>
      <c r="H1066" s="8"/>
      <c r="I1066" s="8"/>
      <c r="J1066" s="8"/>
      <c r="K1066" s="8"/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10"/>
      <c r="X1066" s="10"/>
      <c r="Y1066" s="10"/>
      <c r="Z1066" s="10"/>
      <c r="AA1066" s="10"/>
      <c r="AB1066" s="10"/>
      <c r="AC1066" s="10"/>
      <c r="AD1066" s="10"/>
      <c r="AE1066" s="10"/>
      <c r="AF1066" s="10"/>
      <c r="AG1066" s="10"/>
      <c r="AH1066" s="10"/>
      <c r="AI1066" s="10"/>
      <c r="AJ1066" s="10"/>
      <c r="AK1066" s="10"/>
      <c r="AL1066" s="10"/>
      <c r="AM1066" s="10"/>
      <c r="AN1066" s="10"/>
      <c r="AO1066" s="10"/>
      <c r="AP1066" s="10"/>
      <c r="AQ1066" s="10"/>
      <c r="AR1066" s="10"/>
      <c r="AS1066" s="10"/>
      <c r="AT1066" s="10"/>
      <c r="AU1066" s="10"/>
      <c r="AV1066" s="10"/>
    </row>
    <row r="1067" ht="13.5" customHeight="1">
      <c r="A1067" s="8"/>
      <c r="B1067" s="8"/>
      <c r="C1067" s="8"/>
      <c r="D1067" s="8"/>
      <c r="E1067" s="8"/>
      <c r="F1067" s="8"/>
      <c r="G1067" s="8"/>
      <c r="H1067" s="8"/>
      <c r="I1067" s="8"/>
      <c r="J1067" s="8"/>
      <c r="K1067" s="8"/>
      <c r="L1067" s="8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10"/>
      <c r="X1067" s="10"/>
      <c r="Y1067" s="10"/>
      <c r="Z1067" s="10"/>
      <c r="AA1067" s="10"/>
      <c r="AB1067" s="10"/>
      <c r="AC1067" s="10"/>
      <c r="AD1067" s="10"/>
      <c r="AE1067" s="10"/>
      <c r="AF1067" s="10"/>
      <c r="AG1067" s="10"/>
      <c r="AH1067" s="10"/>
      <c r="AI1067" s="10"/>
      <c r="AJ1067" s="10"/>
      <c r="AK1067" s="10"/>
      <c r="AL1067" s="10"/>
      <c r="AM1067" s="10"/>
      <c r="AN1067" s="10"/>
      <c r="AO1067" s="10"/>
      <c r="AP1067" s="10"/>
      <c r="AQ1067" s="10"/>
      <c r="AR1067" s="10"/>
      <c r="AS1067" s="10"/>
      <c r="AT1067" s="10"/>
      <c r="AU1067" s="10"/>
      <c r="AV1067" s="10"/>
    </row>
    <row r="1068" ht="13.5" customHeight="1">
      <c r="A1068" s="8"/>
      <c r="B1068" s="8"/>
      <c r="C1068" s="8"/>
      <c r="D1068" s="8"/>
      <c r="E1068" s="8"/>
      <c r="F1068" s="8"/>
      <c r="G1068" s="8"/>
      <c r="H1068" s="8"/>
      <c r="I1068" s="8"/>
      <c r="J1068" s="8"/>
      <c r="K1068" s="8"/>
      <c r="L1068" s="8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10"/>
      <c r="X1068" s="10"/>
      <c r="Y1068" s="10"/>
      <c r="Z1068" s="10"/>
      <c r="AA1068" s="10"/>
      <c r="AB1068" s="10"/>
      <c r="AC1068" s="10"/>
      <c r="AD1068" s="10"/>
      <c r="AE1068" s="10"/>
      <c r="AF1068" s="10"/>
      <c r="AG1068" s="10"/>
      <c r="AH1068" s="10"/>
      <c r="AI1068" s="10"/>
      <c r="AJ1068" s="10"/>
      <c r="AK1068" s="10"/>
      <c r="AL1068" s="10"/>
      <c r="AM1068" s="10"/>
      <c r="AN1068" s="10"/>
      <c r="AO1068" s="10"/>
      <c r="AP1068" s="10"/>
      <c r="AQ1068" s="10"/>
      <c r="AR1068" s="10"/>
      <c r="AS1068" s="10"/>
      <c r="AT1068" s="10"/>
      <c r="AU1068" s="10"/>
      <c r="AV1068" s="10"/>
    </row>
    <row r="1069" ht="13.5" customHeight="1">
      <c r="A1069" s="8"/>
      <c r="B1069" s="8"/>
      <c r="C1069" s="8"/>
      <c r="D1069" s="8"/>
      <c r="E1069" s="8"/>
      <c r="F1069" s="8"/>
      <c r="G1069" s="8"/>
      <c r="H1069" s="8"/>
      <c r="I1069" s="8"/>
      <c r="J1069" s="8"/>
      <c r="K1069" s="8"/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10"/>
      <c r="X1069" s="10"/>
      <c r="Y1069" s="10"/>
      <c r="Z1069" s="10"/>
      <c r="AA1069" s="10"/>
      <c r="AB1069" s="10"/>
      <c r="AC1069" s="10"/>
      <c r="AD1069" s="10"/>
      <c r="AE1069" s="10"/>
      <c r="AF1069" s="10"/>
      <c r="AG1069" s="10"/>
      <c r="AH1069" s="10"/>
      <c r="AI1069" s="10"/>
      <c r="AJ1069" s="10"/>
      <c r="AK1069" s="10"/>
      <c r="AL1069" s="10"/>
      <c r="AM1069" s="10"/>
      <c r="AN1069" s="10"/>
      <c r="AO1069" s="10"/>
      <c r="AP1069" s="10"/>
      <c r="AQ1069" s="10"/>
      <c r="AR1069" s="10"/>
      <c r="AS1069" s="10"/>
      <c r="AT1069" s="10"/>
      <c r="AU1069" s="10"/>
      <c r="AV1069" s="10"/>
    </row>
    <row r="1070" ht="13.5" customHeight="1">
      <c r="A1070" s="8"/>
      <c r="B1070" s="8"/>
      <c r="C1070" s="8"/>
      <c r="D1070" s="8"/>
      <c r="E1070" s="8"/>
      <c r="F1070" s="8"/>
      <c r="G1070" s="8"/>
      <c r="H1070" s="8"/>
      <c r="I1070" s="8"/>
      <c r="J1070" s="8"/>
      <c r="K1070" s="8"/>
      <c r="L1070" s="8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10"/>
      <c r="X1070" s="10"/>
      <c r="Y1070" s="10"/>
      <c r="Z1070" s="10"/>
      <c r="AA1070" s="10"/>
      <c r="AB1070" s="10"/>
      <c r="AC1070" s="10"/>
      <c r="AD1070" s="10"/>
      <c r="AE1070" s="10"/>
      <c r="AF1070" s="10"/>
      <c r="AG1070" s="10"/>
      <c r="AH1070" s="10"/>
      <c r="AI1070" s="10"/>
      <c r="AJ1070" s="10"/>
      <c r="AK1070" s="10"/>
      <c r="AL1070" s="10"/>
      <c r="AM1070" s="10"/>
      <c r="AN1070" s="10"/>
      <c r="AO1070" s="10"/>
      <c r="AP1070" s="10"/>
      <c r="AQ1070" s="10"/>
      <c r="AR1070" s="10"/>
      <c r="AS1070" s="10"/>
      <c r="AT1070" s="10"/>
      <c r="AU1070" s="10"/>
      <c r="AV1070" s="10"/>
    </row>
    <row r="1071" ht="13.5" customHeight="1">
      <c r="A1071" s="8"/>
      <c r="B1071" s="8"/>
      <c r="C1071" s="8"/>
      <c r="D1071" s="8"/>
      <c r="E1071" s="8"/>
      <c r="F1071" s="8"/>
      <c r="G1071" s="8"/>
      <c r="H1071" s="8"/>
      <c r="I1071" s="8"/>
      <c r="J1071" s="8"/>
      <c r="K1071" s="8"/>
      <c r="L1071" s="8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10"/>
      <c r="X1071" s="10"/>
      <c r="Y1071" s="10"/>
      <c r="Z1071" s="10"/>
      <c r="AA1071" s="10"/>
      <c r="AB1071" s="10"/>
      <c r="AC1071" s="10"/>
      <c r="AD1071" s="10"/>
      <c r="AE1071" s="10"/>
      <c r="AF1071" s="10"/>
      <c r="AG1071" s="10"/>
      <c r="AH1071" s="10"/>
      <c r="AI1071" s="10"/>
      <c r="AJ1071" s="10"/>
      <c r="AK1071" s="10"/>
      <c r="AL1071" s="10"/>
      <c r="AM1071" s="10"/>
      <c r="AN1071" s="10"/>
      <c r="AO1071" s="10"/>
      <c r="AP1071" s="10"/>
      <c r="AQ1071" s="10"/>
      <c r="AR1071" s="10"/>
      <c r="AS1071" s="10"/>
      <c r="AT1071" s="10"/>
      <c r="AU1071" s="10"/>
      <c r="AV1071" s="10"/>
    </row>
    <row r="1072" ht="13.5" customHeight="1">
      <c r="A1072" s="8"/>
      <c r="B1072" s="8"/>
      <c r="C1072" s="8"/>
      <c r="D1072" s="8"/>
      <c r="E1072" s="8"/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10"/>
      <c r="X1072" s="10"/>
      <c r="Y1072" s="10"/>
      <c r="Z1072" s="10"/>
      <c r="AA1072" s="10"/>
      <c r="AB1072" s="10"/>
      <c r="AC1072" s="10"/>
      <c r="AD1072" s="10"/>
      <c r="AE1072" s="10"/>
      <c r="AF1072" s="10"/>
      <c r="AG1072" s="10"/>
      <c r="AH1072" s="10"/>
      <c r="AI1072" s="10"/>
      <c r="AJ1072" s="10"/>
      <c r="AK1072" s="10"/>
      <c r="AL1072" s="10"/>
      <c r="AM1072" s="10"/>
      <c r="AN1072" s="10"/>
      <c r="AO1072" s="10"/>
      <c r="AP1072" s="10"/>
      <c r="AQ1072" s="10"/>
      <c r="AR1072" s="10"/>
      <c r="AS1072" s="10"/>
      <c r="AT1072" s="10"/>
      <c r="AU1072" s="10"/>
      <c r="AV1072" s="10"/>
    </row>
    <row r="1073" ht="13.5" customHeight="1">
      <c r="A1073" s="8"/>
      <c r="B1073" s="8"/>
      <c r="C1073" s="8"/>
      <c r="D1073" s="8"/>
      <c r="E1073" s="8"/>
      <c r="F1073" s="8"/>
      <c r="G1073" s="8"/>
      <c r="H1073" s="8"/>
      <c r="I1073" s="8"/>
      <c r="J1073" s="8"/>
      <c r="K1073" s="8"/>
      <c r="L1073" s="8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10"/>
      <c r="X1073" s="10"/>
      <c r="Y1073" s="10"/>
      <c r="Z1073" s="10"/>
      <c r="AA1073" s="10"/>
      <c r="AB1073" s="10"/>
      <c r="AC1073" s="10"/>
      <c r="AD1073" s="10"/>
      <c r="AE1073" s="10"/>
      <c r="AF1073" s="10"/>
      <c r="AG1073" s="10"/>
      <c r="AH1073" s="10"/>
      <c r="AI1073" s="10"/>
      <c r="AJ1073" s="10"/>
      <c r="AK1073" s="10"/>
      <c r="AL1073" s="10"/>
      <c r="AM1073" s="10"/>
      <c r="AN1073" s="10"/>
      <c r="AO1073" s="10"/>
      <c r="AP1073" s="10"/>
      <c r="AQ1073" s="10"/>
      <c r="AR1073" s="10"/>
      <c r="AS1073" s="10"/>
      <c r="AT1073" s="10"/>
      <c r="AU1073" s="10"/>
      <c r="AV1073" s="10"/>
    </row>
    <row r="1074" ht="13.5" customHeight="1">
      <c r="A1074" s="8"/>
      <c r="B1074" s="8"/>
      <c r="C1074" s="8"/>
      <c r="D1074" s="8"/>
      <c r="E1074" s="8"/>
      <c r="F1074" s="8"/>
      <c r="G1074" s="8"/>
      <c r="H1074" s="8"/>
      <c r="I1074" s="8"/>
      <c r="J1074" s="8"/>
      <c r="K1074" s="8"/>
      <c r="L1074" s="8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10"/>
      <c r="X1074" s="10"/>
      <c r="Y1074" s="10"/>
      <c r="Z1074" s="10"/>
      <c r="AA1074" s="10"/>
      <c r="AB1074" s="10"/>
      <c r="AC1074" s="10"/>
      <c r="AD1074" s="10"/>
      <c r="AE1074" s="10"/>
      <c r="AF1074" s="10"/>
      <c r="AG1074" s="10"/>
      <c r="AH1074" s="10"/>
      <c r="AI1074" s="10"/>
      <c r="AJ1074" s="10"/>
      <c r="AK1074" s="10"/>
      <c r="AL1074" s="10"/>
      <c r="AM1074" s="10"/>
      <c r="AN1074" s="10"/>
      <c r="AO1074" s="10"/>
      <c r="AP1074" s="10"/>
      <c r="AQ1074" s="10"/>
      <c r="AR1074" s="10"/>
      <c r="AS1074" s="10"/>
      <c r="AT1074" s="10"/>
      <c r="AU1074" s="10"/>
      <c r="AV1074" s="10"/>
    </row>
    <row r="1075" ht="13.5" customHeight="1">
      <c r="A1075" s="8"/>
      <c r="B1075" s="8"/>
      <c r="C1075" s="8"/>
      <c r="D1075" s="8"/>
      <c r="E1075" s="8"/>
      <c r="F1075" s="8"/>
      <c r="G1075" s="8"/>
      <c r="H1075" s="8"/>
      <c r="I1075" s="8"/>
      <c r="J1075" s="8"/>
      <c r="K1075" s="8"/>
      <c r="L1075" s="8"/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10"/>
      <c r="X1075" s="10"/>
      <c r="Y1075" s="10"/>
      <c r="Z1075" s="10"/>
      <c r="AA1075" s="10"/>
      <c r="AB1075" s="10"/>
      <c r="AC1075" s="10"/>
      <c r="AD1075" s="10"/>
      <c r="AE1075" s="10"/>
      <c r="AF1075" s="10"/>
      <c r="AG1075" s="10"/>
      <c r="AH1075" s="10"/>
      <c r="AI1075" s="10"/>
      <c r="AJ1075" s="10"/>
      <c r="AK1075" s="10"/>
      <c r="AL1075" s="10"/>
      <c r="AM1075" s="10"/>
      <c r="AN1075" s="10"/>
      <c r="AO1075" s="10"/>
      <c r="AP1075" s="10"/>
      <c r="AQ1075" s="10"/>
      <c r="AR1075" s="10"/>
      <c r="AS1075" s="10"/>
      <c r="AT1075" s="10"/>
      <c r="AU1075" s="10"/>
      <c r="AV1075" s="10"/>
    </row>
    <row r="1076" ht="13.5" customHeight="1">
      <c r="A1076" s="8"/>
      <c r="B1076" s="8"/>
      <c r="C1076" s="8"/>
      <c r="D1076" s="8"/>
      <c r="E1076" s="8"/>
      <c r="F1076" s="8"/>
      <c r="G1076" s="8"/>
      <c r="H1076" s="8"/>
      <c r="I1076" s="8"/>
      <c r="J1076" s="8"/>
      <c r="K1076" s="8"/>
      <c r="L1076" s="8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10"/>
      <c r="X1076" s="10"/>
      <c r="Y1076" s="10"/>
      <c r="Z1076" s="10"/>
      <c r="AA1076" s="10"/>
      <c r="AB1076" s="10"/>
      <c r="AC1076" s="10"/>
      <c r="AD1076" s="10"/>
      <c r="AE1076" s="10"/>
      <c r="AF1076" s="10"/>
      <c r="AG1076" s="10"/>
      <c r="AH1076" s="10"/>
      <c r="AI1076" s="10"/>
      <c r="AJ1076" s="10"/>
      <c r="AK1076" s="10"/>
      <c r="AL1076" s="10"/>
      <c r="AM1076" s="10"/>
      <c r="AN1076" s="10"/>
      <c r="AO1076" s="10"/>
      <c r="AP1076" s="10"/>
      <c r="AQ1076" s="10"/>
      <c r="AR1076" s="10"/>
      <c r="AS1076" s="10"/>
      <c r="AT1076" s="10"/>
      <c r="AU1076" s="10"/>
      <c r="AV1076" s="10"/>
    </row>
    <row r="1077" ht="13.5" customHeight="1">
      <c r="A1077" s="8"/>
      <c r="B1077" s="8"/>
      <c r="C1077" s="8"/>
      <c r="D1077" s="8"/>
      <c r="E1077" s="8"/>
      <c r="F1077" s="8"/>
      <c r="G1077" s="8"/>
      <c r="H1077" s="8"/>
      <c r="I1077" s="8"/>
      <c r="J1077" s="8"/>
      <c r="K1077" s="8"/>
      <c r="L1077" s="8"/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10"/>
      <c r="X1077" s="10"/>
      <c r="Y1077" s="10"/>
      <c r="Z1077" s="10"/>
      <c r="AA1077" s="10"/>
      <c r="AB1077" s="10"/>
      <c r="AC1077" s="10"/>
      <c r="AD1077" s="10"/>
      <c r="AE1077" s="10"/>
      <c r="AF1077" s="10"/>
      <c r="AG1077" s="10"/>
      <c r="AH1077" s="10"/>
      <c r="AI1077" s="10"/>
      <c r="AJ1077" s="10"/>
      <c r="AK1077" s="10"/>
      <c r="AL1077" s="10"/>
      <c r="AM1077" s="10"/>
      <c r="AN1077" s="10"/>
      <c r="AO1077" s="10"/>
      <c r="AP1077" s="10"/>
      <c r="AQ1077" s="10"/>
      <c r="AR1077" s="10"/>
      <c r="AS1077" s="10"/>
      <c r="AT1077" s="10"/>
      <c r="AU1077" s="10"/>
      <c r="AV1077" s="10"/>
    </row>
    <row r="1078" ht="13.5" customHeight="1">
      <c r="A1078" s="8"/>
      <c r="B1078" s="8"/>
      <c r="C1078" s="8"/>
      <c r="D1078" s="8"/>
      <c r="E1078" s="8"/>
      <c r="F1078" s="8"/>
      <c r="G1078" s="8"/>
      <c r="H1078" s="8"/>
      <c r="I1078" s="8"/>
      <c r="J1078" s="8"/>
      <c r="K1078" s="8"/>
      <c r="L1078" s="8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10"/>
      <c r="X1078" s="10"/>
      <c r="Y1078" s="10"/>
      <c r="Z1078" s="10"/>
      <c r="AA1078" s="10"/>
      <c r="AB1078" s="10"/>
      <c r="AC1078" s="10"/>
      <c r="AD1078" s="10"/>
      <c r="AE1078" s="10"/>
      <c r="AF1078" s="10"/>
      <c r="AG1078" s="10"/>
      <c r="AH1078" s="10"/>
      <c r="AI1078" s="10"/>
      <c r="AJ1078" s="10"/>
      <c r="AK1078" s="10"/>
      <c r="AL1078" s="10"/>
      <c r="AM1078" s="10"/>
      <c r="AN1078" s="10"/>
      <c r="AO1078" s="10"/>
      <c r="AP1078" s="10"/>
      <c r="AQ1078" s="10"/>
      <c r="AR1078" s="10"/>
      <c r="AS1078" s="10"/>
      <c r="AT1078" s="10"/>
      <c r="AU1078" s="10"/>
      <c r="AV1078" s="10"/>
    </row>
    <row r="1079" ht="13.5" customHeight="1">
      <c r="A1079" s="8"/>
      <c r="B1079" s="8"/>
      <c r="C1079" s="8"/>
      <c r="D1079" s="8"/>
      <c r="E1079" s="8"/>
      <c r="F1079" s="8"/>
      <c r="G1079" s="8"/>
      <c r="H1079" s="8"/>
      <c r="I1079" s="8"/>
      <c r="J1079" s="8"/>
      <c r="K1079" s="8"/>
      <c r="L1079" s="8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10"/>
      <c r="X1079" s="10"/>
      <c r="Y1079" s="10"/>
      <c r="Z1079" s="10"/>
      <c r="AA1079" s="10"/>
      <c r="AB1079" s="10"/>
      <c r="AC1079" s="10"/>
      <c r="AD1079" s="10"/>
      <c r="AE1079" s="10"/>
      <c r="AF1079" s="10"/>
      <c r="AG1079" s="10"/>
      <c r="AH1079" s="10"/>
      <c r="AI1079" s="10"/>
      <c r="AJ1079" s="10"/>
      <c r="AK1079" s="10"/>
      <c r="AL1079" s="10"/>
      <c r="AM1079" s="10"/>
      <c r="AN1079" s="10"/>
      <c r="AO1079" s="10"/>
      <c r="AP1079" s="10"/>
      <c r="AQ1079" s="10"/>
      <c r="AR1079" s="10"/>
      <c r="AS1079" s="10"/>
      <c r="AT1079" s="10"/>
      <c r="AU1079" s="10"/>
      <c r="AV1079" s="10"/>
    </row>
    <row r="1080" ht="13.5" customHeight="1">
      <c r="A1080" s="8"/>
      <c r="B1080" s="8"/>
      <c r="C1080" s="8"/>
      <c r="D1080" s="8"/>
      <c r="E1080" s="8"/>
      <c r="F1080" s="8"/>
      <c r="G1080" s="8"/>
      <c r="H1080" s="8"/>
      <c r="I1080" s="8"/>
      <c r="J1080" s="8"/>
      <c r="K1080" s="8"/>
      <c r="L1080" s="8"/>
      <c r="M1080" s="8"/>
      <c r="N1080" s="8"/>
      <c r="O1080" s="8"/>
      <c r="P1080" s="8"/>
      <c r="Q1080" s="8"/>
      <c r="R1080" s="8"/>
      <c r="S1080" s="8"/>
      <c r="T1080" s="8"/>
      <c r="U1080" s="8"/>
      <c r="V1080" s="8"/>
      <c r="W1080" s="10"/>
      <c r="X1080" s="10"/>
      <c r="Y1080" s="10"/>
      <c r="Z1080" s="10"/>
      <c r="AA1080" s="10"/>
      <c r="AB1080" s="10"/>
      <c r="AC1080" s="10"/>
      <c r="AD1080" s="10"/>
      <c r="AE1080" s="10"/>
      <c r="AF1080" s="10"/>
      <c r="AG1080" s="10"/>
      <c r="AH1080" s="10"/>
      <c r="AI1080" s="10"/>
      <c r="AJ1080" s="10"/>
      <c r="AK1080" s="10"/>
      <c r="AL1080" s="10"/>
      <c r="AM1080" s="10"/>
      <c r="AN1080" s="10"/>
      <c r="AO1080" s="10"/>
      <c r="AP1080" s="10"/>
      <c r="AQ1080" s="10"/>
      <c r="AR1080" s="10"/>
      <c r="AS1080" s="10"/>
      <c r="AT1080" s="10"/>
      <c r="AU1080" s="10"/>
      <c r="AV1080" s="10"/>
    </row>
    <row r="1081" ht="13.5" customHeight="1">
      <c r="A1081" s="8"/>
      <c r="B1081" s="8"/>
      <c r="C1081" s="8"/>
      <c r="D1081" s="8"/>
      <c r="E1081" s="8"/>
      <c r="F1081" s="8"/>
      <c r="G1081" s="8"/>
      <c r="H1081" s="8"/>
      <c r="I1081" s="8"/>
      <c r="J1081" s="8"/>
      <c r="K1081" s="8"/>
      <c r="L1081" s="8"/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10"/>
      <c r="X1081" s="10"/>
      <c r="Y1081" s="10"/>
      <c r="Z1081" s="10"/>
      <c r="AA1081" s="10"/>
      <c r="AB1081" s="10"/>
      <c r="AC1081" s="10"/>
      <c r="AD1081" s="10"/>
      <c r="AE1081" s="10"/>
      <c r="AF1081" s="10"/>
      <c r="AG1081" s="10"/>
      <c r="AH1081" s="10"/>
      <c r="AI1081" s="10"/>
      <c r="AJ1081" s="10"/>
      <c r="AK1081" s="10"/>
      <c r="AL1081" s="10"/>
      <c r="AM1081" s="10"/>
      <c r="AN1081" s="10"/>
      <c r="AO1081" s="10"/>
      <c r="AP1081" s="10"/>
      <c r="AQ1081" s="10"/>
      <c r="AR1081" s="10"/>
      <c r="AS1081" s="10"/>
      <c r="AT1081" s="10"/>
      <c r="AU1081" s="10"/>
      <c r="AV1081" s="10"/>
    </row>
    <row r="1082" ht="13.5" customHeight="1">
      <c r="A1082" s="8"/>
      <c r="B1082" s="8"/>
      <c r="C1082" s="8"/>
      <c r="D1082" s="8"/>
      <c r="E1082" s="8"/>
      <c r="F1082" s="8"/>
      <c r="G1082" s="8"/>
      <c r="H1082" s="8"/>
      <c r="I1082" s="8"/>
      <c r="J1082" s="8"/>
      <c r="K1082" s="8"/>
      <c r="L1082" s="8"/>
      <c r="M1082" s="8"/>
      <c r="N1082" s="8"/>
      <c r="O1082" s="8"/>
      <c r="P1082" s="8"/>
      <c r="Q1082" s="8"/>
      <c r="R1082" s="8"/>
      <c r="S1082" s="8"/>
      <c r="T1082" s="8"/>
      <c r="U1082" s="8"/>
      <c r="V1082" s="8"/>
      <c r="W1082" s="10"/>
      <c r="X1082" s="10"/>
      <c r="Y1082" s="10"/>
      <c r="Z1082" s="10"/>
      <c r="AA1082" s="10"/>
      <c r="AB1082" s="10"/>
      <c r="AC1082" s="10"/>
      <c r="AD1082" s="10"/>
      <c r="AE1082" s="10"/>
      <c r="AF1082" s="10"/>
      <c r="AG1082" s="10"/>
      <c r="AH1082" s="10"/>
      <c r="AI1082" s="10"/>
      <c r="AJ1082" s="10"/>
      <c r="AK1082" s="10"/>
      <c r="AL1082" s="10"/>
      <c r="AM1082" s="10"/>
      <c r="AN1082" s="10"/>
      <c r="AO1082" s="10"/>
      <c r="AP1082" s="10"/>
      <c r="AQ1082" s="10"/>
      <c r="AR1082" s="10"/>
      <c r="AS1082" s="10"/>
      <c r="AT1082" s="10"/>
      <c r="AU1082" s="10"/>
      <c r="AV1082" s="10"/>
    </row>
    <row r="1083" ht="13.5" customHeight="1">
      <c r="A1083" s="8"/>
      <c r="B1083" s="8"/>
      <c r="C1083" s="8"/>
      <c r="D1083" s="8"/>
      <c r="E1083" s="8"/>
      <c r="F1083" s="8"/>
      <c r="G1083" s="8"/>
      <c r="H1083" s="8"/>
      <c r="I1083" s="8"/>
      <c r="J1083" s="8"/>
      <c r="K1083" s="8"/>
      <c r="L1083" s="8"/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10"/>
      <c r="X1083" s="10"/>
      <c r="Y1083" s="10"/>
      <c r="Z1083" s="10"/>
      <c r="AA1083" s="10"/>
      <c r="AB1083" s="10"/>
      <c r="AC1083" s="10"/>
      <c r="AD1083" s="10"/>
      <c r="AE1083" s="10"/>
      <c r="AF1083" s="10"/>
      <c r="AG1083" s="10"/>
      <c r="AH1083" s="10"/>
      <c r="AI1083" s="10"/>
      <c r="AJ1083" s="10"/>
      <c r="AK1083" s="10"/>
      <c r="AL1083" s="10"/>
      <c r="AM1083" s="10"/>
      <c r="AN1083" s="10"/>
      <c r="AO1083" s="10"/>
      <c r="AP1083" s="10"/>
      <c r="AQ1083" s="10"/>
      <c r="AR1083" s="10"/>
      <c r="AS1083" s="10"/>
      <c r="AT1083" s="10"/>
      <c r="AU1083" s="10"/>
      <c r="AV1083" s="10"/>
    </row>
    <row r="1084" ht="13.5" customHeight="1">
      <c r="A1084" s="8"/>
      <c r="B1084" s="8"/>
      <c r="C1084" s="8"/>
      <c r="D1084" s="8"/>
      <c r="E1084" s="8"/>
      <c r="F1084" s="8"/>
      <c r="G1084" s="8"/>
      <c r="H1084" s="8"/>
      <c r="I1084" s="8"/>
      <c r="J1084" s="8"/>
      <c r="K1084" s="8"/>
      <c r="L1084" s="8"/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10"/>
      <c r="X1084" s="10"/>
      <c r="Y1084" s="10"/>
      <c r="Z1084" s="10"/>
      <c r="AA1084" s="10"/>
      <c r="AB1084" s="10"/>
      <c r="AC1084" s="10"/>
      <c r="AD1084" s="10"/>
      <c r="AE1084" s="10"/>
      <c r="AF1084" s="10"/>
      <c r="AG1084" s="10"/>
      <c r="AH1084" s="10"/>
      <c r="AI1084" s="10"/>
      <c r="AJ1084" s="10"/>
      <c r="AK1084" s="10"/>
      <c r="AL1084" s="10"/>
      <c r="AM1084" s="10"/>
      <c r="AN1084" s="10"/>
      <c r="AO1084" s="10"/>
      <c r="AP1084" s="10"/>
      <c r="AQ1084" s="10"/>
      <c r="AR1084" s="10"/>
      <c r="AS1084" s="10"/>
      <c r="AT1084" s="10"/>
      <c r="AU1084" s="10"/>
      <c r="AV1084" s="10"/>
    </row>
    <row r="1085" ht="13.5" customHeight="1">
      <c r="A1085" s="8"/>
      <c r="B1085" s="8"/>
      <c r="C1085" s="8"/>
      <c r="D1085" s="8"/>
      <c r="E1085" s="8"/>
      <c r="F1085" s="8"/>
      <c r="G1085" s="8"/>
      <c r="H1085" s="8"/>
      <c r="I1085" s="8"/>
      <c r="J1085" s="8"/>
      <c r="K1085" s="8"/>
      <c r="L1085" s="8"/>
      <c r="M1085" s="8"/>
      <c r="N1085" s="8"/>
      <c r="O1085" s="8"/>
      <c r="P1085" s="8"/>
      <c r="Q1085" s="8"/>
      <c r="R1085" s="8"/>
      <c r="S1085" s="8"/>
      <c r="T1085" s="8"/>
      <c r="U1085" s="8"/>
      <c r="V1085" s="8"/>
      <c r="W1085" s="10"/>
      <c r="X1085" s="10"/>
      <c r="Y1085" s="10"/>
      <c r="Z1085" s="10"/>
      <c r="AA1085" s="10"/>
      <c r="AB1085" s="10"/>
      <c r="AC1085" s="10"/>
      <c r="AD1085" s="10"/>
      <c r="AE1085" s="10"/>
      <c r="AF1085" s="10"/>
      <c r="AG1085" s="10"/>
      <c r="AH1085" s="10"/>
      <c r="AI1085" s="10"/>
      <c r="AJ1085" s="10"/>
      <c r="AK1085" s="10"/>
      <c r="AL1085" s="10"/>
      <c r="AM1085" s="10"/>
      <c r="AN1085" s="10"/>
      <c r="AO1085" s="10"/>
      <c r="AP1085" s="10"/>
      <c r="AQ1085" s="10"/>
      <c r="AR1085" s="10"/>
      <c r="AS1085" s="10"/>
      <c r="AT1085" s="10"/>
      <c r="AU1085" s="10"/>
      <c r="AV1085" s="10"/>
    </row>
    <row r="1086" ht="13.5" customHeight="1">
      <c r="A1086" s="8"/>
      <c r="B1086" s="8"/>
      <c r="C1086" s="8"/>
      <c r="D1086" s="8"/>
      <c r="E1086" s="8"/>
      <c r="F1086" s="8"/>
      <c r="G1086" s="8"/>
      <c r="H1086" s="8"/>
      <c r="I1086" s="8"/>
      <c r="J1086" s="8"/>
      <c r="K1086" s="8"/>
      <c r="L1086" s="8"/>
      <c r="M1086" s="8"/>
      <c r="N1086" s="8"/>
      <c r="O1086" s="8"/>
      <c r="P1086" s="8"/>
      <c r="Q1086" s="8"/>
      <c r="R1086" s="8"/>
      <c r="S1086" s="8"/>
      <c r="T1086" s="8"/>
      <c r="U1086" s="8"/>
      <c r="V1086" s="8"/>
      <c r="W1086" s="10"/>
      <c r="X1086" s="10"/>
      <c r="Y1086" s="10"/>
      <c r="Z1086" s="10"/>
      <c r="AA1086" s="10"/>
      <c r="AB1086" s="10"/>
      <c r="AC1086" s="10"/>
      <c r="AD1086" s="10"/>
      <c r="AE1086" s="10"/>
      <c r="AF1086" s="10"/>
      <c r="AG1086" s="10"/>
      <c r="AH1086" s="10"/>
      <c r="AI1086" s="10"/>
      <c r="AJ1086" s="10"/>
      <c r="AK1086" s="10"/>
      <c r="AL1086" s="10"/>
      <c r="AM1086" s="10"/>
      <c r="AN1086" s="10"/>
      <c r="AO1086" s="10"/>
      <c r="AP1086" s="10"/>
      <c r="AQ1086" s="10"/>
      <c r="AR1086" s="10"/>
      <c r="AS1086" s="10"/>
      <c r="AT1086" s="10"/>
      <c r="AU1086" s="10"/>
      <c r="AV1086" s="10"/>
    </row>
    <row r="1087" ht="13.5" customHeight="1">
      <c r="A1087" s="8"/>
      <c r="B1087" s="8"/>
      <c r="C1087" s="8"/>
      <c r="D1087" s="8"/>
      <c r="E1087" s="8"/>
      <c r="F1087" s="8"/>
      <c r="G1087" s="8"/>
      <c r="H1087" s="8"/>
      <c r="I1087" s="8"/>
      <c r="J1087" s="8"/>
      <c r="K1087" s="8"/>
      <c r="L1087" s="8"/>
      <c r="M1087" s="8"/>
      <c r="N1087" s="8"/>
      <c r="O1087" s="8"/>
      <c r="P1087" s="8"/>
      <c r="Q1087" s="8"/>
      <c r="R1087" s="8"/>
      <c r="S1087" s="8"/>
      <c r="T1087" s="8"/>
      <c r="U1087" s="8"/>
      <c r="V1087" s="8"/>
      <c r="W1087" s="10"/>
      <c r="X1087" s="10"/>
      <c r="Y1087" s="10"/>
      <c r="Z1087" s="10"/>
      <c r="AA1087" s="10"/>
      <c r="AB1087" s="10"/>
      <c r="AC1087" s="10"/>
      <c r="AD1087" s="10"/>
      <c r="AE1087" s="10"/>
      <c r="AF1087" s="10"/>
      <c r="AG1087" s="10"/>
      <c r="AH1087" s="10"/>
      <c r="AI1087" s="10"/>
      <c r="AJ1087" s="10"/>
      <c r="AK1087" s="10"/>
      <c r="AL1087" s="10"/>
      <c r="AM1087" s="10"/>
      <c r="AN1087" s="10"/>
      <c r="AO1087" s="10"/>
      <c r="AP1087" s="10"/>
      <c r="AQ1087" s="10"/>
      <c r="AR1087" s="10"/>
      <c r="AS1087" s="10"/>
      <c r="AT1087" s="10"/>
      <c r="AU1087" s="10"/>
      <c r="AV1087" s="10"/>
    </row>
    <row r="1088" ht="13.5" customHeight="1">
      <c r="A1088" s="8"/>
      <c r="B1088" s="8"/>
      <c r="C1088" s="8"/>
      <c r="D1088" s="8"/>
      <c r="E1088" s="8"/>
      <c r="F1088" s="8"/>
      <c r="G1088" s="8"/>
      <c r="H1088" s="8"/>
      <c r="I1088" s="8"/>
      <c r="J1088" s="8"/>
      <c r="K1088" s="8"/>
      <c r="L1088" s="8"/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10"/>
      <c r="X1088" s="10"/>
      <c r="Y1088" s="10"/>
      <c r="Z1088" s="10"/>
      <c r="AA1088" s="10"/>
      <c r="AB1088" s="10"/>
      <c r="AC1088" s="10"/>
      <c r="AD1088" s="10"/>
      <c r="AE1088" s="10"/>
      <c r="AF1088" s="10"/>
      <c r="AG1088" s="10"/>
      <c r="AH1088" s="10"/>
      <c r="AI1088" s="10"/>
      <c r="AJ1088" s="10"/>
      <c r="AK1088" s="10"/>
      <c r="AL1088" s="10"/>
      <c r="AM1088" s="10"/>
      <c r="AN1088" s="10"/>
      <c r="AO1088" s="10"/>
      <c r="AP1088" s="10"/>
      <c r="AQ1088" s="10"/>
      <c r="AR1088" s="10"/>
      <c r="AS1088" s="10"/>
      <c r="AT1088" s="10"/>
      <c r="AU1088" s="10"/>
      <c r="AV1088" s="10"/>
    </row>
    <row r="1089" ht="13.5" customHeight="1">
      <c r="A1089" s="8"/>
      <c r="B1089" s="8"/>
      <c r="C1089" s="8"/>
      <c r="D1089" s="8"/>
      <c r="E1089" s="8"/>
      <c r="F1089" s="8"/>
      <c r="G1089" s="8"/>
      <c r="H1089" s="8"/>
      <c r="I1089" s="8"/>
      <c r="J1089" s="8"/>
      <c r="K1089" s="8"/>
      <c r="L1089" s="8"/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10"/>
      <c r="X1089" s="10"/>
      <c r="Y1089" s="10"/>
      <c r="Z1089" s="10"/>
      <c r="AA1089" s="10"/>
      <c r="AB1089" s="10"/>
      <c r="AC1089" s="10"/>
      <c r="AD1089" s="10"/>
      <c r="AE1089" s="10"/>
      <c r="AF1089" s="10"/>
      <c r="AG1089" s="10"/>
      <c r="AH1089" s="10"/>
      <c r="AI1089" s="10"/>
      <c r="AJ1089" s="10"/>
      <c r="AK1089" s="10"/>
      <c r="AL1089" s="10"/>
      <c r="AM1089" s="10"/>
      <c r="AN1089" s="10"/>
      <c r="AO1089" s="10"/>
      <c r="AP1089" s="10"/>
      <c r="AQ1089" s="10"/>
      <c r="AR1089" s="10"/>
      <c r="AS1089" s="10"/>
      <c r="AT1089" s="10"/>
      <c r="AU1089" s="10"/>
      <c r="AV1089" s="10"/>
    </row>
    <row r="1090" ht="13.5" customHeight="1">
      <c r="A1090" s="8"/>
      <c r="B1090" s="8"/>
      <c r="C1090" s="8"/>
      <c r="D1090" s="8"/>
      <c r="E1090" s="8"/>
      <c r="F1090" s="8"/>
      <c r="G1090" s="8"/>
      <c r="H1090" s="8"/>
      <c r="I1090" s="8"/>
      <c r="J1090" s="8"/>
      <c r="K1090" s="8"/>
      <c r="L1090" s="8"/>
      <c r="M1090" s="8"/>
      <c r="N1090" s="8"/>
      <c r="O1090" s="8"/>
      <c r="P1090" s="8"/>
      <c r="Q1090" s="8"/>
      <c r="R1090" s="8"/>
      <c r="S1090" s="8"/>
      <c r="T1090" s="8"/>
      <c r="U1090" s="8"/>
      <c r="V1090" s="8"/>
      <c r="W1090" s="10"/>
      <c r="X1090" s="10"/>
      <c r="Y1090" s="10"/>
      <c r="Z1090" s="10"/>
      <c r="AA1090" s="10"/>
      <c r="AB1090" s="10"/>
      <c r="AC1090" s="10"/>
      <c r="AD1090" s="10"/>
      <c r="AE1090" s="10"/>
      <c r="AF1090" s="10"/>
      <c r="AG1090" s="10"/>
      <c r="AH1090" s="10"/>
      <c r="AI1090" s="10"/>
      <c r="AJ1090" s="10"/>
      <c r="AK1090" s="10"/>
      <c r="AL1090" s="10"/>
      <c r="AM1090" s="10"/>
      <c r="AN1090" s="10"/>
      <c r="AO1090" s="10"/>
      <c r="AP1090" s="10"/>
      <c r="AQ1090" s="10"/>
      <c r="AR1090" s="10"/>
      <c r="AS1090" s="10"/>
      <c r="AT1090" s="10"/>
      <c r="AU1090" s="10"/>
      <c r="AV1090" s="10"/>
    </row>
    <row r="1091" ht="13.5" customHeight="1">
      <c r="A1091" s="8"/>
      <c r="B1091" s="8"/>
      <c r="C1091" s="8"/>
      <c r="D1091" s="8"/>
      <c r="E1091" s="8"/>
      <c r="F1091" s="8"/>
      <c r="G1091" s="8"/>
      <c r="H1091" s="8"/>
      <c r="I1091" s="8"/>
      <c r="J1091" s="8"/>
      <c r="K1091" s="8"/>
      <c r="L1091" s="8"/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10"/>
      <c r="X1091" s="10"/>
      <c r="Y1091" s="10"/>
      <c r="Z1091" s="10"/>
      <c r="AA1091" s="10"/>
      <c r="AB1091" s="10"/>
      <c r="AC1091" s="10"/>
      <c r="AD1091" s="10"/>
      <c r="AE1091" s="10"/>
      <c r="AF1091" s="10"/>
      <c r="AG1091" s="10"/>
      <c r="AH1091" s="10"/>
      <c r="AI1091" s="10"/>
      <c r="AJ1091" s="10"/>
      <c r="AK1091" s="10"/>
      <c r="AL1091" s="10"/>
      <c r="AM1091" s="10"/>
      <c r="AN1091" s="10"/>
      <c r="AO1091" s="10"/>
      <c r="AP1091" s="10"/>
      <c r="AQ1091" s="10"/>
      <c r="AR1091" s="10"/>
      <c r="AS1091" s="10"/>
      <c r="AT1091" s="10"/>
      <c r="AU1091" s="10"/>
      <c r="AV1091" s="10"/>
    </row>
    <row r="1092" ht="13.5" customHeight="1">
      <c r="A1092" s="8"/>
      <c r="B1092" s="8"/>
      <c r="C1092" s="8"/>
      <c r="D1092" s="8"/>
      <c r="E1092" s="8"/>
      <c r="F1092" s="8"/>
      <c r="G1092" s="8"/>
      <c r="H1092" s="8"/>
      <c r="I1092" s="8"/>
      <c r="J1092" s="8"/>
      <c r="K1092" s="8"/>
      <c r="L1092" s="8"/>
      <c r="M1092" s="8"/>
      <c r="N1092" s="8"/>
      <c r="O1092" s="8"/>
      <c r="P1092" s="8"/>
      <c r="Q1092" s="8"/>
      <c r="R1092" s="8"/>
      <c r="S1092" s="8"/>
      <c r="T1092" s="8"/>
      <c r="U1092" s="8"/>
      <c r="V1092" s="8"/>
      <c r="W1092" s="10"/>
      <c r="X1092" s="10"/>
      <c r="Y1092" s="10"/>
      <c r="Z1092" s="10"/>
      <c r="AA1092" s="10"/>
      <c r="AB1092" s="10"/>
      <c r="AC1092" s="10"/>
      <c r="AD1092" s="10"/>
      <c r="AE1092" s="10"/>
      <c r="AF1092" s="10"/>
      <c r="AG1092" s="10"/>
      <c r="AH1092" s="10"/>
      <c r="AI1092" s="10"/>
      <c r="AJ1092" s="10"/>
      <c r="AK1092" s="10"/>
      <c r="AL1092" s="10"/>
      <c r="AM1092" s="10"/>
      <c r="AN1092" s="10"/>
      <c r="AO1092" s="10"/>
      <c r="AP1092" s="10"/>
      <c r="AQ1092" s="10"/>
      <c r="AR1092" s="10"/>
      <c r="AS1092" s="10"/>
      <c r="AT1092" s="10"/>
      <c r="AU1092" s="10"/>
      <c r="AV1092" s="10"/>
    </row>
    <row r="1093" ht="13.5" customHeight="1">
      <c r="A1093" s="8"/>
      <c r="B1093" s="8"/>
      <c r="C1093" s="8"/>
      <c r="D1093" s="8"/>
      <c r="E1093" s="8"/>
      <c r="F1093" s="8"/>
      <c r="G1093" s="8"/>
      <c r="H1093" s="8"/>
      <c r="I1093" s="8"/>
      <c r="J1093" s="8"/>
      <c r="K1093" s="8"/>
      <c r="L1093" s="8"/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10"/>
      <c r="X1093" s="10"/>
      <c r="Y1093" s="10"/>
      <c r="Z1093" s="10"/>
      <c r="AA1093" s="10"/>
      <c r="AB1093" s="10"/>
      <c r="AC1093" s="10"/>
      <c r="AD1093" s="10"/>
      <c r="AE1093" s="10"/>
      <c r="AF1093" s="10"/>
      <c r="AG1093" s="10"/>
      <c r="AH1093" s="10"/>
      <c r="AI1093" s="10"/>
      <c r="AJ1093" s="10"/>
      <c r="AK1093" s="10"/>
      <c r="AL1093" s="10"/>
      <c r="AM1093" s="10"/>
      <c r="AN1093" s="10"/>
      <c r="AO1093" s="10"/>
      <c r="AP1093" s="10"/>
      <c r="AQ1093" s="10"/>
      <c r="AR1093" s="10"/>
      <c r="AS1093" s="10"/>
      <c r="AT1093" s="10"/>
      <c r="AU1093" s="10"/>
      <c r="AV1093" s="10"/>
    </row>
    <row r="1094" ht="13.5" customHeight="1">
      <c r="A1094" s="8"/>
      <c r="B1094" s="8"/>
      <c r="C1094" s="8"/>
      <c r="D1094" s="8"/>
      <c r="E1094" s="8"/>
      <c r="F1094" s="8"/>
      <c r="G1094" s="8"/>
      <c r="H1094" s="8"/>
      <c r="I1094" s="8"/>
      <c r="J1094" s="8"/>
      <c r="K1094" s="8"/>
      <c r="L1094" s="8"/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10"/>
      <c r="X1094" s="10"/>
      <c r="Y1094" s="10"/>
      <c r="Z1094" s="10"/>
      <c r="AA1094" s="10"/>
      <c r="AB1094" s="10"/>
      <c r="AC1094" s="10"/>
      <c r="AD1094" s="10"/>
      <c r="AE1094" s="10"/>
      <c r="AF1094" s="10"/>
      <c r="AG1094" s="10"/>
      <c r="AH1094" s="10"/>
      <c r="AI1094" s="10"/>
      <c r="AJ1094" s="10"/>
      <c r="AK1094" s="10"/>
      <c r="AL1094" s="10"/>
      <c r="AM1094" s="10"/>
      <c r="AN1094" s="10"/>
      <c r="AO1094" s="10"/>
      <c r="AP1094" s="10"/>
      <c r="AQ1094" s="10"/>
      <c r="AR1094" s="10"/>
      <c r="AS1094" s="10"/>
      <c r="AT1094" s="10"/>
      <c r="AU1094" s="10"/>
      <c r="AV1094" s="10"/>
    </row>
    <row r="1095" ht="13.5" customHeight="1">
      <c r="A1095" s="8"/>
      <c r="B1095" s="8"/>
      <c r="C1095" s="8"/>
      <c r="D1095" s="8"/>
      <c r="E1095" s="8"/>
      <c r="F1095" s="8"/>
      <c r="G1095" s="8"/>
      <c r="H1095" s="8"/>
      <c r="I1095" s="8"/>
      <c r="J1095" s="8"/>
      <c r="K1095" s="8"/>
      <c r="L1095" s="8"/>
      <c r="M1095" s="8"/>
      <c r="N1095" s="8"/>
      <c r="O1095" s="8"/>
      <c r="P1095" s="8"/>
      <c r="Q1095" s="8"/>
      <c r="R1095" s="8"/>
      <c r="S1095" s="8"/>
      <c r="T1095" s="8"/>
      <c r="U1095" s="8"/>
      <c r="V1095" s="8"/>
      <c r="W1095" s="10"/>
      <c r="X1095" s="10"/>
      <c r="Y1095" s="10"/>
      <c r="Z1095" s="10"/>
      <c r="AA1095" s="10"/>
      <c r="AB1095" s="10"/>
      <c r="AC1095" s="10"/>
      <c r="AD1095" s="10"/>
      <c r="AE1095" s="10"/>
      <c r="AF1095" s="10"/>
      <c r="AG1095" s="10"/>
      <c r="AH1095" s="10"/>
      <c r="AI1095" s="10"/>
      <c r="AJ1095" s="10"/>
      <c r="AK1095" s="10"/>
      <c r="AL1095" s="10"/>
      <c r="AM1095" s="10"/>
      <c r="AN1095" s="10"/>
      <c r="AO1095" s="10"/>
      <c r="AP1095" s="10"/>
      <c r="AQ1095" s="10"/>
      <c r="AR1095" s="10"/>
      <c r="AS1095" s="10"/>
      <c r="AT1095" s="10"/>
      <c r="AU1095" s="10"/>
      <c r="AV1095" s="10"/>
    </row>
    <row r="1096" ht="13.5" customHeight="1">
      <c r="A1096" s="8"/>
      <c r="B1096" s="8"/>
      <c r="C1096" s="8"/>
      <c r="D1096" s="8"/>
      <c r="E1096" s="8"/>
      <c r="F1096" s="8"/>
      <c r="G1096" s="8"/>
      <c r="H1096" s="8"/>
      <c r="I1096" s="8"/>
      <c r="J1096" s="8"/>
      <c r="K1096" s="8"/>
      <c r="L1096" s="8"/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10"/>
      <c r="X1096" s="10"/>
      <c r="Y1096" s="10"/>
      <c r="Z1096" s="10"/>
      <c r="AA1096" s="10"/>
      <c r="AB1096" s="10"/>
      <c r="AC1096" s="10"/>
      <c r="AD1096" s="10"/>
      <c r="AE1096" s="10"/>
      <c r="AF1096" s="10"/>
      <c r="AG1096" s="10"/>
      <c r="AH1096" s="10"/>
      <c r="AI1096" s="10"/>
      <c r="AJ1096" s="10"/>
      <c r="AK1096" s="10"/>
      <c r="AL1096" s="10"/>
      <c r="AM1096" s="10"/>
      <c r="AN1096" s="10"/>
      <c r="AO1096" s="10"/>
      <c r="AP1096" s="10"/>
      <c r="AQ1096" s="10"/>
      <c r="AR1096" s="10"/>
      <c r="AS1096" s="10"/>
      <c r="AT1096" s="10"/>
      <c r="AU1096" s="10"/>
      <c r="AV1096" s="10"/>
    </row>
    <row r="1097" ht="13.5" customHeight="1">
      <c r="A1097" s="8"/>
      <c r="B1097" s="8"/>
      <c r="C1097" s="8"/>
      <c r="D1097" s="8"/>
      <c r="E1097" s="8"/>
      <c r="F1097" s="8"/>
      <c r="G1097" s="8"/>
      <c r="H1097" s="8"/>
      <c r="I1097" s="8"/>
      <c r="J1097" s="8"/>
      <c r="K1097" s="8"/>
      <c r="L1097" s="8"/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10"/>
      <c r="X1097" s="10"/>
      <c r="Y1097" s="10"/>
      <c r="Z1097" s="10"/>
      <c r="AA1097" s="10"/>
      <c r="AB1097" s="10"/>
      <c r="AC1097" s="10"/>
      <c r="AD1097" s="10"/>
      <c r="AE1097" s="10"/>
      <c r="AF1097" s="10"/>
      <c r="AG1097" s="10"/>
      <c r="AH1097" s="10"/>
      <c r="AI1097" s="10"/>
      <c r="AJ1097" s="10"/>
      <c r="AK1097" s="10"/>
      <c r="AL1097" s="10"/>
      <c r="AM1097" s="10"/>
      <c r="AN1097" s="10"/>
      <c r="AO1097" s="10"/>
      <c r="AP1097" s="10"/>
      <c r="AQ1097" s="10"/>
      <c r="AR1097" s="10"/>
      <c r="AS1097" s="10"/>
      <c r="AT1097" s="10"/>
      <c r="AU1097" s="10"/>
      <c r="AV1097" s="10"/>
    </row>
    <row r="1098" ht="13.5" customHeight="1">
      <c r="A1098" s="8"/>
      <c r="B1098" s="8"/>
      <c r="C1098" s="8"/>
      <c r="D1098" s="8"/>
      <c r="E1098" s="8"/>
      <c r="F1098" s="8"/>
      <c r="G1098" s="8"/>
      <c r="H1098" s="8"/>
      <c r="I1098" s="8"/>
      <c r="J1098" s="8"/>
      <c r="K1098" s="8"/>
      <c r="L1098" s="8"/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10"/>
      <c r="X1098" s="10"/>
      <c r="Y1098" s="10"/>
      <c r="Z1098" s="10"/>
      <c r="AA1098" s="10"/>
      <c r="AB1098" s="10"/>
      <c r="AC1098" s="10"/>
      <c r="AD1098" s="10"/>
      <c r="AE1098" s="10"/>
      <c r="AF1098" s="10"/>
      <c r="AG1098" s="10"/>
      <c r="AH1098" s="10"/>
      <c r="AI1098" s="10"/>
      <c r="AJ1098" s="10"/>
      <c r="AK1098" s="10"/>
      <c r="AL1098" s="10"/>
      <c r="AM1098" s="10"/>
      <c r="AN1098" s="10"/>
      <c r="AO1098" s="10"/>
      <c r="AP1098" s="10"/>
      <c r="AQ1098" s="10"/>
      <c r="AR1098" s="10"/>
      <c r="AS1098" s="10"/>
      <c r="AT1098" s="10"/>
      <c r="AU1098" s="10"/>
      <c r="AV1098" s="10"/>
    </row>
    <row r="1099" ht="13.5" customHeight="1">
      <c r="A1099" s="8"/>
      <c r="B1099" s="8"/>
      <c r="C1099" s="8"/>
      <c r="D1099" s="8"/>
      <c r="E1099" s="8"/>
      <c r="F1099" s="8"/>
      <c r="G1099" s="8"/>
      <c r="H1099" s="8"/>
      <c r="I1099" s="8"/>
      <c r="J1099" s="8"/>
      <c r="K1099" s="8"/>
      <c r="L1099" s="8"/>
      <c r="M1099" s="8"/>
      <c r="N1099" s="8"/>
      <c r="O1099" s="8"/>
      <c r="P1099" s="8"/>
      <c r="Q1099" s="8"/>
      <c r="R1099" s="8"/>
      <c r="S1099" s="8"/>
      <c r="T1099" s="8"/>
      <c r="U1099" s="8"/>
      <c r="V1099" s="8"/>
      <c r="W1099" s="10"/>
      <c r="X1099" s="10"/>
      <c r="Y1099" s="10"/>
      <c r="Z1099" s="10"/>
      <c r="AA1099" s="10"/>
      <c r="AB1099" s="10"/>
      <c r="AC1099" s="10"/>
      <c r="AD1099" s="10"/>
      <c r="AE1099" s="10"/>
      <c r="AF1099" s="10"/>
      <c r="AG1099" s="10"/>
      <c r="AH1099" s="10"/>
      <c r="AI1099" s="10"/>
      <c r="AJ1099" s="10"/>
      <c r="AK1099" s="10"/>
      <c r="AL1099" s="10"/>
      <c r="AM1099" s="10"/>
      <c r="AN1099" s="10"/>
      <c r="AO1099" s="10"/>
      <c r="AP1099" s="10"/>
      <c r="AQ1099" s="10"/>
      <c r="AR1099" s="10"/>
      <c r="AS1099" s="10"/>
      <c r="AT1099" s="10"/>
      <c r="AU1099" s="10"/>
      <c r="AV1099" s="10"/>
    </row>
    <row r="1100" ht="13.5" customHeight="1">
      <c r="A1100" s="8"/>
      <c r="B1100" s="8"/>
      <c r="C1100" s="8"/>
      <c r="D1100" s="8"/>
      <c r="E1100" s="8"/>
      <c r="F1100" s="8"/>
      <c r="G1100" s="8"/>
      <c r="H1100" s="8"/>
      <c r="I1100" s="8"/>
      <c r="J1100" s="8"/>
      <c r="K1100" s="8"/>
      <c r="L1100" s="8"/>
      <c r="M1100" s="8"/>
      <c r="N1100" s="8"/>
      <c r="O1100" s="8"/>
      <c r="P1100" s="8"/>
      <c r="Q1100" s="8"/>
      <c r="R1100" s="8"/>
      <c r="S1100" s="8"/>
      <c r="T1100" s="8"/>
      <c r="U1100" s="8"/>
      <c r="V1100" s="8"/>
      <c r="W1100" s="10"/>
      <c r="X1100" s="10"/>
      <c r="Y1100" s="10"/>
      <c r="Z1100" s="10"/>
      <c r="AA1100" s="10"/>
      <c r="AB1100" s="10"/>
      <c r="AC1100" s="10"/>
      <c r="AD1100" s="10"/>
      <c r="AE1100" s="10"/>
      <c r="AF1100" s="10"/>
      <c r="AG1100" s="10"/>
      <c r="AH1100" s="10"/>
      <c r="AI1100" s="10"/>
      <c r="AJ1100" s="10"/>
      <c r="AK1100" s="10"/>
      <c r="AL1100" s="10"/>
      <c r="AM1100" s="10"/>
      <c r="AN1100" s="10"/>
      <c r="AO1100" s="10"/>
      <c r="AP1100" s="10"/>
      <c r="AQ1100" s="10"/>
      <c r="AR1100" s="10"/>
      <c r="AS1100" s="10"/>
      <c r="AT1100" s="10"/>
      <c r="AU1100" s="10"/>
      <c r="AV1100" s="10"/>
    </row>
    <row r="1101" ht="13.5" customHeight="1">
      <c r="A1101" s="8"/>
      <c r="B1101" s="8"/>
      <c r="C1101" s="8"/>
      <c r="D1101" s="8"/>
      <c r="E1101" s="8"/>
      <c r="F1101" s="8"/>
      <c r="G1101" s="8"/>
      <c r="H1101" s="8"/>
      <c r="I1101" s="8"/>
      <c r="J1101" s="8"/>
      <c r="K1101" s="8"/>
      <c r="L1101" s="8"/>
      <c r="M1101" s="8"/>
      <c r="N1101" s="8"/>
      <c r="O1101" s="8"/>
      <c r="P1101" s="8"/>
      <c r="Q1101" s="8"/>
      <c r="R1101" s="8"/>
      <c r="S1101" s="8"/>
      <c r="T1101" s="8"/>
      <c r="U1101" s="8"/>
      <c r="V1101" s="8"/>
      <c r="W1101" s="10"/>
      <c r="X1101" s="10"/>
      <c r="Y1101" s="10"/>
      <c r="Z1101" s="10"/>
      <c r="AA1101" s="10"/>
      <c r="AB1101" s="10"/>
      <c r="AC1101" s="10"/>
      <c r="AD1101" s="10"/>
      <c r="AE1101" s="10"/>
      <c r="AF1101" s="10"/>
      <c r="AG1101" s="10"/>
      <c r="AH1101" s="10"/>
      <c r="AI1101" s="10"/>
      <c r="AJ1101" s="10"/>
      <c r="AK1101" s="10"/>
      <c r="AL1101" s="10"/>
      <c r="AM1101" s="10"/>
      <c r="AN1101" s="10"/>
      <c r="AO1101" s="10"/>
      <c r="AP1101" s="10"/>
      <c r="AQ1101" s="10"/>
      <c r="AR1101" s="10"/>
      <c r="AS1101" s="10"/>
      <c r="AT1101" s="10"/>
      <c r="AU1101" s="10"/>
      <c r="AV1101" s="10"/>
    </row>
    <row r="1102" ht="13.5" customHeight="1">
      <c r="A1102" s="8"/>
      <c r="B1102" s="8"/>
      <c r="C1102" s="8"/>
      <c r="D1102" s="8"/>
      <c r="E1102" s="8"/>
      <c r="F1102" s="8"/>
      <c r="G1102" s="8"/>
      <c r="H1102" s="8"/>
      <c r="I1102" s="8"/>
      <c r="J1102" s="8"/>
      <c r="K1102" s="8"/>
      <c r="L1102" s="8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10"/>
      <c r="X1102" s="10"/>
      <c r="Y1102" s="10"/>
      <c r="Z1102" s="10"/>
      <c r="AA1102" s="10"/>
      <c r="AB1102" s="10"/>
      <c r="AC1102" s="10"/>
      <c r="AD1102" s="10"/>
      <c r="AE1102" s="10"/>
      <c r="AF1102" s="10"/>
      <c r="AG1102" s="10"/>
      <c r="AH1102" s="10"/>
      <c r="AI1102" s="10"/>
      <c r="AJ1102" s="10"/>
      <c r="AK1102" s="10"/>
      <c r="AL1102" s="10"/>
      <c r="AM1102" s="10"/>
      <c r="AN1102" s="10"/>
      <c r="AO1102" s="10"/>
      <c r="AP1102" s="10"/>
      <c r="AQ1102" s="10"/>
      <c r="AR1102" s="10"/>
      <c r="AS1102" s="10"/>
      <c r="AT1102" s="10"/>
      <c r="AU1102" s="10"/>
      <c r="AV1102" s="10"/>
    </row>
    <row r="1103" ht="13.5" customHeight="1">
      <c r="A1103" s="8"/>
      <c r="B1103" s="8"/>
      <c r="C1103" s="8"/>
      <c r="D1103" s="8"/>
      <c r="E1103" s="8"/>
      <c r="F1103" s="8"/>
      <c r="G1103" s="8"/>
      <c r="H1103" s="8"/>
      <c r="I1103" s="8"/>
      <c r="J1103" s="8"/>
      <c r="K1103" s="8"/>
      <c r="L1103" s="8"/>
      <c r="M1103" s="8"/>
      <c r="N1103" s="8"/>
      <c r="O1103" s="8"/>
      <c r="P1103" s="8"/>
      <c r="Q1103" s="8"/>
      <c r="R1103" s="8"/>
      <c r="S1103" s="8"/>
      <c r="T1103" s="8"/>
      <c r="U1103" s="8"/>
      <c r="V1103" s="8"/>
      <c r="W1103" s="10"/>
      <c r="X1103" s="10"/>
      <c r="Y1103" s="10"/>
      <c r="Z1103" s="10"/>
      <c r="AA1103" s="10"/>
      <c r="AB1103" s="10"/>
      <c r="AC1103" s="10"/>
      <c r="AD1103" s="10"/>
      <c r="AE1103" s="10"/>
      <c r="AF1103" s="10"/>
      <c r="AG1103" s="10"/>
      <c r="AH1103" s="10"/>
      <c r="AI1103" s="10"/>
      <c r="AJ1103" s="10"/>
      <c r="AK1103" s="10"/>
      <c r="AL1103" s="10"/>
      <c r="AM1103" s="10"/>
      <c r="AN1103" s="10"/>
      <c r="AO1103" s="10"/>
      <c r="AP1103" s="10"/>
      <c r="AQ1103" s="10"/>
      <c r="AR1103" s="10"/>
      <c r="AS1103" s="10"/>
      <c r="AT1103" s="10"/>
      <c r="AU1103" s="10"/>
      <c r="AV1103" s="10"/>
    </row>
    <row r="1104" ht="13.5" customHeight="1">
      <c r="A1104" s="8"/>
      <c r="B1104" s="8"/>
      <c r="C1104" s="8"/>
      <c r="D1104" s="8"/>
      <c r="E1104" s="8"/>
      <c r="F1104" s="8"/>
      <c r="G1104" s="8"/>
      <c r="H1104" s="8"/>
      <c r="I1104" s="8"/>
      <c r="J1104" s="8"/>
      <c r="K1104" s="8"/>
      <c r="L1104" s="8"/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10"/>
      <c r="X1104" s="10"/>
      <c r="Y1104" s="10"/>
      <c r="Z1104" s="10"/>
      <c r="AA1104" s="10"/>
      <c r="AB1104" s="10"/>
      <c r="AC1104" s="10"/>
      <c r="AD1104" s="10"/>
      <c r="AE1104" s="10"/>
      <c r="AF1104" s="10"/>
      <c r="AG1104" s="10"/>
      <c r="AH1104" s="10"/>
      <c r="AI1104" s="10"/>
      <c r="AJ1104" s="10"/>
      <c r="AK1104" s="10"/>
      <c r="AL1104" s="10"/>
      <c r="AM1104" s="10"/>
      <c r="AN1104" s="10"/>
      <c r="AO1104" s="10"/>
      <c r="AP1104" s="10"/>
      <c r="AQ1104" s="10"/>
      <c r="AR1104" s="10"/>
      <c r="AS1104" s="10"/>
      <c r="AT1104" s="10"/>
      <c r="AU1104" s="10"/>
      <c r="AV1104" s="10"/>
    </row>
    <row r="1105" ht="13.5" customHeight="1">
      <c r="A1105" s="8"/>
      <c r="B1105" s="8"/>
      <c r="C1105" s="8"/>
      <c r="D1105" s="8"/>
      <c r="E1105" s="8"/>
      <c r="F1105" s="8"/>
      <c r="G1105" s="8"/>
      <c r="H1105" s="8"/>
      <c r="I1105" s="8"/>
      <c r="J1105" s="8"/>
      <c r="K1105" s="8"/>
      <c r="L1105" s="8"/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10"/>
      <c r="X1105" s="10"/>
      <c r="Y1105" s="10"/>
      <c r="Z1105" s="10"/>
      <c r="AA1105" s="10"/>
      <c r="AB1105" s="10"/>
      <c r="AC1105" s="10"/>
      <c r="AD1105" s="10"/>
      <c r="AE1105" s="10"/>
      <c r="AF1105" s="10"/>
      <c r="AG1105" s="10"/>
      <c r="AH1105" s="10"/>
      <c r="AI1105" s="10"/>
      <c r="AJ1105" s="10"/>
      <c r="AK1105" s="10"/>
      <c r="AL1105" s="10"/>
      <c r="AM1105" s="10"/>
      <c r="AN1105" s="10"/>
      <c r="AO1105" s="10"/>
      <c r="AP1105" s="10"/>
      <c r="AQ1105" s="10"/>
      <c r="AR1105" s="10"/>
      <c r="AS1105" s="10"/>
      <c r="AT1105" s="10"/>
      <c r="AU1105" s="10"/>
      <c r="AV1105" s="10"/>
    </row>
    <row r="1106" ht="13.5" customHeight="1">
      <c r="A1106" s="8"/>
      <c r="B1106" s="8"/>
      <c r="C1106" s="8"/>
      <c r="D1106" s="8"/>
      <c r="E1106" s="8"/>
      <c r="F1106" s="8"/>
      <c r="G1106" s="8"/>
      <c r="H1106" s="8"/>
      <c r="I1106" s="8"/>
      <c r="J1106" s="8"/>
      <c r="K1106" s="8"/>
      <c r="L1106" s="8"/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10"/>
      <c r="X1106" s="10"/>
      <c r="Y1106" s="10"/>
      <c r="Z1106" s="10"/>
      <c r="AA1106" s="10"/>
      <c r="AB1106" s="10"/>
      <c r="AC1106" s="10"/>
      <c r="AD1106" s="10"/>
      <c r="AE1106" s="10"/>
      <c r="AF1106" s="10"/>
      <c r="AG1106" s="10"/>
      <c r="AH1106" s="10"/>
      <c r="AI1106" s="10"/>
      <c r="AJ1106" s="10"/>
      <c r="AK1106" s="10"/>
      <c r="AL1106" s="10"/>
      <c r="AM1106" s="10"/>
      <c r="AN1106" s="10"/>
      <c r="AO1106" s="10"/>
      <c r="AP1106" s="10"/>
      <c r="AQ1106" s="10"/>
      <c r="AR1106" s="10"/>
      <c r="AS1106" s="10"/>
      <c r="AT1106" s="10"/>
      <c r="AU1106" s="10"/>
      <c r="AV1106" s="10"/>
    </row>
    <row r="1107" ht="13.5" customHeight="1">
      <c r="A1107" s="8"/>
      <c r="B1107" s="8"/>
      <c r="C1107" s="8"/>
      <c r="D1107" s="8"/>
      <c r="E1107" s="8"/>
      <c r="F1107" s="8"/>
      <c r="G1107" s="8"/>
      <c r="H1107" s="8"/>
      <c r="I1107" s="8"/>
      <c r="J1107" s="8"/>
      <c r="K1107" s="8"/>
      <c r="L1107" s="8"/>
      <c r="M1107" s="8"/>
      <c r="N1107" s="8"/>
      <c r="O1107" s="8"/>
      <c r="P1107" s="8"/>
      <c r="Q1107" s="8"/>
      <c r="R1107" s="8"/>
      <c r="S1107" s="8"/>
      <c r="T1107" s="8"/>
      <c r="U1107" s="8"/>
      <c r="V1107" s="8"/>
      <c r="W1107" s="10"/>
      <c r="X1107" s="10"/>
      <c r="Y1107" s="10"/>
      <c r="Z1107" s="10"/>
      <c r="AA1107" s="10"/>
      <c r="AB1107" s="10"/>
      <c r="AC1107" s="10"/>
      <c r="AD1107" s="10"/>
      <c r="AE1107" s="10"/>
      <c r="AF1107" s="10"/>
      <c r="AG1107" s="10"/>
      <c r="AH1107" s="10"/>
      <c r="AI1107" s="10"/>
      <c r="AJ1107" s="10"/>
      <c r="AK1107" s="10"/>
      <c r="AL1107" s="10"/>
      <c r="AM1107" s="10"/>
      <c r="AN1107" s="10"/>
      <c r="AO1107" s="10"/>
      <c r="AP1107" s="10"/>
      <c r="AQ1107" s="10"/>
      <c r="AR1107" s="10"/>
      <c r="AS1107" s="10"/>
      <c r="AT1107" s="10"/>
      <c r="AU1107" s="10"/>
      <c r="AV1107" s="10"/>
    </row>
    <row r="1108" ht="13.5" customHeight="1">
      <c r="A1108" s="8"/>
      <c r="B1108" s="8"/>
      <c r="C1108" s="8"/>
      <c r="D1108" s="8"/>
      <c r="E1108" s="8"/>
      <c r="F1108" s="8"/>
      <c r="G1108" s="8"/>
      <c r="H1108" s="8"/>
      <c r="I1108" s="8"/>
      <c r="J1108" s="8"/>
      <c r="K1108" s="8"/>
      <c r="L1108" s="8"/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10"/>
      <c r="X1108" s="10"/>
      <c r="Y1108" s="10"/>
      <c r="Z1108" s="10"/>
      <c r="AA1108" s="10"/>
      <c r="AB1108" s="10"/>
      <c r="AC1108" s="10"/>
      <c r="AD1108" s="10"/>
      <c r="AE1108" s="10"/>
      <c r="AF1108" s="10"/>
      <c r="AG1108" s="10"/>
      <c r="AH1108" s="10"/>
      <c r="AI1108" s="10"/>
      <c r="AJ1108" s="10"/>
      <c r="AK1108" s="10"/>
      <c r="AL1108" s="10"/>
      <c r="AM1108" s="10"/>
      <c r="AN1108" s="10"/>
      <c r="AO1108" s="10"/>
      <c r="AP1108" s="10"/>
      <c r="AQ1108" s="10"/>
      <c r="AR1108" s="10"/>
      <c r="AS1108" s="10"/>
      <c r="AT1108" s="10"/>
      <c r="AU1108" s="10"/>
      <c r="AV1108" s="10"/>
    </row>
    <row r="1109" ht="13.5" customHeight="1">
      <c r="A1109" s="8"/>
      <c r="B1109" s="8"/>
      <c r="C1109" s="8"/>
      <c r="D1109" s="8"/>
      <c r="E1109" s="8"/>
      <c r="F1109" s="8"/>
      <c r="G1109" s="8"/>
      <c r="H1109" s="8"/>
      <c r="I1109" s="8"/>
      <c r="J1109" s="8"/>
      <c r="K1109" s="8"/>
      <c r="L1109" s="8"/>
      <c r="M1109" s="8"/>
      <c r="N1109" s="8"/>
      <c r="O1109" s="8"/>
      <c r="P1109" s="8"/>
      <c r="Q1109" s="8"/>
      <c r="R1109" s="8"/>
      <c r="S1109" s="8"/>
      <c r="T1109" s="8"/>
      <c r="U1109" s="8"/>
      <c r="V1109" s="8"/>
      <c r="W1109" s="10"/>
      <c r="X1109" s="10"/>
      <c r="Y1109" s="10"/>
      <c r="Z1109" s="10"/>
      <c r="AA1109" s="10"/>
      <c r="AB1109" s="10"/>
      <c r="AC1109" s="10"/>
      <c r="AD1109" s="10"/>
      <c r="AE1109" s="10"/>
      <c r="AF1109" s="10"/>
      <c r="AG1109" s="10"/>
      <c r="AH1109" s="10"/>
      <c r="AI1109" s="10"/>
      <c r="AJ1109" s="10"/>
      <c r="AK1109" s="10"/>
      <c r="AL1109" s="10"/>
      <c r="AM1109" s="10"/>
      <c r="AN1109" s="10"/>
      <c r="AO1109" s="10"/>
      <c r="AP1109" s="10"/>
      <c r="AQ1109" s="10"/>
      <c r="AR1109" s="10"/>
      <c r="AS1109" s="10"/>
      <c r="AT1109" s="10"/>
      <c r="AU1109" s="10"/>
      <c r="AV1109" s="10"/>
    </row>
    <row r="1110" ht="13.5" customHeight="1">
      <c r="A1110" s="8"/>
      <c r="B1110" s="8"/>
      <c r="C1110" s="8"/>
      <c r="D1110" s="8"/>
      <c r="E1110" s="8"/>
      <c r="F1110" s="8"/>
      <c r="G1110" s="8"/>
      <c r="H1110" s="8"/>
      <c r="I1110" s="8"/>
      <c r="J1110" s="8"/>
      <c r="K1110" s="8"/>
      <c r="L1110" s="8"/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10"/>
      <c r="X1110" s="10"/>
      <c r="Y1110" s="10"/>
      <c r="Z1110" s="10"/>
      <c r="AA1110" s="10"/>
      <c r="AB1110" s="10"/>
      <c r="AC1110" s="10"/>
      <c r="AD1110" s="10"/>
      <c r="AE1110" s="10"/>
      <c r="AF1110" s="10"/>
      <c r="AG1110" s="10"/>
      <c r="AH1110" s="10"/>
      <c r="AI1110" s="10"/>
      <c r="AJ1110" s="10"/>
      <c r="AK1110" s="10"/>
      <c r="AL1110" s="10"/>
      <c r="AM1110" s="10"/>
      <c r="AN1110" s="10"/>
      <c r="AO1110" s="10"/>
      <c r="AP1110" s="10"/>
      <c r="AQ1110" s="10"/>
      <c r="AR1110" s="10"/>
      <c r="AS1110" s="10"/>
      <c r="AT1110" s="10"/>
      <c r="AU1110" s="10"/>
      <c r="AV1110" s="10"/>
    </row>
    <row r="1111" ht="13.5" customHeight="1">
      <c r="A1111" s="8"/>
      <c r="B1111" s="8"/>
      <c r="C1111" s="8"/>
      <c r="D1111" s="8"/>
      <c r="E1111" s="8"/>
      <c r="F1111" s="8"/>
      <c r="G1111" s="8"/>
      <c r="H1111" s="8"/>
      <c r="I1111" s="8"/>
      <c r="J1111" s="8"/>
      <c r="K1111" s="8"/>
      <c r="L1111" s="8"/>
      <c r="M1111" s="8"/>
      <c r="N1111" s="8"/>
      <c r="O1111" s="8"/>
      <c r="P1111" s="8"/>
      <c r="Q1111" s="8"/>
      <c r="R1111" s="8"/>
      <c r="S1111" s="8"/>
      <c r="T1111" s="8"/>
      <c r="U1111" s="8"/>
      <c r="V1111" s="8"/>
      <c r="W1111" s="10"/>
      <c r="X1111" s="10"/>
      <c r="Y1111" s="10"/>
      <c r="Z1111" s="10"/>
      <c r="AA1111" s="10"/>
      <c r="AB1111" s="10"/>
      <c r="AC1111" s="10"/>
      <c r="AD1111" s="10"/>
      <c r="AE1111" s="10"/>
      <c r="AF1111" s="10"/>
      <c r="AG1111" s="10"/>
      <c r="AH1111" s="10"/>
      <c r="AI1111" s="10"/>
      <c r="AJ1111" s="10"/>
      <c r="AK1111" s="10"/>
      <c r="AL1111" s="10"/>
      <c r="AM1111" s="10"/>
      <c r="AN1111" s="10"/>
      <c r="AO1111" s="10"/>
      <c r="AP1111" s="10"/>
      <c r="AQ1111" s="10"/>
      <c r="AR1111" s="10"/>
      <c r="AS1111" s="10"/>
      <c r="AT1111" s="10"/>
      <c r="AU1111" s="10"/>
      <c r="AV1111" s="10"/>
    </row>
    <row r="1112" ht="13.5" customHeight="1">
      <c r="A1112" s="8"/>
      <c r="B1112" s="8"/>
      <c r="C1112" s="8"/>
      <c r="D1112" s="8"/>
      <c r="E1112" s="8"/>
      <c r="F1112" s="8"/>
      <c r="G1112" s="8"/>
      <c r="H1112" s="8"/>
      <c r="I1112" s="8"/>
      <c r="J1112" s="8"/>
      <c r="K1112" s="8"/>
      <c r="L1112" s="8"/>
      <c r="M1112" s="8"/>
      <c r="N1112" s="8"/>
      <c r="O1112" s="8"/>
      <c r="P1112" s="8"/>
      <c r="Q1112" s="8"/>
      <c r="R1112" s="8"/>
      <c r="S1112" s="8"/>
      <c r="T1112" s="8"/>
      <c r="U1112" s="8"/>
      <c r="V1112" s="8"/>
      <c r="W1112" s="10"/>
      <c r="X1112" s="10"/>
      <c r="Y1112" s="10"/>
      <c r="Z1112" s="10"/>
      <c r="AA1112" s="10"/>
      <c r="AB1112" s="10"/>
      <c r="AC1112" s="10"/>
      <c r="AD1112" s="10"/>
      <c r="AE1112" s="10"/>
      <c r="AF1112" s="10"/>
      <c r="AG1112" s="10"/>
      <c r="AH1112" s="10"/>
      <c r="AI1112" s="10"/>
      <c r="AJ1112" s="10"/>
      <c r="AK1112" s="10"/>
      <c r="AL1112" s="10"/>
      <c r="AM1112" s="10"/>
      <c r="AN1112" s="10"/>
      <c r="AO1112" s="10"/>
      <c r="AP1112" s="10"/>
      <c r="AQ1112" s="10"/>
      <c r="AR1112" s="10"/>
      <c r="AS1112" s="10"/>
      <c r="AT1112" s="10"/>
      <c r="AU1112" s="10"/>
      <c r="AV1112" s="10"/>
    </row>
    <row r="1113" ht="13.5" customHeight="1">
      <c r="A1113" s="8"/>
      <c r="B1113" s="8"/>
      <c r="C1113" s="8"/>
      <c r="D1113" s="8"/>
      <c r="E1113" s="8"/>
      <c r="F1113" s="8"/>
      <c r="G1113" s="8"/>
      <c r="H1113" s="8"/>
      <c r="I1113" s="8"/>
      <c r="J1113" s="8"/>
      <c r="K1113" s="8"/>
      <c r="L1113" s="8"/>
      <c r="M1113" s="8"/>
      <c r="N1113" s="8"/>
      <c r="O1113" s="8"/>
      <c r="P1113" s="8"/>
      <c r="Q1113" s="8"/>
      <c r="R1113" s="8"/>
      <c r="S1113" s="8"/>
      <c r="T1113" s="8"/>
      <c r="U1113" s="8"/>
      <c r="V1113" s="8"/>
      <c r="W1113" s="10"/>
      <c r="X1113" s="10"/>
      <c r="Y1113" s="10"/>
      <c r="Z1113" s="10"/>
      <c r="AA1113" s="10"/>
      <c r="AB1113" s="10"/>
      <c r="AC1113" s="10"/>
      <c r="AD1113" s="10"/>
      <c r="AE1113" s="10"/>
      <c r="AF1113" s="10"/>
      <c r="AG1113" s="10"/>
      <c r="AH1113" s="10"/>
      <c r="AI1113" s="10"/>
      <c r="AJ1113" s="10"/>
      <c r="AK1113" s="10"/>
      <c r="AL1113" s="10"/>
      <c r="AM1113" s="10"/>
      <c r="AN1113" s="10"/>
      <c r="AO1113" s="10"/>
      <c r="AP1113" s="10"/>
      <c r="AQ1113" s="10"/>
      <c r="AR1113" s="10"/>
      <c r="AS1113" s="10"/>
      <c r="AT1113" s="10"/>
      <c r="AU1113" s="10"/>
      <c r="AV1113" s="10"/>
    </row>
    <row r="1114" ht="13.5" customHeight="1">
      <c r="A1114" s="8"/>
      <c r="B1114" s="8"/>
      <c r="C1114" s="8"/>
      <c r="D1114" s="8"/>
      <c r="E1114" s="8"/>
      <c r="F1114" s="8"/>
      <c r="G1114" s="8"/>
      <c r="H1114" s="8"/>
      <c r="I1114" s="8"/>
      <c r="J1114" s="8"/>
      <c r="K1114" s="8"/>
      <c r="L1114" s="8"/>
      <c r="M1114" s="8"/>
      <c r="N1114" s="8"/>
      <c r="O1114" s="8"/>
      <c r="P1114" s="8"/>
      <c r="Q1114" s="8"/>
      <c r="R1114" s="8"/>
      <c r="S1114" s="8"/>
      <c r="T1114" s="8"/>
      <c r="U1114" s="8"/>
      <c r="V1114" s="8"/>
      <c r="W1114" s="10"/>
      <c r="X1114" s="10"/>
      <c r="Y1114" s="10"/>
      <c r="Z1114" s="10"/>
      <c r="AA1114" s="10"/>
      <c r="AB1114" s="10"/>
      <c r="AC1114" s="10"/>
      <c r="AD1114" s="10"/>
      <c r="AE1114" s="10"/>
      <c r="AF1114" s="10"/>
      <c r="AG1114" s="10"/>
      <c r="AH1114" s="10"/>
      <c r="AI1114" s="10"/>
      <c r="AJ1114" s="10"/>
      <c r="AK1114" s="10"/>
      <c r="AL1114" s="10"/>
      <c r="AM1114" s="10"/>
      <c r="AN1114" s="10"/>
      <c r="AO1114" s="10"/>
      <c r="AP1114" s="10"/>
      <c r="AQ1114" s="10"/>
      <c r="AR1114" s="10"/>
      <c r="AS1114" s="10"/>
      <c r="AT1114" s="10"/>
      <c r="AU1114" s="10"/>
      <c r="AV1114" s="10"/>
    </row>
    <row r="1115" ht="13.5" customHeight="1">
      <c r="A1115" s="8"/>
      <c r="B1115" s="8"/>
      <c r="C1115" s="8"/>
      <c r="D1115" s="8"/>
      <c r="E1115" s="8"/>
      <c r="F1115" s="8"/>
      <c r="G1115" s="8"/>
      <c r="H1115" s="8"/>
      <c r="I1115" s="8"/>
      <c r="J1115" s="8"/>
      <c r="K1115" s="8"/>
      <c r="L1115" s="8"/>
      <c r="M1115" s="8"/>
      <c r="N1115" s="8"/>
      <c r="O1115" s="8"/>
      <c r="P1115" s="8"/>
      <c r="Q1115" s="8"/>
      <c r="R1115" s="8"/>
      <c r="S1115" s="8"/>
      <c r="T1115" s="8"/>
      <c r="U1115" s="8"/>
      <c r="V1115" s="8"/>
      <c r="W1115" s="10"/>
      <c r="X1115" s="10"/>
      <c r="Y1115" s="10"/>
      <c r="Z1115" s="10"/>
      <c r="AA1115" s="10"/>
      <c r="AB1115" s="10"/>
      <c r="AC1115" s="10"/>
      <c r="AD1115" s="10"/>
      <c r="AE1115" s="10"/>
      <c r="AF1115" s="10"/>
      <c r="AG1115" s="10"/>
      <c r="AH1115" s="10"/>
      <c r="AI1115" s="10"/>
      <c r="AJ1115" s="10"/>
      <c r="AK1115" s="10"/>
      <c r="AL1115" s="10"/>
      <c r="AM1115" s="10"/>
      <c r="AN1115" s="10"/>
      <c r="AO1115" s="10"/>
      <c r="AP1115" s="10"/>
      <c r="AQ1115" s="10"/>
      <c r="AR1115" s="10"/>
      <c r="AS1115" s="10"/>
      <c r="AT1115" s="10"/>
      <c r="AU1115" s="10"/>
      <c r="AV1115" s="10"/>
    </row>
    <row r="1116" ht="13.5" customHeight="1">
      <c r="A1116" s="8"/>
      <c r="B1116" s="8"/>
      <c r="C1116" s="8"/>
      <c r="D1116" s="8"/>
      <c r="E1116" s="8"/>
      <c r="F1116" s="8"/>
      <c r="G1116" s="8"/>
      <c r="H1116" s="8"/>
      <c r="I1116" s="8"/>
      <c r="J1116" s="8"/>
      <c r="K1116" s="8"/>
      <c r="L1116" s="8"/>
      <c r="M1116" s="8"/>
      <c r="N1116" s="8"/>
      <c r="O1116" s="8"/>
      <c r="P1116" s="8"/>
      <c r="Q1116" s="8"/>
      <c r="R1116" s="8"/>
      <c r="S1116" s="8"/>
      <c r="T1116" s="8"/>
      <c r="U1116" s="8"/>
      <c r="V1116" s="8"/>
      <c r="W1116" s="10"/>
      <c r="X1116" s="10"/>
      <c r="Y1116" s="10"/>
      <c r="Z1116" s="10"/>
      <c r="AA1116" s="10"/>
      <c r="AB1116" s="10"/>
      <c r="AC1116" s="10"/>
      <c r="AD1116" s="10"/>
      <c r="AE1116" s="10"/>
      <c r="AF1116" s="10"/>
      <c r="AG1116" s="10"/>
      <c r="AH1116" s="10"/>
      <c r="AI1116" s="10"/>
      <c r="AJ1116" s="10"/>
      <c r="AK1116" s="10"/>
      <c r="AL1116" s="10"/>
      <c r="AM1116" s="10"/>
      <c r="AN1116" s="10"/>
      <c r="AO1116" s="10"/>
      <c r="AP1116" s="10"/>
      <c r="AQ1116" s="10"/>
      <c r="AR1116" s="10"/>
      <c r="AS1116" s="10"/>
      <c r="AT1116" s="10"/>
      <c r="AU1116" s="10"/>
      <c r="AV1116" s="10"/>
    </row>
    <row r="1117" ht="13.5" customHeight="1">
      <c r="A1117" s="8"/>
      <c r="B1117" s="8"/>
      <c r="C1117" s="8"/>
      <c r="D1117" s="8"/>
      <c r="E1117" s="8"/>
      <c r="F1117" s="8"/>
      <c r="G1117" s="8"/>
      <c r="H1117" s="8"/>
      <c r="I1117" s="8"/>
      <c r="J1117" s="8"/>
      <c r="K1117" s="8"/>
      <c r="L1117" s="8"/>
      <c r="M1117" s="8"/>
      <c r="N1117" s="8"/>
      <c r="O1117" s="8"/>
      <c r="P1117" s="8"/>
      <c r="Q1117" s="8"/>
      <c r="R1117" s="8"/>
      <c r="S1117" s="8"/>
      <c r="T1117" s="8"/>
      <c r="U1117" s="8"/>
      <c r="V1117" s="8"/>
      <c r="W1117" s="10"/>
      <c r="X1117" s="10"/>
      <c r="Y1117" s="10"/>
      <c r="Z1117" s="10"/>
      <c r="AA1117" s="10"/>
      <c r="AB1117" s="10"/>
      <c r="AC1117" s="10"/>
      <c r="AD1117" s="10"/>
      <c r="AE1117" s="10"/>
      <c r="AF1117" s="10"/>
      <c r="AG1117" s="10"/>
      <c r="AH1117" s="10"/>
      <c r="AI1117" s="10"/>
      <c r="AJ1117" s="10"/>
      <c r="AK1117" s="10"/>
      <c r="AL1117" s="10"/>
      <c r="AM1117" s="10"/>
      <c r="AN1117" s="10"/>
      <c r="AO1117" s="10"/>
      <c r="AP1117" s="10"/>
      <c r="AQ1117" s="10"/>
      <c r="AR1117" s="10"/>
      <c r="AS1117" s="10"/>
      <c r="AT1117" s="10"/>
      <c r="AU1117" s="10"/>
      <c r="AV1117" s="10"/>
    </row>
    <row r="1118" ht="13.5" customHeight="1">
      <c r="A1118" s="8"/>
      <c r="B1118" s="8"/>
      <c r="C1118" s="8"/>
      <c r="D1118" s="8"/>
      <c r="E1118" s="8"/>
      <c r="F1118" s="8"/>
      <c r="G1118" s="8"/>
      <c r="H1118" s="8"/>
      <c r="I1118" s="8"/>
      <c r="J1118" s="8"/>
      <c r="K1118" s="8"/>
      <c r="L1118" s="8"/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W1118" s="10"/>
      <c r="X1118" s="10"/>
      <c r="Y1118" s="10"/>
      <c r="Z1118" s="10"/>
      <c r="AA1118" s="10"/>
      <c r="AB1118" s="10"/>
      <c r="AC1118" s="10"/>
      <c r="AD1118" s="10"/>
      <c r="AE1118" s="10"/>
      <c r="AF1118" s="10"/>
      <c r="AG1118" s="10"/>
      <c r="AH1118" s="10"/>
      <c r="AI1118" s="10"/>
      <c r="AJ1118" s="10"/>
      <c r="AK1118" s="10"/>
      <c r="AL1118" s="10"/>
      <c r="AM1118" s="10"/>
      <c r="AN1118" s="10"/>
      <c r="AO1118" s="10"/>
      <c r="AP1118" s="10"/>
      <c r="AQ1118" s="10"/>
      <c r="AR1118" s="10"/>
      <c r="AS1118" s="10"/>
      <c r="AT1118" s="10"/>
      <c r="AU1118" s="10"/>
      <c r="AV1118" s="10"/>
    </row>
    <row r="1119" ht="13.5" customHeight="1">
      <c r="A1119" s="8"/>
      <c r="B1119" s="8"/>
      <c r="C1119" s="8"/>
      <c r="D1119" s="8"/>
      <c r="E1119" s="8"/>
      <c r="F1119" s="8"/>
      <c r="G1119" s="8"/>
      <c r="H1119" s="8"/>
      <c r="I1119" s="8"/>
      <c r="J1119" s="8"/>
      <c r="K1119" s="8"/>
      <c r="L1119" s="8"/>
      <c r="M1119" s="8"/>
      <c r="N1119" s="8"/>
      <c r="O1119" s="8"/>
      <c r="P1119" s="8"/>
      <c r="Q1119" s="8"/>
      <c r="R1119" s="8"/>
      <c r="S1119" s="8"/>
      <c r="T1119" s="8"/>
      <c r="U1119" s="8"/>
      <c r="V1119" s="8"/>
      <c r="W1119" s="10"/>
      <c r="X1119" s="10"/>
      <c r="Y1119" s="10"/>
      <c r="Z1119" s="10"/>
      <c r="AA1119" s="10"/>
      <c r="AB1119" s="10"/>
      <c r="AC1119" s="10"/>
      <c r="AD1119" s="10"/>
      <c r="AE1119" s="10"/>
      <c r="AF1119" s="10"/>
      <c r="AG1119" s="10"/>
      <c r="AH1119" s="10"/>
      <c r="AI1119" s="10"/>
      <c r="AJ1119" s="10"/>
      <c r="AK1119" s="10"/>
      <c r="AL1119" s="10"/>
      <c r="AM1119" s="10"/>
      <c r="AN1119" s="10"/>
      <c r="AO1119" s="10"/>
      <c r="AP1119" s="10"/>
      <c r="AQ1119" s="10"/>
      <c r="AR1119" s="10"/>
      <c r="AS1119" s="10"/>
      <c r="AT1119" s="10"/>
      <c r="AU1119" s="10"/>
      <c r="AV1119" s="10"/>
    </row>
  </sheetData>
  <mergeCells count="21">
    <mergeCell ref="A5:D6"/>
    <mergeCell ref="E5:H6"/>
    <mergeCell ref="I5:L6"/>
    <mergeCell ref="M5:P6"/>
    <mergeCell ref="A1:S3"/>
    <mergeCell ref="A4:D4"/>
    <mergeCell ref="E4:H4"/>
    <mergeCell ref="I4:L4"/>
    <mergeCell ref="M4:P4"/>
    <mergeCell ref="Q4:S6"/>
    <mergeCell ref="A7:S80"/>
    <mergeCell ref="Z132:AA132"/>
    <mergeCell ref="Z139:AA139"/>
    <mergeCell ref="W148:X148"/>
    <mergeCell ref="W120:X120"/>
    <mergeCell ref="Z120:AA120"/>
    <mergeCell ref="AC120:AE120"/>
    <mergeCell ref="AG121:AH121"/>
    <mergeCell ref="AJ121:AK121"/>
    <mergeCell ref="AG130:AH130"/>
    <mergeCell ref="T1:V80"/>
  </mergeCells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1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2" max="12" width="21.25"/>
  </cols>
  <sheetData>
    <row r="1">
      <c r="A1" s="38" t="str">
        <f>IFERROR(__xludf.DUMMYFUNCTION("QUERY(dataset_A!B2:P1001,""select B, sum(P) where B is not null group by B order by B label B 'Date', sum(P) 'Total Demand'"",0)"),"Date")</f>
        <v>Date</v>
      </c>
      <c r="B1" s="38" t="str">
        <f>IFERROR(__xludf.DUMMYFUNCTION("""COMPUTED_VALUE"""),"Total Demand")</f>
        <v>Total Demand</v>
      </c>
      <c r="D1" s="82" t="s">
        <v>114</v>
      </c>
      <c r="F1" s="82" t="s">
        <v>115</v>
      </c>
      <c r="H1" s="82" t="s">
        <v>116</v>
      </c>
      <c r="I1" s="82" t="s">
        <v>117</v>
      </c>
      <c r="K1" s="82" t="s">
        <v>118</v>
      </c>
      <c r="L1" s="82" t="s">
        <v>119</v>
      </c>
      <c r="M1" s="82" t="s">
        <v>120</v>
      </c>
    </row>
    <row r="2">
      <c r="A2" s="84">
        <f>IFERROR(__xludf.DUMMYFUNCTION("""COMPUTED_VALUE"""),40544.0)</f>
        <v>40544</v>
      </c>
      <c r="B2" s="38">
        <f>IFERROR(__xludf.DUMMYFUNCTION("""COMPUTED_VALUE"""),985.0)</f>
        <v>985</v>
      </c>
      <c r="D2" s="38">
        <f>COUNTA(A1:A1000)</f>
        <v>46</v>
      </c>
      <c r="F2" s="38">
        <f>_xlfn.FORECAST.LINEAR(A46,B1:B46,A1:A46)</f>
        <v>1378.1343</v>
      </c>
      <c r="H2" s="38">
        <f t="shared" ref="H2:H45" si="1">(B2-AVERAGE($B$2:$B$47))/STDEV($B$2:$B$47)</f>
        <v>-0.7911511861</v>
      </c>
      <c r="I2" s="38" t="str">
        <f t="shared" ref="I2:I45" si="2">IF(ABS(H2)&gt;=3,"Anomaly","Normal")</f>
        <v>Normal</v>
      </c>
      <c r="K2" s="38">
        <f>COUNTIF(I2:I47,"Anomaly")</f>
        <v>0</v>
      </c>
      <c r="L2" s="38">
        <f>AVERAGE(B2:B47)</f>
        <v>1295.644444</v>
      </c>
      <c r="M2" s="38">
        <f>MAX(B2:B47)</f>
        <v>1985</v>
      </c>
    </row>
    <row r="3">
      <c r="A3" s="84">
        <f>IFERROR(__xludf.DUMMYFUNCTION("""COMPUTED_VALUE"""),40545.0)</f>
        <v>40545</v>
      </c>
      <c r="B3" s="38">
        <f>IFERROR(__xludf.DUMMYFUNCTION("""COMPUTED_VALUE"""),801.0)</f>
        <v>801</v>
      </c>
      <c r="H3" s="38">
        <f t="shared" si="1"/>
        <v>-1.25976352</v>
      </c>
      <c r="I3" s="38" t="str">
        <f t="shared" si="2"/>
        <v>Normal</v>
      </c>
    </row>
    <row r="4">
      <c r="A4" s="84">
        <f>IFERROR(__xludf.DUMMYFUNCTION("""COMPUTED_VALUE"""),40546.0)</f>
        <v>40546</v>
      </c>
      <c r="B4" s="38">
        <f>IFERROR(__xludf.DUMMYFUNCTION("""COMPUTED_VALUE"""),1349.0)</f>
        <v>1349</v>
      </c>
      <c r="H4" s="38">
        <f t="shared" si="1"/>
        <v>0.1358862578</v>
      </c>
      <c r="I4" s="38" t="str">
        <f t="shared" si="2"/>
        <v>Normal</v>
      </c>
    </row>
    <row r="5">
      <c r="A5" s="84">
        <f>IFERROR(__xludf.DUMMYFUNCTION("""COMPUTED_VALUE"""),40547.0)</f>
        <v>40547</v>
      </c>
      <c r="B5" s="38">
        <f>IFERROR(__xludf.DUMMYFUNCTION("""COMPUTED_VALUE"""),1562.0)</f>
        <v>1562</v>
      </c>
      <c r="H5" s="38">
        <f t="shared" si="1"/>
        <v>0.6783559709</v>
      </c>
      <c r="I5" s="38" t="str">
        <f t="shared" si="2"/>
        <v>Normal</v>
      </c>
    </row>
    <row r="6">
      <c r="A6" s="84">
        <f>IFERROR(__xludf.DUMMYFUNCTION("""COMPUTED_VALUE"""),40548.0)</f>
        <v>40548</v>
      </c>
      <c r="B6" s="38">
        <f>IFERROR(__xludf.DUMMYFUNCTION("""COMPUTED_VALUE"""),1600.0)</f>
        <v>1600</v>
      </c>
      <c r="H6" s="38">
        <f t="shared" si="1"/>
        <v>0.7751346051</v>
      </c>
      <c r="I6" s="38" t="str">
        <f t="shared" si="2"/>
        <v>Normal</v>
      </c>
    </row>
    <row r="7">
      <c r="A7" s="84">
        <f>IFERROR(__xludf.DUMMYFUNCTION("""COMPUTED_VALUE"""),40549.0)</f>
        <v>40549</v>
      </c>
      <c r="B7" s="38">
        <f>IFERROR(__xludf.DUMMYFUNCTION("""COMPUTED_VALUE"""),1606.0)</f>
        <v>1606</v>
      </c>
      <c r="H7" s="38">
        <f t="shared" si="1"/>
        <v>0.7904154421</v>
      </c>
      <c r="I7" s="38" t="str">
        <f t="shared" si="2"/>
        <v>Normal</v>
      </c>
    </row>
    <row r="8">
      <c r="A8" s="84">
        <f>IFERROR(__xludf.DUMMYFUNCTION("""COMPUTED_VALUE"""),40550.0)</f>
        <v>40550</v>
      </c>
      <c r="B8" s="38">
        <f>IFERROR(__xludf.DUMMYFUNCTION("""COMPUTED_VALUE"""),1510.0)</f>
        <v>1510</v>
      </c>
      <c r="H8" s="38">
        <f t="shared" si="1"/>
        <v>0.5459220503</v>
      </c>
      <c r="I8" s="38" t="str">
        <f t="shared" si="2"/>
        <v>Normal</v>
      </c>
    </row>
    <row r="9">
      <c r="A9" s="84">
        <f>IFERROR(__xludf.DUMMYFUNCTION("""COMPUTED_VALUE"""),40551.0)</f>
        <v>40551</v>
      </c>
      <c r="B9" s="38">
        <f>IFERROR(__xludf.DUMMYFUNCTION("""COMPUTED_VALUE"""),959.0)</f>
        <v>959</v>
      </c>
      <c r="H9" s="38">
        <f t="shared" si="1"/>
        <v>-0.8573681464</v>
      </c>
      <c r="I9" s="38" t="str">
        <f t="shared" si="2"/>
        <v>Normal</v>
      </c>
    </row>
    <row r="10">
      <c r="A10" s="84">
        <f>IFERROR(__xludf.DUMMYFUNCTION("""COMPUTED_VALUE"""),40552.0)</f>
        <v>40552</v>
      </c>
      <c r="B10" s="38">
        <f>IFERROR(__xludf.DUMMYFUNCTION("""COMPUTED_VALUE"""),822.0)</f>
        <v>822</v>
      </c>
      <c r="H10" s="38">
        <f t="shared" si="1"/>
        <v>-1.206280591</v>
      </c>
      <c r="I10" s="38" t="str">
        <f t="shared" si="2"/>
        <v>Normal</v>
      </c>
    </row>
    <row r="11">
      <c r="A11" s="84">
        <f>IFERROR(__xludf.DUMMYFUNCTION("""COMPUTED_VALUE"""),40553.0)</f>
        <v>40553</v>
      </c>
      <c r="B11" s="38">
        <f>IFERROR(__xludf.DUMMYFUNCTION("""COMPUTED_VALUE"""),1321.0)</f>
        <v>1321</v>
      </c>
      <c r="H11" s="38">
        <f t="shared" si="1"/>
        <v>0.0645756852</v>
      </c>
      <c r="I11" s="38" t="str">
        <f t="shared" si="2"/>
        <v>Normal</v>
      </c>
    </row>
    <row r="12">
      <c r="A12" s="84">
        <f>IFERROR(__xludf.DUMMYFUNCTION("""COMPUTED_VALUE"""),40554.0)</f>
        <v>40554</v>
      </c>
      <c r="B12" s="38">
        <f>IFERROR(__xludf.DUMMYFUNCTION("""COMPUTED_VALUE"""),1263.0)</f>
        <v>1263</v>
      </c>
      <c r="H12" s="38">
        <f t="shared" si="1"/>
        <v>-0.08313907235</v>
      </c>
      <c r="I12" s="38" t="str">
        <f t="shared" si="2"/>
        <v>Normal</v>
      </c>
    </row>
    <row r="13">
      <c r="A13" s="84">
        <f>IFERROR(__xludf.DUMMYFUNCTION("""COMPUTED_VALUE"""),40555.0)</f>
        <v>40555</v>
      </c>
      <c r="B13" s="38">
        <f>IFERROR(__xludf.DUMMYFUNCTION("""COMPUTED_VALUE"""),1162.0)</f>
        <v>1162</v>
      </c>
      <c r="H13" s="38">
        <f t="shared" si="1"/>
        <v>-0.340366495</v>
      </c>
      <c r="I13" s="38" t="str">
        <f t="shared" si="2"/>
        <v>Normal</v>
      </c>
    </row>
    <row r="14">
      <c r="A14" s="84">
        <f>IFERROR(__xludf.DUMMYFUNCTION("""COMPUTED_VALUE"""),40556.0)</f>
        <v>40556</v>
      </c>
      <c r="B14" s="38">
        <f>IFERROR(__xludf.DUMMYFUNCTION("""COMPUTED_VALUE"""),1406.0)</f>
        <v>1406</v>
      </c>
      <c r="H14" s="38">
        <f t="shared" si="1"/>
        <v>0.2810542092</v>
      </c>
      <c r="I14" s="38" t="str">
        <f t="shared" si="2"/>
        <v>Normal</v>
      </c>
    </row>
    <row r="15">
      <c r="A15" s="84">
        <f>IFERROR(__xludf.DUMMYFUNCTION("""COMPUTED_VALUE"""),40557.0)</f>
        <v>40557</v>
      </c>
      <c r="B15" s="38">
        <f>IFERROR(__xludf.DUMMYFUNCTION("""COMPUTED_VALUE"""),1421.0)</f>
        <v>1421</v>
      </c>
      <c r="H15" s="38">
        <f t="shared" si="1"/>
        <v>0.3192563017</v>
      </c>
      <c r="I15" s="38" t="str">
        <f t="shared" si="2"/>
        <v>Normal</v>
      </c>
    </row>
    <row r="16">
      <c r="A16" s="84">
        <f>IFERROR(__xludf.DUMMYFUNCTION("""COMPUTED_VALUE"""),40558.0)</f>
        <v>40558</v>
      </c>
      <c r="B16" s="38">
        <f>IFERROR(__xludf.DUMMYFUNCTION("""COMPUTED_VALUE"""),1248.0)</f>
        <v>1248</v>
      </c>
      <c r="H16" s="38">
        <f t="shared" si="1"/>
        <v>-0.1213411648</v>
      </c>
      <c r="I16" s="38" t="str">
        <f t="shared" si="2"/>
        <v>Normal</v>
      </c>
    </row>
    <row r="17">
      <c r="A17" s="84">
        <f>IFERROR(__xludf.DUMMYFUNCTION("""COMPUTED_VALUE"""),40559.0)</f>
        <v>40559</v>
      </c>
      <c r="B17" s="38">
        <f>IFERROR(__xludf.DUMMYFUNCTION("""COMPUTED_VALUE"""),1204.0)</f>
        <v>1204</v>
      </c>
      <c r="H17" s="38">
        <f t="shared" si="1"/>
        <v>-0.2334006361</v>
      </c>
      <c r="I17" s="38" t="str">
        <f t="shared" si="2"/>
        <v>Normal</v>
      </c>
    </row>
    <row r="18">
      <c r="A18" s="84">
        <f>IFERROR(__xludf.DUMMYFUNCTION("""COMPUTED_VALUE"""),40560.0)</f>
        <v>40560</v>
      </c>
      <c r="B18" s="38">
        <f>IFERROR(__xludf.DUMMYFUNCTION("""COMPUTED_VALUE"""),1000.0)</f>
        <v>1000</v>
      </c>
      <c r="H18" s="38">
        <f t="shared" si="1"/>
        <v>-0.7529490937</v>
      </c>
      <c r="I18" s="38" t="str">
        <f t="shared" si="2"/>
        <v>Normal</v>
      </c>
    </row>
    <row r="19">
      <c r="A19" s="84">
        <f>IFERROR(__xludf.DUMMYFUNCTION("""COMPUTED_VALUE"""),40561.0)</f>
        <v>40561</v>
      </c>
      <c r="B19" s="38">
        <f>IFERROR(__xludf.DUMMYFUNCTION("""COMPUTED_VALUE"""),683.0)</f>
        <v>683</v>
      </c>
      <c r="H19" s="38">
        <f t="shared" si="1"/>
        <v>-1.560286648</v>
      </c>
      <c r="I19" s="38" t="str">
        <f t="shared" si="2"/>
        <v>Normal</v>
      </c>
    </row>
    <row r="20">
      <c r="A20" s="84">
        <f>IFERROR(__xludf.DUMMYFUNCTION("""COMPUTED_VALUE"""),40562.0)</f>
        <v>40562</v>
      </c>
      <c r="B20" s="38">
        <f>IFERROR(__xludf.DUMMYFUNCTION("""COMPUTED_VALUE"""),1650.0)</f>
        <v>1650</v>
      </c>
      <c r="H20" s="38">
        <f t="shared" si="1"/>
        <v>0.9024749134</v>
      </c>
      <c r="I20" s="38" t="str">
        <f t="shared" si="2"/>
        <v>Normal</v>
      </c>
    </row>
    <row r="21">
      <c r="A21" s="84">
        <f>IFERROR(__xludf.DUMMYFUNCTION("""COMPUTED_VALUE"""),40563.0)</f>
        <v>40563</v>
      </c>
      <c r="B21" s="38">
        <f>IFERROR(__xludf.DUMMYFUNCTION("""COMPUTED_VALUE"""),1927.0)</f>
        <v>1927</v>
      </c>
      <c r="H21" s="38">
        <f t="shared" si="1"/>
        <v>1.607940221</v>
      </c>
      <c r="I21" s="38" t="str">
        <f t="shared" si="2"/>
        <v>Normal</v>
      </c>
    </row>
    <row r="22">
      <c r="A22" s="84">
        <f>IFERROR(__xludf.DUMMYFUNCTION("""COMPUTED_VALUE"""),40564.0)</f>
        <v>40564</v>
      </c>
      <c r="B22" s="38">
        <f>IFERROR(__xludf.DUMMYFUNCTION("""COMPUTED_VALUE"""),1543.0)</f>
        <v>1543</v>
      </c>
      <c r="H22" s="38">
        <f t="shared" si="1"/>
        <v>0.6299666538</v>
      </c>
      <c r="I22" s="38" t="str">
        <f t="shared" si="2"/>
        <v>Normal</v>
      </c>
    </row>
    <row r="23">
      <c r="A23" s="84">
        <f>IFERROR(__xludf.DUMMYFUNCTION("""COMPUTED_VALUE"""),40565.0)</f>
        <v>40565</v>
      </c>
      <c r="B23" s="38">
        <f>IFERROR(__xludf.DUMMYFUNCTION("""COMPUTED_VALUE"""),981.0)</f>
        <v>981</v>
      </c>
      <c r="H23" s="38">
        <f t="shared" si="1"/>
        <v>-0.8013384108</v>
      </c>
      <c r="I23" s="38" t="str">
        <f t="shared" si="2"/>
        <v>Normal</v>
      </c>
    </row>
    <row r="24">
      <c r="A24" s="84">
        <f>IFERROR(__xludf.DUMMYFUNCTION("""COMPUTED_VALUE"""),40566.0)</f>
        <v>40566</v>
      </c>
      <c r="B24" s="38">
        <f>IFERROR(__xludf.DUMMYFUNCTION("""COMPUTED_VALUE"""),986.0)</f>
        <v>986</v>
      </c>
      <c r="H24" s="38">
        <f t="shared" si="1"/>
        <v>-0.78860438</v>
      </c>
      <c r="I24" s="38" t="str">
        <f t="shared" si="2"/>
        <v>Normal</v>
      </c>
    </row>
    <row r="25">
      <c r="A25" s="84">
        <f>IFERROR(__xludf.DUMMYFUNCTION("""COMPUTED_VALUE"""),40567.0)</f>
        <v>40567</v>
      </c>
      <c r="B25" s="38">
        <f>IFERROR(__xludf.DUMMYFUNCTION("""COMPUTED_VALUE"""),1416.0)</f>
        <v>1416</v>
      </c>
      <c r="H25" s="38">
        <f t="shared" si="1"/>
        <v>0.3065222708</v>
      </c>
      <c r="I25" s="38" t="str">
        <f t="shared" si="2"/>
        <v>Normal</v>
      </c>
    </row>
    <row r="26">
      <c r="A26" s="84">
        <f>IFERROR(__xludf.DUMMYFUNCTION("""COMPUTED_VALUE"""),40568.0)</f>
        <v>40568</v>
      </c>
      <c r="B26" s="38">
        <f>IFERROR(__xludf.DUMMYFUNCTION("""COMPUTED_VALUE"""),1985.0)</f>
        <v>1985</v>
      </c>
      <c r="H26" s="38">
        <f t="shared" si="1"/>
        <v>1.755654979</v>
      </c>
      <c r="I26" s="38" t="str">
        <f t="shared" si="2"/>
        <v>Normal</v>
      </c>
    </row>
    <row r="27">
      <c r="A27" s="84">
        <f>IFERROR(__xludf.DUMMYFUNCTION("""COMPUTED_VALUE"""),40569.0)</f>
        <v>40569</v>
      </c>
      <c r="B27" s="38">
        <f>IFERROR(__xludf.DUMMYFUNCTION("""COMPUTED_VALUE"""),506.0)</f>
        <v>506</v>
      </c>
      <c r="H27" s="38">
        <f t="shared" si="1"/>
        <v>-2.011071339</v>
      </c>
      <c r="I27" s="38" t="str">
        <f t="shared" si="2"/>
        <v>Normal</v>
      </c>
    </row>
    <row r="28">
      <c r="A28" s="84">
        <f>IFERROR(__xludf.DUMMYFUNCTION("""COMPUTED_VALUE"""),40570.0)</f>
        <v>40570</v>
      </c>
      <c r="B28" s="38">
        <f>IFERROR(__xludf.DUMMYFUNCTION("""COMPUTED_VALUE"""),431.0)</f>
        <v>431</v>
      </c>
      <c r="H28" s="38">
        <f t="shared" si="1"/>
        <v>-2.202081801</v>
      </c>
      <c r="I28" s="38" t="str">
        <f t="shared" si="2"/>
        <v>Normal</v>
      </c>
    </row>
    <row r="29">
      <c r="A29" s="84">
        <f>IFERROR(__xludf.DUMMYFUNCTION("""COMPUTED_VALUE"""),40571.0)</f>
        <v>40571</v>
      </c>
      <c r="B29" s="38">
        <f>IFERROR(__xludf.DUMMYFUNCTION("""COMPUTED_VALUE"""),1167.0)</f>
        <v>1167</v>
      </c>
      <c r="H29" s="38">
        <f t="shared" si="1"/>
        <v>-0.3276324642</v>
      </c>
      <c r="I29" s="38" t="str">
        <f t="shared" si="2"/>
        <v>Normal</v>
      </c>
    </row>
    <row r="30">
      <c r="A30" s="84">
        <f>IFERROR(__xludf.DUMMYFUNCTION("""COMPUTED_VALUE"""),40572.0)</f>
        <v>40572</v>
      </c>
      <c r="B30" s="38">
        <f>IFERROR(__xludf.DUMMYFUNCTION("""COMPUTED_VALUE"""),1098.0)</f>
        <v>1098</v>
      </c>
      <c r="H30" s="38">
        <f t="shared" si="1"/>
        <v>-0.5033620895</v>
      </c>
      <c r="I30" s="38" t="str">
        <f t="shared" si="2"/>
        <v>Normal</v>
      </c>
    </row>
    <row r="31">
      <c r="A31" s="84">
        <f>IFERROR(__xludf.DUMMYFUNCTION("""COMPUTED_VALUE"""),40573.0)</f>
        <v>40573</v>
      </c>
      <c r="B31" s="38">
        <f>IFERROR(__xludf.DUMMYFUNCTION("""COMPUTED_VALUE"""),1096.0)</f>
        <v>1096</v>
      </c>
      <c r="H31" s="38">
        <f t="shared" si="1"/>
        <v>-0.5084557019</v>
      </c>
      <c r="I31" s="38" t="str">
        <f t="shared" si="2"/>
        <v>Normal</v>
      </c>
    </row>
    <row r="32">
      <c r="A32" s="84">
        <f>IFERROR(__xludf.DUMMYFUNCTION("""COMPUTED_VALUE"""),40574.0)</f>
        <v>40574</v>
      </c>
      <c r="B32" s="38">
        <f>IFERROR(__xludf.DUMMYFUNCTION("""COMPUTED_VALUE"""),1501.0)</f>
        <v>1501</v>
      </c>
      <c r="H32" s="38">
        <f t="shared" si="1"/>
        <v>0.5230007948</v>
      </c>
      <c r="I32" s="38" t="str">
        <f t="shared" si="2"/>
        <v>Normal</v>
      </c>
    </row>
    <row r="33">
      <c r="A33" s="84">
        <f>IFERROR(__xludf.DUMMYFUNCTION("""COMPUTED_VALUE"""),40575.0)</f>
        <v>40575</v>
      </c>
      <c r="B33" s="38">
        <f>IFERROR(__xludf.DUMMYFUNCTION("""COMPUTED_VALUE"""),1360.0)</f>
        <v>1360</v>
      </c>
      <c r="H33" s="38">
        <f t="shared" si="1"/>
        <v>0.1639011256</v>
      </c>
      <c r="I33" s="38" t="str">
        <f t="shared" si="2"/>
        <v>Normal</v>
      </c>
    </row>
    <row r="34">
      <c r="A34" s="84">
        <f>IFERROR(__xludf.DUMMYFUNCTION("""COMPUTED_VALUE"""),40576.0)</f>
        <v>40576</v>
      </c>
      <c r="B34" s="38">
        <f>IFERROR(__xludf.DUMMYFUNCTION("""COMPUTED_VALUE"""),1526.0)</f>
        <v>1526</v>
      </c>
      <c r="H34" s="38">
        <f t="shared" si="1"/>
        <v>0.586670949</v>
      </c>
      <c r="I34" s="38" t="str">
        <f t="shared" si="2"/>
        <v>Normal</v>
      </c>
    </row>
    <row r="35">
      <c r="A35" s="84">
        <f>IFERROR(__xludf.DUMMYFUNCTION("""COMPUTED_VALUE"""),40577.0)</f>
        <v>40577</v>
      </c>
      <c r="B35" s="38">
        <f>IFERROR(__xludf.DUMMYFUNCTION("""COMPUTED_VALUE"""),1550.0)</f>
        <v>1550</v>
      </c>
      <c r="H35" s="38">
        <f t="shared" si="1"/>
        <v>0.6477942969</v>
      </c>
      <c r="I35" s="38" t="str">
        <f t="shared" si="2"/>
        <v>Normal</v>
      </c>
    </row>
    <row r="36">
      <c r="A36" s="84">
        <f>IFERROR(__xludf.DUMMYFUNCTION("""COMPUTED_VALUE"""),40578.0)</f>
        <v>40578</v>
      </c>
      <c r="B36" s="38">
        <f>IFERROR(__xludf.DUMMYFUNCTION("""COMPUTED_VALUE"""),1708.0)</f>
        <v>1708</v>
      </c>
      <c r="H36" s="38">
        <f t="shared" si="1"/>
        <v>1.050189671</v>
      </c>
      <c r="I36" s="38" t="str">
        <f t="shared" si="2"/>
        <v>Normal</v>
      </c>
    </row>
    <row r="37">
      <c r="A37" s="84">
        <f>IFERROR(__xludf.DUMMYFUNCTION("""COMPUTED_VALUE"""),40579.0)</f>
        <v>40579</v>
      </c>
      <c r="B37" s="38">
        <f>IFERROR(__xludf.DUMMYFUNCTION("""COMPUTED_VALUE"""),1005.0)</f>
        <v>1005</v>
      </c>
      <c r="H37" s="38">
        <f t="shared" si="1"/>
        <v>-0.7402150628</v>
      </c>
      <c r="I37" s="38" t="str">
        <f t="shared" si="2"/>
        <v>Normal</v>
      </c>
    </row>
    <row r="38">
      <c r="A38" s="84">
        <f>IFERROR(__xludf.DUMMYFUNCTION("""COMPUTED_VALUE"""),40580.0)</f>
        <v>40580</v>
      </c>
      <c r="B38" s="38">
        <f>IFERROR(__xludf.DUMMYFUNCTION("""COMPUTED_VALUE"""),1623.0)</f>
        <v>1623</v>
      </c>
      <c r="H38" s="38">
        <f t="shared" si="1"/>
        <v>0.8337111469</v>
      </c>
      <c r="I38" s="38" t="str">
        <f t="shared" si="2"/>
        <v>Normal</v>
      </c>
    </row>
    <row r="39">
      <c r="A39" s="84">
        <f>IFERROR(__xludf.DUMMYFUNCTION("""COMPUTED_VALUE"""),40581.0)</f>
        <v>40581</v>
      </c>
      <c r="B39" s="38">
        <f>IFERROR(__xludf.DUMMYFUNCTION("""COMPUTED_VALUE"""),1712.0)</f>
        <v>1712</v>
      </c>
      <c r="H39" s="38">
        <f t="shared" si="1"/>
        <v>1.060376896</v>
      </c>
      <c r="I39" s="38" t="str">
        <f t="shared" si="2"/>
        <v>Normal</v>
      </c>
    </row>
    <row r="40">
      <c r="A40" s="84">
        <f>IFERROR(__xludf.DUMMYFUNCTION("""COMPUTED_VALUE"""),40582.0)</f>
        <v>40582</v>
      </c>
      <c r="B40" s="38">
        <f>IFERROR(__xludf.DUMMYFUNCTION("""COMPUTED_VALUE"""),1530.0)</f>
        <v>1530</v>
      </c>
      <c r="H40" s="38">
        <f t="shared" si="1"/>
        <v>0.5968581736</v>
      </c>
      <c r="I40" s="38" t="str">
        <f t="shared" si="2"/>
        <v>Normal</v>
      </c>
    </row>
    <row r="41">
      <c r="A41" s="84">
        <f>IFERROR(__xludf.DUMMYFUNCTION("""COMPUTED_VALUE"""),40583.0)</f>
        <v>40583</v>
      </c>
      <c r="B41" s="38">
        <f>IFERROR(__xludf.DUMMYFUNCTION("""COMPUTED_VALUE"""),1605.0)</f>
        <v>1605</v>
      </c>
      <c r="H41" s="38">
        <f t="shared" si="1"/>
        <v>0.787868636</v>
      </c>
      <c r="I41" s="38" t="str">
        <f t="shared" si="2"/>
        <v>Normal</v>
      </c>
    </row>
    <row r="42">
      <c r="A42" s="84">
        <f>IFERROR(__xludf.DUMMYFUNCTION("""COMPUTED_VALUE"""),40584.0)</f>
        <v>40584</v>
      </c>
      <c r="B42" s="38">
        <f>IFERROR(__xludf.DUMMYFUNCTION("""COMPUTED_VALUE"""),1538.0)</f>
        <v>1538</v>
      </c>
      <c r="H42" s="38">
        <f t="shared" si="1"/>
        <v>0.6172326229</v>
      </c>
      <c r="I42" s="38" t="str">
        <f t="shared" si="2"/>
        <v>Normal</v>
      </c>
    </row>
    <row r="43">
      <c r="A43" s="84">
        <f>IFERROR(__xludf.DUMMYFUNCTION("""COMPUTED_VALUE"""),40585.0)</f>
        <v>40585</v>
      </c>
      <c r="B43" s="38">
        <f>IFERROR(__xludf.DUMMYFUNCTION("""COMPUTED_VALUE"""),1746.0)</f>
        <v>1746</v>
      </c>
      <c r="H43" s="38">
        <f t="shared" si="1"/>
        <v>1.146968305</v>
      </c>
      <c r="I43" s="38" t="str">
        <f t="shared" si="2"/>
        <v>Normal</v>
      </c>
    </row>
    <row r="44">
      <c r="A44" s="84">
        <f>IFERROR(__xludf.DUMMYFUNCTION("""COMPUTED_VALUE"""),40586.0)</f>
        <v>40586</v>
      </c>
      <c r="B44" s="38">
        <f>IFERROR(__xludf.DUMMYFUNCTION("""COMPUTED_VALUE"""),1472.0)</f>
        <v>1472</v>
      </c>
      <c r="H44" s="38">
        <f t="shared" si="1"/>
        <v>0.4491434161</v>
      </c>
      <c r="I44" s="38" t="str">
        <f t="shared" si="2"/>
        <v>Normal</v>
      </c>
    </row>
    <row r="45">
      <c r="A45" s="84">
        <f>IFERROR(__xludf.DUMMYFUNCTION("""COMPUTED_VALUE"""),40587.0)</f>
        <v>40587</v>
      </c>
      <c r="B45" s="38">
        <f>IFERROR(__xludf.DUMMYFUNCTION("""COMPUTED_VALUE"""),1589.0)</f>
        <v>1589</v>
      </c>
      <c r="H45" s="38">
        <f t="shared" si="1"/>
        <v>0.7471197373</v>
      </c>
      <c r="I45" s="38" t="str">
        <f t="shared" si="2"/>
        <v>Normal</v>
      </c>
    </row>
    <row r="46">
      <c r="A46" s="84">
        <f>IFERROR(__xludf.DUMMYFUNCTION("""COMPUTED_VALUE"""),40588.0)</f>
        <v>40588</v>
      </c>
      <c r="B46" s="38">
        <f>IFERROR(__xludf.DUMMYFUNCTION("""COMPUTED_VALUE"""),151.0)</f>
        <v>151</v>
      </c>
    </row>
  </sheetData>
  <drawing r:id="rId1"/>
</worksheet>
</file>